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firstSheet="1"/>
  </bookViews>
  <sheets>
    <sheet name="Report" sheetId="3" r:id="rId1"/>
    <sheet name="Data3" sheetId="7" r:id="rId2"/>
    <sheet name="Sales raw Data" sheetId="1" r:id="rId3"/>
    <sheet name="KPI" sheetId="8" r:id="rId4"/>
    <sheet name="Chart s and Slicers" sheetId="4" r:id="rId5"/>
    <sheet name="Dashboard" sheetId="5" r:id="rId6"/>
  </sheets>
  <definedNames>
    <definedName name="Slicer_Item1">#N/A</definedName>
    <definedName name="Slicer_State1">#N/A</definedName>
    <definedName name="_xlnm._FilterDatabase" localSheetId="3" hidden="1">KPI!#REF!</definedName>
    <definedName name="ExternalData_1" localSheetId="1" hidden="1">Data3!$A$1:$K$1301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Data3" description="Connection to the 'Data3' query in the workbook." type="5" background="1" refreshedVersion="2" saveData="1">
    <dbPr connection="Provider=Microsoft.Mashup.OleDb.1;Data Source=$Workbook$;Location=Data3;Extended Properties=&quot;&quot;" command="SELECT * FROM [Data3]" commandType="2"/>
  </connection>
</connections>
</file>

<file path=xl/sharedStrings.xml><?xml version="1.0" encoding="utf-8"?>
<sst xmlns="http://schemas.openxmlformats.org/spreadsheetml/2006/main" count="9299" uniqueCount="1389">
  <si>
    <t xml:space="preserve">Extract data from excel </t>
  </si>
  <si>
    <t xml:space="preserve">Transformation </t>
  </si>
  <si>
    <t>A</t>
  </si>
  <si>
    <t>Cleaning</t>
  </si>
  <si>
    <t xml:space="preserve">1= Errors </t>
  </si>
  <si>
    <t>2= Blank rows</t>
  </si>
  <si>
    <t>3=Duplicates</t>
  </si>
  <si>
    <t>4=Identify PK</t>
  </si>
  <si>
    <t>Sales Id</t>
  </si>
  <si>
    <t>5=Data Type</t>
  </si>
  <si>
    <t>B</t>
  </si>
  <si>
    <t xml:space="preserve">Transformation / Col Adding / Data wrangling </t>
  </si>
  <si>
    <t>1= Add PK (Sales Id)</t>
  </si>
  <si>
    <t>2=Add custom colum(Sales Id)</t>
  </si>
  <si>
    <t>3=Total Sales (price)*(Quentity)</t>
  </si>
  <si>
    <t>4= Total Commission(Total Sales)*(Total Commoission)</t>
  </si>
  <si>
    <t>5=Net Sales =sum(Total Sales)-(Total Commission)</t>
  </si>
  <si>
    <t>Load</t>
  </si>
  <si>
    <t>Ask Questions '</t>
  </si>
  <si>
    <t>KPI</t>
  </si>
  <si>
    <t xml:space="preserve">Key Performace Indicator </t>
  </si>
  <si>
    <t>1= Total Sales</t>
  </si>
  <si>
    <t xml:space="preserve">2= Total Quentity </t>
  </si>
  <si>
    <t>3= Total Commission</t>
  </si>
  <si>
    <t xml:space="preserve">4=  Total Count of State </t>
  </si>
  <si>
    <t>5=Net Sales</t>
  </si>
  <si>
    <t xml:space="preserve">Charts </t>
  </si>
  <si>
    <t xml:space="preserve">Pivot table </t>
  </si>
  <si>
    <t>1=Count Of Total Sales By Items</t>
  </si>
  <si>
    <t>2=Count of Total Sales by Sales Rep</t>
  </si>
  <si>
    <t>3=Count Of state wise total Sales</t>
  </si>
  <si>
    <t>4=Product sold per State</t>
  </si>
  <si>
    <t>5=Sales by saler with Avg</t>
  </si>
  <si>
    <t>Date</t>
  </si>
  <si>
    <t>Item</t>
  </si>
  <si>
    <t>Sales Rep</t>
  </si>
  <si>
    <t>Quantity</t>
  </si>
  <si>
    <t>Price</t>
  </si>
  <si>
    <t>Commission</t>
  </si>
  <si>
    <t>State</t>
  </si>
  <si>
    <t>Total Sales</t>
  </si>
  <si>
    <t>Total Commission</t>
  </si>
  <si>
    <t>Net Sales</t>
  </si>
  <si>
    <t>Sales Id-70001</t>
  </si>
  <si>
    <t>Printer</t>
  </si>
  <si>
    <t>John</t>
  </si>
  <si>
    <t>Meghalaya</t>
  </si>
  <si>
    <t>Sales Id-70002</t>
  </si>
  <si>
    <t>White Board</t>
  </si>
  <si>
    <t>Mark</t>
  </si>
  <si>
    <t>Uttar Pradesh</t>
  </si>
  <si>
    <t>Sales Id-70003</t>
  </si>
  <si>
    <t>Office Chair</t>
  </si>
  <si>
    <t>Maharashtra</t>
  </si>
  <si>
    <t>Sales Id-70004</t>
  </si>
  <si>
    <t>Delhi</t>
  </si>
  <si>
    <t>Sales Id-70005</t>
  </si>
  <si>
    <t>Laura</t>
  </si>
  <si>
    <t>West Bengal</t>
  </si>
  <si>
    <t>Sales Id-70006</t>
  </si>
  <si>
    <t>Stacey</t>
  </si>
  <si>
    <t>Bihar</t>
  </si>
  <si>
    <t>Sales Id-70007</t>
  </si>
  <si>
    <t>Diary</t>
  </si>
  <si>
    <t>Bob</t>
  </si>
  <si>
    <t>Goa</t>
  </si>
  <si>
    <t>Sales Id-70008</t>
  </si>
  <si>
    <t>Projector</t>
  </si>
  <si>
    <t>Karnataka</t>
  </si>
  <si>
    <t>Sales Id-70009</t>
  </si>
  <si>
    <t>Gujarat</t>
  </si>
  <si>
    <t>Sales Id-70010</t>
  </si>
  <si>
    <t>Jharkhand</t>
  </si>
  <si>
    <t>Sales Id-70011</t>
  </si>
  <si>
    <t>Haryana</t>
  </si>
  <si>
    <t>Sales Id-70012</t>
  </si>
  <si>
    <t>Kerala</t>
  </si>
  <si>
    <t>Sales Id-70013</t>
  </si>
  <si>
    <t>Sales Id-70014</t>
  </si>
  <si>
    <t>Sales Id-70015</t>
  </si>
  <si>
    <t>Sales Id-70016</t>
  </si>
  <si>
    <t>Sales Id-70017</t>
  </si>
  <si>
    <t>Sales Id-70018</t>
  </si>
  <si>
    <t>Sales Id-70019</t>
  </si>
  <si>
    <t>Sales Id-70020</t>
  </si>
  <si>
    <t>Sales Id-70021</t>
  </si>
  <si>
    <t>Sales Id-70022</t>
  </si>
  <si>
    <t>Sales Id-70023</t>
  </si>
  <si>
    <t>Sales Id-70024</t>
  </si>
  <si>
    <t>Sales Id-70025</t>
  </si>
  <si>
    <t>Sales Id-70026</t>
  </si>
  <si>
    <t>Sales Id-70027</t>
  </si>
  <si>
    <t>Sales Id-70028</t>
  </si>
  <si>
    <t>Sales Id-70029</t>
  </si>
  <si>
    <t>Sales Id-70030</t>
  </si>
  <si>
    <t>Sales Id-70031</t>
  </si>
  <si>
    <t>Sales Id-70032</t>
  </si>
  <si>
    <t>Sales Id-70033</t>
  </si>
  <si>
    <t>Sales Id-70034</t>
  </si>
  <si>
    <t>Sales Id-70035</t>
  </si>
  <si>
    <t>Sales Id-70036</t>
  </si>
  <si>
    <t>Sales Id-70037</t>
  </si>
  <si>
    <t>Sales Id-70038</t>
  </si>
  <si>
    <t>Sales Id-70039</t>
  </si>
  <si>
    <t>Sales Id-70040</t>
  </si>
  <si>
    <t>Sales Id-70041</t>
  </si>
  <si>
    <t>Sales Id-70042</t>
  </si>
  <si>
    <t>Sales Id-70043</t>
  </si>
  <si>
    <t>Sales Id-70044</t>
  </si>
  <si>
    <t>Sales Id-70045</t>
  </si>
  <si>
    <t>Sales Id-70046</t>
  </si>
  <si>
    <t>Sales Id-70047</t>
  </si>
  <si>
    <t>Sales Id-70048</t>
  </si>
  <si>
    <t>Sales Id-70049</t>
  </si>
  <si>
    <t>Sales Id-70050</t>
  </si>
  <si>
    <t>Sales Id-70051</t>
  </si>
  <si>
    <t>Sales Id-70052</t>
  </si>
  <si>
    <t>Sales Id-70053</t>
  </si>
  <si>
    <t>Sales Id-70054</t>
  </si>
  <si>
    <t>Sales Id-70055</t>
  </si>
  <si>
    <t>Sales Id-70056</t>
  </si>
  <si>
    <t>Sales Id-70057</t>
  </si>
  <si>
    <t>Sales Id-70058</t>
  </si>
  <si>
    <t>Sales Id-70059</t>
  </si>
  <si>
    <t>Sales Id-70060</t>
  </si>
  <si>
    <t>Sales Id-70061</t>
  </si>
  <si>
    <t>Sales Id-70062</t>
  </si>
  <si>
    <t>Sales Id-70063</t>
  </si>
  <si>
    <t>Sales Id-70064</t>
  </si>
  <si>
    <t>Sales Id-70065</t>
  </si>
  <si>
    <t>Sales Id-70066</t>
  </si>
  <si>
    <t>Sales Id-70067</t>
  </si>
  <si>
    <t>Sales Id-70068</t>
  </si>
  <si>
    <t>Sales Id-70069</t>
  </si>
  <si>
    <t>Sales Id-70070</t>
  </si>
  <si>
    <t>Sales Id-70071</t>
  </si>
  <si>
    <t>Sales Id-70072</t>
  </si>
  <si>
    <t>Sales Id-70073</t>
  </si>
  <si>
    <t>Sales Id-70074</t>
  </si>
  <si>
    <t>Sales Id-70075</t>
  </si>
  <si>
    <t>Sales Id-70076</t>
  </si>
  <si>
    <t>Sales Id-70077</t>
  </si>
  <si>
    <t>Sales Id-70078</t>
  </si>
  <si>
    <t>Sales Id-70079</t>
  </si>
  <si>
    <t>Sales Id-70080</t>
  </si>
  <si>
    <t>Sales Id-70081</t>
  </si>
  <si>
    <t>Sales Id-70082</t>
  </si>
  <si>
    <t>Sales Id-70083</t>
  </si>
  <si>
    <t>Sales Id-70084</t>
  </si>
  <si>
    <t>Sales Id-70085</t>
  </si>
  <si>
    <t>Sales Id-70086</t>
  </si>
  <si>
    <t>Sales Id-70087</t>
  </si>
  <si>
    <t>Sales Id-70088</t>
  </si>
  <si>
    <t>Sales Id-70089</t>
  </si>
  <si>
    <t>Sales Id-70090</t>
  </si>
  <si>
    <t>Sales Id-70091</t>
  </si>
  <si>
    <t>Sales Id-70092</t>
  </si>
  <si>
    <t>Sales Id-70093</t>
  </si>
  <si>
    <t>Sales Id-70094</t>
  </si>
  <si>
    <t>Sales Id-70095</t>
  </si>
  <si>
    <t>Sales Id-70096</t>
  </si>
  <si>
    <t>Sales Id-70097</t>
  </si>
  <si>
    <t>Sales Id-70098</t>
  </si>
  <si>
    <t>Sales Id-70099</t>
  </si>
  <si>
    <t>Sales Id-70100</t>
  </si>
  <si>
    <t>Sales Id-70101</t>
  </si>
  <si>
    <t>Sales Id-70102</t>
  </si>
  <si>
    <t>Sales Id-70103</t>
  </si>
  <si>
    <t>Sales Id-70104</t>
  </si>
  <si>
    <t>Sales Id-70105</t>
  </si>
  <si>
    <t>Sales Id-70106</t>
  </si>
  <si>
    <t>Sales Id-70107</t>
  </si>
  <si>
    <t>Sales Id-70108</t>
  </si>
  <si>
    <t>Sales Id-70109</t>
  </si>
  <si>
    <t>Sales Id-70110</t>
  </si>
  <si>
    <t>Sales Id-70111</t>
  </si>
  <si>
    <t>Sales Id-70112</t>
  </si>
  <si>
    <t>Sales Id-70113</t>
  </si>
  <si>
    <t>Sales Id-70114</t>
  </si>
  <si>
    <t>Sales Id-70115</t>
  </si>
  <si>
    <t>Sales Id-70116</t>
  </si>
  <si>
    <t>Sales Id-70117</t>
  </si>
  <si>
    <t>Sales Id-70118</t>
  </si>
  <si>
    <t>Sales Id-70119</t>
  </si>
  <si>
    <t>Sales Id-70120</t>
  </si>
  <si>
    <t>Sales Id-70121</t>
  </si>
  <si>
    <t>Sales Id-70122</t>
  </si>
  <si>
    <t>Sales Id-70123</t>
  </si>
  <si>
    <t>Sales Id-70124</t>
  </si>
  <si>
    <t>Sales Id-70125</t>
  </si>
  <si>
    <t>Sales Id-70126</t>
  </si>
  <si>
    <t>Sales Id-70127</t>
  </si>
  <si>
    <t>Sales Id-70128</t>
  </si>
  <si>
    <t>Sales Id-70129</t>
  </si>
  <si>
    <t>Sales Id-70130</t>
  </si>
  <si>
    <t>Sales Id-70131</t>
  </si>
  <si>
    <t>Sales Id-70132</t>
  </si>
  <si>
    <t>Sales Id-70133</t>
  </si>
  <si>
    <t>Sales Id-70134</t>
  </si>
  <si>
    <t>Sales Id-70135</t>
  </si>
  <si>
    <t>Sales Id-70136</t>
  </si>
  <si>
    <t>Sales Id-70137</t>
  </si>
  <si>
    <t>Sales Id-70138</t>
  </si>
  <si>
    <t>Sales Id-70139</t>
  </si>
  <si>
    <t>Sales Id-70140</t>
  </si>
  <si>
    <t>Sales Id-70141</t>
  </si>
  <si>
    <t>Sales Id-70142</t>
  </si>
  <si>
    <t>Sales Id-70143</t>
  </si>
  <si>
    <t>Sales Id-70144</t>
  </si>
  <si>
    <t>Sales Id-70145</t>
  </si>
  <si>
    <t>Sales Id-70146</t>
  </si>
  <si>
    <t>Sales Id-70147</t>
  </si>
  <si>
    <t>Sales Id-70148</t>
  </si>
  <si>
    <t>Sales Id-70149</t>
  </si>
  <si>
    <t>Sales Id-70150</t>
  </si>
  <si>
    <t>Sales Id-70151</t>
  </si>
  <si>
    <t>Sales Id-70152</t>
  </si>
  <si>
    <t>Sales Id-70153</t>
  </si>
  <si>
    <t>Sales Id-70154</t>
  </si>
  <si>
    <t>Sales Id-70155</t>
  </si>
  <si>
    <t>Sales Id-70156</t>
  </si>
  <si>
    <t>Sales Id-70157</t>
  </si>
  <si>
    <t>Sales Id-70158</t>
  </si>
  <si>
    <t>Sales Id-70159</t>
  </si>
  <si>
    <t>Sales Id-70160</t>
  </si>
  <si>
    <t>Sales Id-70161</t>
  </si>
  <si>
    <t>Sales Id-70162</t>
  </si>
  <si>
    <t>Sales Id-70163</t>
  </si>
  <si>
    <t>Sales Id-70164</t>
  </si>
  <si>
    <t>Sales Id-70165</t>
  </si>
  <si>
    <t>Sales Id-70166</t>
  </si>
  <si>
    <t>Sales Id-70167</t>
  </si>
  <si>
    <t>Sales Id-70168</t>
  </si>
  <si>
    <t>Sales Id-70169</t>
  </si>
  <si>
    <t>Sales Id-70170</t>
  </si>
  <si>
    <t>Sales Id-70171</t>
  </si>
  <si>
    <t>Sales Id-70172</t>
  </si>
  <si>
    <t>Sales Id-70173</t>
  </si>
  <si>
    <t>Sales Id-70174</t>
  </si>
  <si>
    <t>Sales Id-70175</t>
  </si>
  <si>
    <t>Sales Id-70176</t>
  </si>
  <si>
    <t>Sales Id-70177</t>
  </si>
  <si>
    <t>Sales Id-70178</t>
  </si>
  <si>
    <t>Sales Id-70179</t>
  </si>
  <si>
    <t>Sales Id-70180</t>
  </si>
  <si>
    <t>Sales Id-70181</t>
  </si>
  <si>
    <t>Sales Id-70182</t>
  </si>
  <si>
    <t>Sales Id-70183</t>
  </si>
  <si>
    <t>Sales Id-70184</t>
  </si>
  <si>
    <t>Sales Id-70185</t>
  </si>
  <si>
    <t>Sales Id-70186</t>
  </si>
  <si>
    <t>Sales Id-70187</t>
  </si>
  <si>
    <t>Sales Id-70188</t>
  </si>
  <si>
    <t>Sales Id-70189</t>
  </si>
  <si>
    <t>Sales Id-70190</t>
  </si>
  <si>
    <t>Sales Id-70191</t>
  </si>
  <si>
    <t>Sales Id-70192</t>
  </si>
  <si>
    <t>Sales Id-70193</t>
  </si>
  <si>
    <t>Sales Id-70194</t>
  </si>
  <si>
    <t>Sales Id-70195</t>
  </si>
  <si>
    <t>Sales Id-70196</t>
  </si>
  <si>
    <t>Sales Id-70197</t>
  </si>
  <si>
    <t>Sales Id-70198</t>
  </si>
  <si>
    <t>Sales Id-70199</t>
  </si>
  <si>
    <t>Sales Id-70200</t>
  </si>
  <si>
    <t>Sales Id-70201</t>
  </si>
  <si>
    <t>Sales Id-70202</t>
  </si>
  <si>
    <t>Sales Id-70203</t>
  </si>
  <si>
    <t>Sales Id-70204</t>
  </si>
  <si>
    <t>Sales Id-70205</t>
  </si>
  <si>
    <t>Sales Id-70206</t>
  </si>
  <si>
    <t>Sales Id-70207</t>
  </si>
  <si>
    <t>Sales Id-70208</t>
  </si>
  <si>
    <t>Sales Id-70209</t>
  </si>
  <si>
    <t>Sales Id-70210</t>
  </si>
  <si>
    <t>Sales Id-70211</t>
  </si>
  <si>
    <t>Sales Id-70212</t>
  </si>
  <si>
    <t>Sales Id-70213</t>
  </si>
  <si>
    <t>Sales Id-70214</t>
  </si>
  <si>
    <t>Sales Id-70215</t>
  </si>
  <si>
    <t>Sales Id-70216</t>
  </si>
  <si>
    <t>Sales Id-70217</t>
  </si>
  <si>
    <t>Sales Id-70218</t>
  </si>
  <si>
    <t>Sales Id-70219</t>
  </si>
  <si>
    <t>Sales Id-70220</t>
  </si>
  <si>
    <t>Sales Id-70221</t>
  </si>
  <si>
    <t>Sales Id-70222</t>
  </si>
  <si>
    <t>Sales Id-70223</t>
  </si>
  <si>
    <t>Sales Id-70224</t>
  </si>
  <si>
    <t>Sales Id-70225</t>
  </si>
  <si>
    <t>Sales Id-70226</t>
  </si>
  <si>
    <t>Sales Id-70227</t>
  </si>
  <si>
    <t>Sales Id-70228</t>
  </si>
  <si>
    <t>Sales Id-70229</t>
  </si>
  <si>
    <t>Sales Id-70230</t>
  </si>
  <si>
    <t>Sales Id-70231</t>
  </si>
  <si>
    <t>Sales Id-70232</t>
  </si>
  <si>
    <t>Sales Id-70233</t>
  </si>
  <si>
    <t>Sales Id-70234</t>
  </si>
  <si>
    <t>Sales Id-70235</t>
  </si>
  <si>
    <t>Sales Id-70236</t>
  </si>
  <si>
    <t>Sales Id-70237</t>
  </si>
  <si>
    <t>Sales Id-70238</t>
  </si>
  <si>
    <t>Sales Id-70239</t>
  </si>
  <si>
    <t>Sales Id-70240</t>
  </si>
  <si>
    <t>Sales Id-70241</t>
  </si>
  <si>
    <t>Sales Id-70242</t>
  </si>
  <si>
    <t>Sales Id-70243</t>
  </si>
  <si>
    <t>Sales Id-70244</t>
  </si>
  <si>
    <t>Sales Id-70245</t>
  </si>
  <si>
    <t>Sales Id-70246</t>
  </si>
  <si>
    <t>Sales Id-70247</t>
  </si>
  <si>
    <t>Sales Id-70248</t>
  </si>
  <si>
    <t>Sales Id-70249</t>
  </si>
  <si>
    <t>Sales Id-70250</t>
  </si>
  <si>
    <t>Sales Id-70251</t>
  </si>
  <si>
    <t>Sales Id-70252</t>
  </si>
  <si>
    <t>Sales Id-70253</t>
  </si>
  <si>
    <t>Sales Id-70254</t>
  </si>
  <si>
    <t>Sales Id-70255</t>
  </si>
  <si>
    <t>Sales Id-70256</t>
  </si>
  <si>
    <t>Sales Id-70257</t>
  </si>
  <si>
    <t>Sales Id-70258</t>
  </si>
  <si>
    <t>Sales Id-70259</t>
  </si>
  <si>
    <t>Sales Id-70260</t>
  </si>
  <si>
    <t>Sales Id-70261</t>
  </si>
  <si>
    <t>Sales Id-70262</t>
  </si>
  <si>
    <t>Sales Id-70263</t>
  </si>
  <si>
    <t>Sales Id-70264</t>
  </si>
  <si>
    <t>Sales Id-70265</t>
  </si>
  <si>
    <t>Sales Id-70266</t>
  </si>
  <si>
    <t>Sales Id-70267</t>
  </si>
  <si>
    <t>Sales Id-70268</t>
  </si>
  <si>
    <t>Sales Id-70269</t>
  </si>
  <si>
    <t>Sales Id-70270</t>
  </si>
  <si>
    <t>Sales Id-70271</t>
  </si>
  <si>
    <t>Sales Id-70272</t>
  </si>
  <si>
    <t>Sales Id-70273</t>
  </si>
  <si>
    <t>Sales Id-70274</t>
  </si>
  <si>
    <t>Sales Id-70275</t>
  </si>
  <si>
    <t>Sales Id-70276</t>
  </si>
  <si>
    <t>Sales Id-70277</t>
  </si>
  <si>
    <t>Sales Id-70278</t>
  </si>
  <si>
    <t>Sales Id-70279</t>
  </si>
  <si>
    <t>Sales Id-70280</t>
  </si>
  <si>
    <t>Sales Id-70281</t>
  </si>
  <si>
    <t>Sales Id-70282</t>
  </si>
  <si>
    <t>Sales Id-70283</t>
  </si>
  <si>
    <t>Sales Id-70284</t>
  </si>
  <si>
    <t>Sales Id-70285</t>
  </si>
  <si>
    <t>Sales Id-70286</t>
  </si>
  <si>
    <t>Sales Id-70287</t>
  </si>
  <si>
    <t>Sales Id-70288</t>
  </si>
  <si>
    <t>Sales Id-70289</t>
  </si>
  <si>
    <t>Sales Id-70290</t>
  </si>
  <si>
    <t>Sales Id-70291</t>
  </si>
  <si>
    <t>Sales Id-70292</t>
  </si>
  <si>
    <t>Sales Id-70293</t>
  </si>
  <si>
    <t>Sales Id-70294</t>
  </si>
  <si>
    <t>Sales Id-70295</t>
  </si>
  <si>
    <t>Sales Id-70296</t>
  </si>
  <si>
    <t>Sales Id-70297</t>
  </si>
  <si>
    <t>Sales Id-70298</t>
  </si>
  <si>
    <t>Sales Id-70299</t>
  </si>
  <si>
    <t>Sales Id-70300</t>
  </si>
  <si>
    <t>Sales Id-70301</t>
  </si>
  <si>
    <t>Sales Id-70302</t>
  </si>
  <si>
    <t>Sales Id-70303</t>
  </si>
  <si>
    <t>Sales Id-70304</t>
  </si>
  <si>
    <t>Sales Id-70305</t>
  </si>
  <si>
    <t>Sales Id-70306</t>
  </si>
  <si>
    <t>Sales Id-70307</t>
  </si>
  <si>
    <t>Sales Id-70308</t>
  </si>
  <si>
    <t>Sales Id-70309</t>
  </si>
  <si>
    <t>Sales Id-70310</t>
  </si>
  <si>
    <t>Sales Id-70311</t>
  </si>
  <si>
    <t>Sales Id-70312</t>
  </si>
  <si>
    <t>Sales Id-70313</t>
  </si>
  <si>
    <t>Sales Id-70314</t>
  </si>
  <si>
    <t>Sales Id-70315</t>
  </si>
  <si>
    <t>Sales Id-70316</t>
  </si>
  <si>
    <t>Sales Id-70317</t>
  </si>
  <si>
    <t>Sales Id-70318</t>
  </si>
  <si>
    <t>Sales Id-70319</t>
  </si>
  <si>
    <t>Sales Id-70320</t>
  </si>
  <si>
    <t>Sales Id-70321</t>
  </si>
  <si>
    <t>Sales Id-70322</t>
  </si>
  <si>
    <t>Sales Id-70323</t>
  </si>
  <si>
    <t>Sales Id-70324</t>
  </si>
  <si>
    <t>Sales Id-70325</t>
  </si>
  <si>
    <t>Sales Id-70326</t>
  </si>
  <si>
    <t>Sales Id-70327</t>
  </si>
  <si>
    <t>Sales Id-70328</t>
  </si>
  <si>
    <t>Sales Id-70329</t>
  </si>
  <si>
    <t>Sales Id-70330</t>
  </si>
  <si>
    <t>Sales Id-70331</t>
  </si>
  <si>
    <t>Sales Id-70332</t>
  </si>
  <si>
    <t>Sales Id-70333</t>
  </si>
  <si>
    <t>Sales Id-70334</t>
  </si>
  <si>
    <t>Sales Id-70335</t>
  </si>
  <si>
    <t>Sales Id-70336</t>
  </si>
  <si>
    <t>Sales Id-70337</t>
  </si>
  <si>
    <t>Sales Id-70338</t>
  </si>
  <si>
    <t>Sales Id-70339</t>
  </si>
  <si>
    <t>Sales Id-70340</t>
  </si>
  <si>
    <t>Sales Id-70341</t>
  </si>
  <si>
    <t>Sales Id-70342</t>
  </si>
  <si>
    <t>Sales Id-70343</t>
  </si>
  <si>
    <t>Sales Id-70344</t>
  </si>
  <si>
    <t>Sales Id-70345</t>
  </si>
  <si>
    <t>Sales Id-70346</t>
  </si>
  <si>
    <t>Sales Id-70347</t>
  </si>
  <si>
    <t>Sales Id-70348</t>
  </si>
  <si>
    <t>Sales Id-70349</t>
  </si>
  <si>
    <t>Sales Id-70350</t>
  </si>
  <si>
    <t>Sales Id-70351</t>
  </si>
  <si>
    <t>Sales Id-70352</t>
  </si>
  <si>
    <t>Sales Id-70353</t>
  </si>
  <si>
    <t>Sales Id-70354</t>
  </si>
  <si>
    <t>Sales Id-70355</t>
  </si>
  <si>
    <t>Sales Id-70356</t>
  </si>
  <si>
    <t>Sales Id-70357</t>
  </si>
  <si>
    <t>Sales Id-70358</t>
  </si>
  <si>
    <t>Sales Id-70359</t>
  </si>
  <si>
    <t>Sales Id-70360</t>
  </si>
  <si>
    <t>Sales Id-70361</t>
  </si>
  <si>
    <t>Sales Id-70362</t>
  </si>
  <si>
    <t>Sales Id-70363</t>
  </si>
  <si>
    <t>Sales Id-70364</t>
  </si>
  <si>
    <t>Sales Id-70365</t>
  </si>
  <si>
    <t>Sales Id-70366</t>
  </si>
  <si>
    <t>Sales Id-70367</t>
  </si>
  <si>
    <t>Sales Id-70368</t>
  </si>
  <si>
    <t>Sales Id-70369</t>
  </si>
  <si>
    <t>Sales Id-70370</t>
  </si>
  <si>
    <t>Sales Id-70371</t>
  </si>
  <si>
    <t>Sales Id-70372</t>
  </si>
  <si>
    <t>Sales Id-70373</t>
  </si>
  <si>
    <t>Sales Id-70374</t>
  </si>
  <si>
    <t>Sales Id-70375</t>
  </si>
  <si>
    <t>Sales Id-70376</t>
  </si>
  <si>
    <t>Sales Id-70377</t>
  </si>
  <si>
    <t>Sales Id-70378</t>
  </si>
  <si>
    <t>Sales Id-70379</t>
  </si>
  <si>
    <t>Sales Id-70380</t>
  </si>
  <si>
    <t>Sales Id-70381</t>
  </si>
  <si>
    <t>Sales Id-70382</t>
  </si>
  <si>
    <t>Sales Id-70383</t>
  </si>
  <si>
    <t>Sales Id-70384</t>
  </si>
  <si>
    <t>Sales Id-70385</t>
  </si>
  <si>
    <t>Sales Id-70386</t>
  </si>
  <si>
    <t>Sales Id-70387</t>
  </si>
  <si>
    <t>Sales Id-70388</t>
  </si>
  <si>
    <t>Sales Id-70389</t>
  </si>
  <si>
    <t>Sales Id-70390</t>
  </si>
  <si>
    <t>Sales Id-70391</t>
  </si>
  <si>
    <t>Sales Id-70392</t>
  </si>
  <si>
    <t>Sales Id-70393</t>
  </si>
  <si>
    <t>Sales Id-70394</t>
  </si>
  <si>
    <t>Sales Id-70395</t>
  </si>
  <si>
    <t>Sales Id-70396</t>
  </si>
  <si>
    <t>Sales Id-70397</t>
  </si>
  <si>
    <t>Sales Id-70398</t>
  </si>
  <si>
    <t>Sales Id-70399</t>
  </si>
  <si>
    <t>Sales Id-70400</t>
  </si>
  <si>
    <t>Sales Id-70401</t>
  </si>
  <si>
    <t>Sales Id-70402</t>
  </si>
  <si>
    <t>Sales Id-70403</t>
  </si>
  <si>
    <t>Sales Id-70404</t>
  </si>
  <si>
    <t>Sales Id-70405</t>
  </si>
  <si>
    <t>Sales Id-70406</t>
  </si>
  <si>
    <t>Sales Id-70407</t>
  </si>
  <si>
    <t>Sales Id-70408</t>
  </si>
  <si>
    <t>Sales Id-70409</t>
  </si>
  <si>
    <t>Sales Id-70410</t>
  </si>
  <si>
    <t>Sales Id-70411</t>
  </si>
  <si>
    <t>Sales Id-70412</t>
  </si>
  <si>
    <t>Sales Id-70413</t>
  </si>
  <si>
    <t>Sales Id-70414</t>
  </si>
  <si>
    <t>Sales Id-70415</t>
  </si>
  <si>
    <t>Sales Id-70416</t>
  </si>
  <si>
    <t>Sales Id-70417</t>
  </si>
  <si>
    <t>Sales Id-70418</t>
  </si>
  <si>
    <t>Sales Id-70419</t>
  </si>
  <si>
    <t>Sales Id-70420</t>
  </si>
  <si>
    <t>Sales Id-70421</t>
  </si>
  <si>
    <t>Sales Id-70422</t>
  </si>
  <si>
    <t>Sales Id-70423</t>
  </si>
  <si>
    <t>Sales Id-70424</t>
  </si>
  <si>
    <t>Sales Id-70425</t>
  </si>
  <si>
    <t>Sales Id-70426</t>
  </si>
  <si>
    <t>Sales Id-70427</t>
  </si>
  <si>
    <t>Sales Id-70428</t>
  </si>
  <si>
    <t>Sales Id-70429</t>
  </si>
  <si>
    <t>Sales Id-70430</t>
  </si>
  <si>
    <t>Sales Id-70431</t>
  </si>
  <si>
    <t>Sales Id-70432</t>
  </si>
  <si>
    <t>Sales Id-70433</t>
  </si>
  <si>
    <t>Sales Id-70434</t>
  </si>
  <si>
    <t>Sales Id-70435</t>
  </si>
  <si>
    <t>Sales Id-70436</t>
  </si>
  <si>
    <t>Sales Id-70437</t>
  </si>
  <si>
    <t>Sales Id-70438</t>
  </si>
  <si>
    <t>Sales Id-70439</t>
  </si>
  <si>
    <t>Sales Id-70440</t>
  </si>
  <si>
    <t>Sales Id-70441</t>
  </si>
  <si>
    <t>Sales Id-70442</t>
  </si>
  <si>
    <t>Sales Id-70443</t>
  </si>
  <si>
    <t>Sales Id-70444</t>
  </si>
  <si>
    <t>Sales Id-70445</t>
  </si>
  <si>
    <t>Sales Id-70446</t>
  </si>
  <si>
    <t>Sales Id-70447</t>
  </si>
  <si>
    <t>Sales Id-70448</t>
  </si>
  <si>
    <t>Sales Id-70449</t>
  </si>
  <si>
    <t>Sales Id-70450</t>
  </si>
  <si>
    <t>Sales Id-70451</t>
  </si>
  <si>
    <t>Sales Id-70452</t>
  </si>
  <si>
    <t>Sales Id-70453</t>
  </si>
  <si>
    <t>Sales Id-70454</t>
  </si>
  <si>
    <t>Sales Id-70455</t>
  </si>
  <si>
    <t>Sales Id-70456</t>
  </si>
  <si>
    <t>Sales Id-70457</t>
  </si>
  <si>
    <t>Sales Id-70458</t>
  </si>
  <si>
    <t>Sales Id-70459</t>
  </si>
  <si>
    <t>Sales Id-70460</t>
  </si>
  <si>
    <t>Sales Id-70461</t>
  </si>
  <si>
    <t>Sales Id-70462</t>
  </si>
  <si>
    <t>Sales Id-70463</t>
  </si>
  <si>
    <t>Sales Id-70464</t>
  </si>
  <si>
    <t>Sales Id-70465</t>
  </si>
  <si>
    <t>Sales Id-70466</t>
  </si>
  <si>
    <t>Sales Id-70467</t>
  </si>
  <si>
    <t>Sales Id-70468</t>
  </si>
  <si>
    <t>Sales Id-70469</t>
  </si>
  <si>
    <t>Sales Id-70470</t>
  </si>
  <si>
    <t>Sales Id-70471</t>
  </si>
  <si>
    <t>Sales Id-70472</t>
  </si>
  <si>
    <t>Sales Id-70473</t>
  </si>
  <si>
    <t>Sales Id-70474</t>
  </si>
  <si>
    <t>Sales Id-70475</t>
  </si>
  <si>
    <t>Sales Id-70476</t>
  </si>
  <si>
    <t>Sales Id-70477</t>
  </si>
  <si>
    <t>Sales Id-70478</t>
  </si>
  <si>
    <t>Sales Id-70479</t>
  </si>
  <si>
    <t>Sales Id-70480</t>
  </si>
  <si>
    <t>Sales Id-70481</t>
  </si>
  <si>
    <t>Sales Id-70482</t>
  </si>
  <si>
    <t>Sales Id-70483</t>
  </si>
  <si>
    <t>Sales Id-70484</t>
  </si>
  <si>
    <t>Sales Id-70485</t>
  </si>
  <si>
    <t>Sales Id-70486</t>
  </si>
  <si>
    <t>Sales Id-70487</t>
  </si>
  <si>
    <t>Sales Id-70488</t>
  </si>
  <si>
    <t>Sales Id-70489</t>
  </si>
  <si>
    <t>Sales Id-70490</t>
  </si>
  <si>
    <t>Sales Id-70491</t>
  </si>
  <si>
    <t>Sales Id-70492</t>
  </si>
  <si>
    <t>Sales Id-70493</t>
  </si>
  <si>
    <t>Sales Id-70494</t>
  </si>
  <si>
    <t>Sales Id-70495</t>
  </si>
  <si>
    <t>Sales Id-70496</t>
  </si>
  <si>
    <t>Sales Id-70497</t>
  </si>
  <si>
    <t>Sales Id-70498</t>
  </si>
  <si>
    <t>Sales Id-70499</t>
  </si>
  <si>
    <t>Sales Id-70500</t>
  </si>
  <si>
    <t>Sales Id-70501</t>
  </si>
  <si>
    <t>Sales Id-70502</t>
  </si>
  <si>
    <t>Sales Id-70503</t>
  </si>
  <si>
    <t>Sales Id-70504</t>
  </si>
  <si>
    <t>Sales Id-70505</t>
  </si>
  <si>
    <t>Sales Id-70506</t>
  </si>
  <si>
    <t>Sales Id-70507</t>
  </si>
  <si>
    <t>Sales Id-70508</t>
  </si>
  <si>
    <t>Sales Id-70509</t>
  </si>
  <si>
    <t>Sales Id-70510</t>
  </si>
  <si>
    <t>Sales Id-70511</t>
  </si>
  <si>
    <t>Sales Id-70512</t>
  </si>
  <si>
    <t>Sales Id-70513</t>
  </si>
  <si>
    <t>Sales Id-70514</t>
  </si>
  <si>
    <t>Sales Id-70515</t>
  </si>
  <si>
    <t>Sales Id-70516</t>
  </si>
  <si>
    <t>Sales Id-70517</t>
  </si>
  <si>
    <t>Sales Id-70518</t>
  </si>
  <si>
    <t>Sales Id-70519</t>
  </si>
  <si>
    <t>Sales Id-70520</t>
  </si>
  <si>
    <t>Sales Id-70521</t>
  </si>
  <si>
    <t>Sales Id-70522</t>
  </si>
  <si>
    <t>Sales Id-70523</t>
  </si>
  <si>
    <t>Sales Id-70524</t>
  </si>
  <si>
    <t>Sales Id-70525</t>
  </si>
  <si>
    <t>Sales Id-70526</t>
  </si>
  <si>
    <t>Sales Id-70527</t>
  </si>
  <si>
    <t>Sales Id-70528</t>
  </si>
  <si>
    <t>Sales Id-70529</t>
  </si>
  <si>
    <t>Sales Id-70530</t>
  </si>
  <si>
    <t>Sales Id-70531</t>
  </si>
  <si>
    <t>Sales Id-70532</t>
  </si>
  <si>
    <t>Sales Id-70533</t>
  </si>
  <si>
    <t>Sales Id-70534</t>
  </si>
  <si>
    <t>Sales Id-70535</t>
  </si>
  <si>
    <t>Sales Id-70536</t>
  </si>
  <si>
    <t>Sales Id-70537</t>
  </si>
  <si>
    <t>Sales Id-70538</t>
  </si>
  <si>
    <t>Sales Id-70539</t>
  </si>
  <si>
    <t>Sales Id-70540</t>
  </si>
  <si>
    <t>Sales Id-70541</t>
  </si>
  <si>
    <t>Sales Id-70542</t>
  </si>
  <si>
    <t>Sales Id-70543</t>
  </si>
  <si>
    <t>Sales Id-70544</t>
  </si>
  <si>
    <t>Sales Id-70545</t>
  </si>
  <si>
    <t>Sales Id-70546</t>
  </si>
  <si>
    <t>Sales Id-70547</t>
  </si>
  <si>
    <t>Sales Id-70548</t>
  </si>
  <si>
    <t>Sales Id-70549</t>
  </si>
  <si>
    <t>Sales Id-70550</t>
  </si>
  <si>
    <t>Sales Id-70551</t>
  </si>
  <si>
    <t>Sales Id-70552</t>
  </si>
  <si>
    <t>Sales Id-70553</t>
  </si>
  <si>
    <t>Sales Id-70554</t>
  </si>
  <si>
    <t>Sales Id-70555</t>
  </si>
  <si>
    <t>Sales Id-70556</t>
  </si>
  <si>
    <t>Sales Id-70557</t>
  </si>
  <si>
    <t>Sales Id-70558</t>
  </si>
  <si>
    <t>Sales Id-70559</t>
  </si>
  <si>
    <t>Sales Id-70560</t>
  </si>
  <si>
    <t>Sales Id-70561</t>
  </si>
  <si>
    <t>Sales Id-70562</t>
  </si>
  <si>
    <t>Sales Id-70563</t>
  </si>
  <si>
    <t>Sales Id-70564</t>
  </si>
  <si>
    <t>Sales Id-70565</t>
  </si>
  <si>
    <t>Sales Id-70566</t>
  </si>
  <si>
    <t>Sales Id-70567</t>
  </si>
  <si>
    <t>Sales Id-70568</t>
  </si>
  <si>
    <t>Sales Id-70569</t>
  </si>
  <si>
    <t>Sales Id-70570</t>
  </si>
  <si>
    <t>Sales Id-70571</t>
  </si>
  <si>
    <t>Sales Id-70572</t>
  </si>
  <si>
    <t>Sales Id-70573</t>
  </si>
  <si>
    <t>Sales Id-70574</t>
  </si>
  <si>
    <t>Sales Id-70575</t>
  </si>
  <si>
    <t>Sales Id-70576</t>
  </si>
  <si>
    <t>Sales Id-70577</t>
  </si>
  <si>
    <t>Sales Id-70578</t>
  </si>
  <si>
    <t>Sales Id-70579</t>
  </si>
  <si>
    <t>Sales Id-70580</t>
  </si>
  <si>
    <t>Sales Id-70581</t>
  </si>
  <si>
    <t>Sales Id-70582</t>
  </si>
  <si>
    <t>Sales Id-70583</t>
  </si>
  <si>
    <t>Sales Id-70584</t>
  </si>
  <si>
    <t>Sales Id-70585</t>
  </si>
  <si>
    <t>Sales Id-70586</t>
  </si>
  <si>
    <t>Sales Id-70587</t>
  </si>
  <si>
    <t>Sales Id-70588</t>
  </si>
  <si>
    <t>Sales Id-70589</t>
  </si>
  <si>
    <t>Sales Id-70590</t>
  </si>
  <si>
    <t>Sales Id-70591</t>
  </si>
  <si>
    <t>Sales Id-70592</t>
  </si>
  <si>
    <t>Sales Id-70593</t>
  </si>
  <si>
    <t>Sales Id-70594</t>
  </si>
  <si>
    <t>Sales Id-70595</t>
  </si>
  <si>
    <t>Sales Id-70596</t>
  </si>
  <si>
    <t>Sales Id-70597</t>
  </si>
  <si>
    <t>Sales Id-70598</t>
  </si>
  <si>
    <t>Sales Id-70599</t>
  </si>
  <si>
    <t>Sales Id-70600</t>
  </si>
  <si>
    <t>Sales Id-70601</t>
  </si>
  <si>
    <t>Sales Id-70602</t>
  </si>
  <si>
    <t>Sales Id-70603</t>
  </si>
  <si>
    <t>Sales Id-70604</t>
  </si>
  <si>
    <t>Sales Id-70605</t>
  </si>
  <si>
    <t>Sales Id-70606</t>
  </si>
  <si>
    <t>Sales Id-70607</t>
  </si>
  <si>
    <t>Sales Id-70608</t>
  </si>
  <si>
    <t>Sales Id-70609</t>
  </si>
  <si>
    <t>Sales Id-70610</t>
  </si>
  <si>
    <t>Sales Id-70611</t>
  </si>
  <si>
    <t>Sales Id-70612</t>
  </si>
  <si>
    <t>Sales Id-70613</t>
  </si>
  <si>
    <t>Sales Id-70614</t>
  </si>
  <si>
    <t>Sales Id-70615</t>
  </si>
  <si>
    <t>Sales Id-70616</t>
  </si>
  <si>
    <t>Sales Id-70617</t>
  </si>
  <si>
    <t>Sales Id-70618</t>
  </si>
  <si>
    <t>Sales Id-70619</t>
  </si>
  <si>
    <t>Sales Id-70620</t>
  </si>
  <si>
    <t>Sales Id-70621</t>
  </si>
  <si>
    <t>Sales Id-70622</t>
  </si>
  <si>
    <t>Sales Id-70623</t>
  </si>
  <si>
    <t>Sales Id-70624</t>
  </si>
  <si>
    <t>Sales Id-70625</t>
  </si>
  <si>
    <t>Sales Id-70626</t>
  </si>
  <si>
    <t>Sales Id-70627</t>
  </si>
  <si>
    <t>Sales Id-70628</t>
  </si>
  <si>
    <t>Sales Id-70629</t>
  </si>
  <si>
    <t>Sales Id-70630</t>
  </si>
  <si>
    <t>Sales Id-70631</t>
  </si>
  <si>
    <t>Sales Id-70632</t>
  </si>
  <si>
    <t>Sales Id-70633</t>
  </si>
  <si>
    <t>Sales Id-70634</t>
  </si>
  <si>
    <t>Sales Id-70635</t>
  </si>
  <si>
    <t>Sales Id-70636</t>
  </si>
  <si>
    <t>Sales Id-70637</t>
  </si>
  <si>
    <t>Sales Id-70638</t>
  </si>
  <si>
    <t>Sales Id-70639</t>
  </si>
  <si>
    <t>Sales Id-70640</t>
  </si>
  <si>
    <t>Sales Id-70641</t>
  </si>
  <si>
    <t>Sales Id-70642</t>
  </si>
  <si>
    <t>Sales Id-70643</t>
  </si>
  <si>
    <t>Sales Id-70644</t>
  </si>
  <si>
    <t>Sales Id-70645</t>
  </si>
  <si>
    <t>Sales Id-70646</t>
  </si>
  <si>
    <t>Sales Id-70647</t>
  </si>
  <si>
    <t>Sales Id-70648</t>
  </si>
  <si>
    <t>Sales Id-70649</t>
  </si>
  <si>
    <t>Sales Id-70650</t>
  </si>
  <si>
    <t>Sales Id-70651</t>
  </si>
  <si>
    <t>Sales Id-70652</t>
  </si>
  <si>
    <t>Sales Id-70653</t>
  </si>
  <si>
    <t>Sales Id-70654</t>
  </si>
  <si>
    <t>Sales Id-70655</t>
  </si>
  <si>
    <t>Sales Id-70656</t>
  </si>
  <si>
    <t>Sales Id-70657</t>
  </si>
  <si>
    <t>Sales Id-70658</t>
  </si>
  <si>
    <t>Sales Id-70659</t>
  </si>
  <si>
    <t>Sales Id-70660</t>
  </si>
  <si>
    <t>Sales Id-70661</t>
  </si>
  <si>
    <t>Sales Id-70662</t>
  </si>
  <si>
    <t>Sales Id-70663</t>
  </si>
  <si>
    <t>Sales Id-70664</t>
  </si>
  <si>
    <t>Sales Id-70665</t>
  </si>
  <si>
    <t>Sales Id-70666</t>
  </si>
  <si>
    <t>Sales Id-70667</t>
  </si>
  <si>
    <t>Sales Id-70668</t>
  </si>
  <si>
    <t>Sales Id-70669</t>
  </si>
  <si>
    <t>Sales Id-70670</t>
  </si>
  <si>
    <t>Sales Id-70671</t>
  </si>
  <si>
    <t>Sales Id-70672</t>
  </si>
  <si>
    <t>Sales Id-70673</t>
  </si>
  <si>
    <t>Sales Id-70674</t>
  </si>
  <si>
    <t>Sales Id-70675</t>
  </si>
  <si>
    <t>Sales Id-70676</t>
  </si>
  <si>
    <t>Sales Id-70677</t>
  </si>
  <si>
    <t>Sales Id-70678</t>
  </si>
  <si>
    <t>Sales Id-70679</t>
  </si>
  <si>
    <t>Sales Id-70680</t>
  </si>
  <si>
    <t>Sales Id-70681</t>
  </si>
  <si>
    <t>Sales Id-70682</t>
  </si>
  <si>
    <t>Sales Id-70683</t>
  </si>
  <si>
    <t>Sales Id-70684</t>
  </si>
  <si>
    <t>Sales Id-70685</t>
  </si>
  <si>
    <t>Sales Id-70686</t>
  </si>
  <si>
    <t>Sales Id-70687</t>
  </si>
  <si>
    <t>Sales Id-70688</t>
  </si>
  <si>
    <t>Sales Id-70689</t>
  </si>
  <si>
    <t>Sales Id-70690</t>
  </si>
  <si>
    <t>Sales Id-70691</t>
  </si>
  <si>
    <t>Sales Id-70692</t>
  </si>
  <si>
    <t>Sales Id-70693</t>
  </si>
  <si>
    <t>Sales Id-70694</t>
  </si>
  <si>
    <t>Sales Id-70695</t>
  </si>
  <si>
    <t>Sales Id-70696</t>
  </si>
  <si>
    <t>Sales Id-70697</t>
  </si>
  <si>
    <t>Sales Id-70698</t>
  </si>
  <si>
    <t>Sales Id-70699</t>
  </si>
  <si>
    <t>Sales Id-70700</t>
  </si>
  <si>
    <t>Sales Id-70701</t>
  </si>
  <si>
    <t>Sales Id-70702</t>
  </si>
  <si>
    <t>Sales Id-70703</t>
  </si>
  <si>
    <t>Sales Id-70704</t>
  </si>
  <si>
    <t>Sales Id-70705</t>
  </si>
  <si>
    <t>Sales Id-70706</t>
  </si>
  <si>
    <t>Sales Id-70707</t>
  </si>
  <si>
    <t>Sales Id-70708</t>
  </si>
  <si>
    <t>Sales Id-70709</t>
  </si>
  <si>
    <t>Sales Id-70710</t>
  </si>
  <si>
    <t>Sales Id-70711</t>
  </si>
  <si>
    <t>Sales Id-70712</t>
  </si>
  <si>
    <t>Sales Id-70713</t>
  </si>
  <si>
    <t>Sales Id-70714</t>
  </si>
  <si>
    <t>Sales Id-70715</t>
  </si>
  <si>
    <t>Sales Id-70716</t>
  </si>
  <si>
    <t>Sales Id-70717</t>
  </si>
  <si>
    <t>Sales Id-70718</t>
  </si>
  <si>
    <t>Sales Id-70719</t>
  </si>
  <si>
    <t>Sales Id-70720</t>
  </si>
  <si>
    <t>Sales Id-70721</t>
  </si>
  <si>
    <t>Sales Id-70722</t>
  </si>
  <si>
    <t>Sales Id-70723</t>
  </si>
  <si>
    <t>Sales Id-70724</t>
  </si>
  <si>
    <t>Sales Id-70725</t>
  </si>
  <si>
    <t>Sales Id-70726</t>
  </si>
  <si>
    <t>Sales Id-70727</t>
  </si>
  <si>
    <t>Sales Id-70728</t>
  </si>
  <si>
    <t>Sales Id-70729</t>
  </si>
  <si>
    <t>Sales Id-70730</t>
  </si>
  <si>
    <t>Sales Id-70731</t>
  </si>
  <si>
    <t>Sales Id-70732</t>
  </si>
  <si>
    <t>Sales Id-70733</t>
  </si>
  <si>
    <t>Sales Id-70734</t>
  </si>
  <si>
    <t>Sales Id-70735</t>
  </si>
  <si>
    <t>Sales Id-70736</t>
  </si>
  <si>
    <t>Sales Id-70737</t>
  </si>
  <si>
    <t>Sales Id-70738</t>
  </si>
  <si>
    <t>Sales Id-70739</t>
  </si>
  <si>
    <t>Sales Id-70740</t>
  </si>
  <si>
    <t>Sales Id-70741</t>
  </si>
  <si>
    <t>Sales Id-70742</t>
  </si>
  <si>
    <t>Sales Id-70743</t>
  </si>
  <si>
    <t>Sales Id-70744</t>
  </si>
  <si>
    <t>Sales Id-70745</t>
  </si>
  <si>
    <t>Sales Id-70746</t>
  </si>
  <si>
    <t>Sales Id-70747</t>
  </si>
  <si>
    <t>Sales Id-70748</t>
  </si>
  <si>
    <t>Sales Id-70749</t>
  </si>
  <si>
    <t>Sales Id-70750</t>
  </si>
  <si>
    <t>Sales Id-70751</t>
  </si>
  <si>
    <t>Sales Id-70752</t>
  </si>
  <si>
    <t>Sales Id-70753</t>
  </si>
  <si>
    <t>Sales Id-70754</t>
  </si>
  <si>
    <t>Sales Id-70755</t>
  </si>
  <si>
    <t>Sales Id-70756</t>
  </si>
  <si>
    <t>Sales Id-70757</t>
  </si>
  <si>
    <t>Sales Id-70758</t>
  </si>
  <si>
    <t>Sales Id-70759</t>
  </si>
  <si>
    <t>Sales Id-70760</t>
  </si>
  <si>
    <t>Sales Id-70761</t>
  </si>
  <si>
    <t>Sales Id-70762</t>
  </si>
  <si>
    <t>Sales Id-70763</t>
  </si>
  <si>
    <t>Sales Id-70764</t>
  </si>
  <si>
    <t>Sales Id-70765</t>
  </si>
  <si>
    <t>Sales Id-70766</t>
  </si>
  <si>
    <t>Sales Id-70767</t>
  </si>
  <si>
    <t>Sales Id-70768</t>
  </si>
  <si>
    <t>Sales Id-70769</t>
  </si>
  <si>
    <t>Sales Id-70770</t>
  </si>
  <si>
    <t>Sales Id-70771</t>
  </si>
  <si>
    <t>Sales Id-70772</t>
  </si>
  <si>
    <t>Sales Id-70773</t>
  </si>
  <si>
    <t>Sales Id-70774</t>
  </si>
  <si>
    <t>Sales Id-70775</t>
  </si>
  <si>
    <t>Sales Id-70776</t>
  </si>
  <si>
    <t>Sales Id-70777</t>
  </si>
  <si>
    <t>Sales Id-70778</t>
  </si>
  <si>
    <t>Sales Id-70779</t>
  </si>
  <si>
    <t>Sales Id-70780</t>
  </si>
  <si>
    <t>Sales Id-70781</t>
  </si>
  <si>
    <t>Sales Id-70782</t>
  </si>
  <si>
    <t>Sales Id-70783</t>
  </si>
  <si>
    <t>Sales Id-70784</t>
  </si>
  <si>
    <t>Sales Id-70785</t>
  </si>
  <si>
    <t>Sales Id-70786</t>
  </si>
  <si>
    <t>Sales Id-70787</t>
  </si>
  <si>
    <t>Sales Id-70788</t>
  </si>
  <si>
    <t>Sales Id-70789</t>
  </si>
  <si>
    <t>Sales Id-70790</t>
  </si>
  <si>
    <t>Sales Id-70791</t>
  </si>
  <si>
    <t>Sales Id-70792</t>
  </si>
  <si>
    <t>Sales Id-70793</t>
  </si>
  <si>
    <t>Sales Id-70794</t>
  </si>
  <si>
    <t>Sales Id-70795</t>
  </si>
  <si>
    <t>Sales Id-70796</t>
  </si>
  <si>
    <t>Sales Id-70797</t>
  </si>
  <si>
    <t>Sales Id-70798</t>
  </si>
  <si>
    <t>Sales Id-70799</t>
  </si>
  <si>
    <t>Sales Id-70800</t>
  </si>
  <si>
    <t>Sales Id-70801</t>
  </si>
  <si>
    <t>Sales Id-70802</t>
  </si>
  <si>
    <t>Sales Id-70803</t>
  </si>
  <si>
    <t>Sales Id-70804</t>
  </si>
  <si>
    <t>Sales Id-70805</t>
  </si>
  <si>
    <t>Sales Id-70806</t>
  </si>
  <si>
    <t>Sales Id-70807</t>
  </si>
  <si>
    <t>Sales Id-70808</t>
  </si>
  <si>
    <t>Sales Id-70809</t>
  </si>
  <si>
    <t>Sales Id-70810</t>
  </si>
  <si>
    <t>Sales Id-70811</t>
  </si>
  <si>
    <t>Sales Id-70812</t>
  </si>
  <si>
    <t>Sales Id-70813</t>
  </si>
  <si>
    <t>Sales Id-70814</t>
  </si>
  <si>
    <t>Sales Id-70815</t>
  </si>
  <si>
    <t>Sales Id-70816</t>
  </si>
  <si>
    <t>Sales Id-70817</t>
  </si>
  <si>
    <t>Sales Id-70818</t>
  </si>
  <si>
    <t>Sales Id-70819</t>
  </si>
  <si>
    <t>Sales Id-70820</t>
  </si>
  <si>
    <t>Sales Id-70821</t>
  </si>
  <si>
    <t>Sales Id-70822</t>
  </si>
  <si>
    <t>Sales Id-70823</t>
  </si>
  <si>
    <t>Sales Id-70824</t>
  </si>
  <si>
    <t>Sales Id-70825</t>
  </si>
  <si>
    <t>Sales Id-70826</t>
  </si>
  <si>
    <t>Sales Id-70827</t>
  </si>
  <si>
    <t>Sales Id-70828</t>
  </si>
  <si>
    <t>Sales Id-70829</t>
  </si>
  <si>
    <t>Sales Id-70830</t>
  </si>
  <si>
    <t>Sales Id-70831</t>
  </si>
  <si>
    <t>Sales Id-70832</t>
  </si>
  <si>
    <t>Sales Id-70833</t>
  </si>
  <si>
    <t>Sales Id-70834</t>
  </si>
  <si>
    <t>Sales Id-70835</t>
  </si>
  <si>
    <t>Sales Id-70836</t>
  </si>
  <si>
    <t>Sales Id-70837</t>
  </si>
  <si>
    <t>Sales Id-70838</t>
  </si>
  <si>
    <t>Sales Id-70839</t>
  </si>
  <si>
    <t>Sales Id-70840</t>
  </si>
  <si>
    <t>Sales Id-70841</t>
  </si>
  <si>
    <t>Sales Id-70842</t>
  </si>
  <si>
    <t>Sales Id-70843</t>
  </si>
  <si>
    <t>Sales Id-70844</t>
  </si>
  <si>
    <t>Sales Id-70845</t>
  </si>
  <si>
    <t>Sales Id-70846</t>
  </si>
  <si>
    <t>Sales Id-70847</t>
  </si>
  <si>
    <t>Sales Id-70848</t>
  </si>
  <si>
    <t>Sales Id-70849</t>
  </si>
  <si>
    <t>Sales Id-70850</t>
  </si>
  <si>
    <t>Sales Id-70851</t>
  </si>
  <si>
    <t>Sales Id-70852</t>
  </si>
  <si>
    <t>Sales Id-70853</t>
  </si>
  <si>
    <t>Sales Id-70854</t>
  </si>
  <si>
    <t>Sales Id-70855</t>
  </si>
  <si>
    <t>Sales Id-70856</t>
  </si>
  <si>
    <t>Sales Id-70857</t>
  </si>
  <si>
    <t>Sales Id-70858</t>
  </si>
  <si>
    <t>Sales Id-70859</t>
  </si>
  <si>
    <t>Sales Id-70860</t>
  </si>
  <si>
    <t>Sales Id-70861</t>
  </si>
  <si>
    <t>Sales Id-70862</t>
  </si>
  <si>
    <t>Sales Id-70863</t>
  </si>
  <si>
    <t>Sales Id-70864</t>
  </si>
  <si>
    <t>Sales Id-70865</t>
  </si>
  <si>
    <t>Sales Id-70866</t>
  </si>
  <si>
    <t>Sales Id-70867</t>
  </si>
  <si>
    <t>Sales Id-70868</t>
  </si>
  <si>
    <t>Sales Id-70869</t>
  </si>
  <si>
    <t>Sales Id-70870</t>
  </si>
  <si>
    <t>Sales Id-70871</t>
  </si>
  <si>
    <t>Sales Id-70872</t>
  </si>
  <si>
    <t>Sales Id-70873</t>
  </si>
  <si>
    <t>Sales Id-70874</t>
  </si>
  <si>
    <t>Sales Id-70875</t>
  </si>
  <si>
    <t>Sales Id-70876</t>
  </si>
  <si>
    <t>Sales Id-70877</t>
  </si>
  <si>
    <t>Sales Id-70878</t>
  </si>
  <si>
    <t>Sales Id-70879</t>
  </si>
  <si>
    <t>Sales Id-70880</t>
  </si>
  <si>
    <t>Sales Id-70881</t>
  </si>
  <si>
    <t>Sales Id-70882</t>
  </si>
  <si>
    <t>Sales Id-70883</t>
  </si>
  <si>
    <t>Sales Id-70884</t>
  </si>
  <si>
    <t>Sales Id-70885</t>
  </si>
  <si>
    <t>Sales Id-70886</t>
  </si>
  <si>
    <t>Sales Id-70887</t>
  </si>
  <si>
    <t>Sales Id-70888</t>
  </si>
  <si>
    <t>Sales Id-70889</t>
  </si>
  <si>
    <t>Sales Id-70890</t>
  </si>
  <si>
    <t>Sales Id-70891</t>
  </si>
  <si>
    <t>Sales Id-70892</t>
  </si>
  <si>
    <t>Sales Id-70893</t>
  </si>
  <si>
    <t>Sales Id-70894</t>
  </si>
  <si>
    <t>Sales Id-70895</t>
  </si>
  <si>
    <t>Sales Id-70896</t>
  </si>
  <si>
    <t>Sales Id-70897</t>
  </si>
  <si>
    <t>Sales Id-70898</t>
  </si>
  <si>
    <t>Sales Id-70899</t>
  </si>
  <si>
    <t>Sales Id-70900</t>
  </si>
  <si>
    <t>Sales Id-70901</t>
  </si>
  <si>
    <t>Sales Id-70902</t>
  </si>
  <si>
    <t>Sales Id-70903</t>
  </si>
  <si>
    <t>Sales Id-70904</t>
  </si>
  <si>
    <t>Sales Id-70905</t>
  </si>
  <si>
    <t>Sales Id-70906</t>
  </si>
  <si>
    <t>Sales Id-70907</t>
  </si>
  <si>
    <t>Sales Id-70908</t>
  </si>
  <si>
    <t>Sales Id-70909</t>
  </si>
  <si>
    <t>Sales Id-70910</t>
  </si>
  <si>
    <t>Sales Id-70911</t>
  </si>
  <si>
    <t>Sales Id-70912</t>
  </si>
  <si>
    <t>Sales Id-70913</t>
  </si>
  <si>
    <t>Sales Id-70914</t>
  </si>
  <si>
    <t>Sales Id-70915</t>
  </si>
  <si>
    <t>Sales Id-70916</t>
  </si>
  <si>
    <t>Sales Id-70917</t>
  </si>
  <si>
    <t>Sales Id-70918</t>
  </si>
  <si>
    <t>Sales Id-70919</t>
  </si>
  <si>
    <t>Sales Id-70920</t>
  </si>
  <si>
    <t>Sales Id-70921</t>
  </si>
  <si>
    <t>Sales Id-70922</t>
  </si>
  <si>
    <t>Sales Id-70923</t>
  </si>
  <si>
    <t>Sales Id-70924</t>
  </si>
  <si>
    <t>Sales Id-70925</t>
  </si>
  <si>
    <t>Sales Id-70926</t>
  </si>
  <si>
    <t>Sales Id-70927</t>
  </si>
  <si>
    <t>Sales Id-70928</t>
  </si>
  <si>
    <t>Sales Id-70929</t>
  </si>
  <si>
    <t>Sales Id-70930</t>
  </si>
  <si>
    <t>Sales Id-70931</t>
  </si>
  <si>
    <t>Sales Id-70932</t>
  </si>
  <si>
    <t>Sales Id-70933</t>
  </si>
  <si>
    <t>Sales Id-70934</t>
  </si>
  <si>
    <t>Sales Id-70935</t>
  </si>
  <si>
    <t>Sales Id-70936</t>
  </si>
  <si>
    <t>Sales Id-70937</t>
  </si>
  <si>
    <t>Sales Id-70938</t>
  </si>
  <si>
    <t>Sales Id-70939</t>
  </si>
  <si>
    <t>Sales Id-70940</t>
  </si>
  <si>
    <t>Sales Id-70941</t>
  </si>
  <si>
    <t>Sales Id-70942</t>
  </si>
  <si>
    <t>Sales Id-70943</t>
  </si>
  <si>
    <t>Sales Id-70944</t>
  </si>
  <si>
    <t>Sales Id-70945</t>
  </si>
  <si>
    <t>Sales Id-70946</t>
  </si>
  <si>
    <t>Sales Id-70947</t>
  </si>
  <si>
    <t>Sales Id-70948</t>
  </si>
  <si>
    <t>Sales Id-70949</t>
  </si>
  <si>
    <t>Sales Id-70950</t>
  </si>
  <si>
    <t>Sales Id-70951</t>
  </si>
  <si>
    <t>Sales Id-70952</t>
  </si>
  <si>
    <t>Sales Id-70953</t>
  </si>
  <si>
    <t>Sales Id-70954</t>
  </si>
  <si>
    <t>Sales Id-70955</t>
  </si>
  <si>
    <t>Sales Id-70956</t>
  </si>
  <si>
    <t>Sales Id-70957</t>
  </si>
  <si>
    <t>Sales Id-70958</t>
  </si>
  <si>
    <t>Sales Id-70959</t>
  </si>
  <si>
    <t>Sales Id-70960</t>
  </si>
  <si>
    <t>Sales Id-70961</t>
  </si>
  <si>
    <t>Sales Id-70962</t>
  </si>
  <si>
    <t>Sales Id-70963</t>
  </si>
  <si>
    <t>Sales Id-70964</t>
  </si>
  <si>
    <t>Sales Id-70965</t>
  </si>
  <si>
    <t>Sales Id-70966</t>
  </si>
  <si>
    <t>Sales Id-70967</t>
  </si>
  <si>
    <t>Sales Id-70968</t>
  </si>
  <si>
    <t>Sales Id-70969</t>
  </si>
  <si>
    <t>Sales Id-70970</t>
  </si>
  <si>
    <t>Sales Id-70971</t>
  </si>
  <si>
    <t>Sales Id-70972</t>
  </si>
  <si>
    <t>Sales Id-70973</t>
  </si>
  <si>
    <t>Sales Id-70974</t>
  </si>
  <si>
    <t>Sales Id-70975</t>
  </si>
  <si>
    <t>Sales Id-70976</t>
  </si>
  <si>
    <t>Sales Id-70977</t>
  </si>
  <si>
    <t>Sales Id-70978</t>
  </si>
  <si>
    <t>Sales Id-70979</t>
  </si>
  <si>
    <t>Sales Id-70980</t>
  </si>
  <si>
    <t>Sales Id-70981</t>
  </si>
  <si>
    <t>Sales Id-70982</t>
  </si>
  <si>
    <t>Sales Id-70983</t>
  </si>
  <si>
    <t>Sales Id-70984</t>
  </si>
  <si>
    <t>Sales Id-70985</t>
  </si>
  <si>
    <t>Sales Id-70986</t>
  </si>
  <si>
    <t>Sales Id-70987</t>
  </si>
  <si>
    <t>Sales Id-70988</t>
  </si>
  <si>
    <t>Sales Id-70989</t>
  </si>
  <si>
    <t>Sales Id-70990</t>
  </si>
  <si>
    <t>Sales Id-70991</t>
  </si>
  <si>
    <t>Sales Id-70992</t>
  </si>
  <si>
    <t>Sales Id-70993</t>
  </si>
  <si>
    <t>Sales Id-70994</t>
  </si>
  <si>
    <t>Sales Id-70995</t>
  </si>
  <si>
    <t>Sales Id-70996</t>
  </si>
  <si>
    <t>Sales Id-70997</t>
  </si>
  <si>
    <t>Sales Id-70998</t>
  </si>
  <si>
    <t>Sales Id-70999</t>
  </si>
  <si>
    <t>Sales Id-71000</t>
  </si>
  <si>
    <t>Sales Id-71001</t>
  </si>
  <si>
    <t>Sales Id-71002</t>
  </si>
  <si>
    <t>Sales Id-71003</t>
  </si>
  <si>
    <t>Sales Id-71004</t>
  </si>
  <si>
    <t>Sales Id-71005</t>
  </si>
  <si>
    <t>Sales Id-71006</t>
  </si>
  <si>
    <t>Sales Id-71007</t>
  </si>
  <si>
    <t>Sales Id-71008</t>
  </si>
  <si>
    <t>Sales Id-71009</t>
  </si>
  <si>
    <t>Sales Id-71010</t>
  </si>
  <si>
    <t>Sales Id-71011</t>
  </si>
  <si>
    <t>Sales Id-71012</t>
  </si>
  <si>
    <t>Sales Id-71013</t>
  </si>
  <si>
    <t>Sales Id-71014</t>
  </si>
  <si>
    <t>Sales Id-71015</t>
  </si>
  <si>
    <t>Sales Id-71016</t>
  </si>
  <si>
    <t>Sales Id-71017</t>
  </si>
  <si>
    <t>Sales Id-71018</t>
  </si>
  <si>
    <t>Sales Id-71019</t>
  </si>
  <si>
    <t>Sales Id-71020</t>
  </si>
  <si>
    <t>Sales Id-71021</t>
  </si>
  <si>
    <t>Sales Id-71022</t>
  </si>
  <si>
    <t>Sales Id-71023</t>
  </si>
  <si>
    <t>Sales Id-71024</t>
  </si>
  <si>
    <t>Sales Id-71025</t>
  </si>
  <si>
    <t>Sales Id-71026</t>
  </si>
  <si>
    <t>Sales Id-71027</t>
  </si>
  <si>
    <t>Sales Id-71028</t>
  </si>
  <si>
    <t>Sales Id-71029</t>
  </si>
  <si>
    <t>Sales Id-71030</t>
  </si>
  <si>
    <t>Sales Id-71031</t>
  </si>
  <si>
    <t>Sales Id-71032</t>
  </si>
  <si>
    <t>Sales Id-71033</t>
  </si>
  <si>
    <t>Sales Id-71034</t>
  </si>
  <si>
    <t>Sales Id-71035</t>
  </si>
  <si>
    <t>Sales Id-71036</t>
  </si>
  <si>
    <t>Sales Id-71037</t>
  </si>
  <si>
    <t>Sales Id-71038</t>
  </si>
  <si>
    <t>Sales Id-71039</t>
  </si>
  <si>
    <t>Sales Id-71040</t>
  </si>
  <si>
    <t>Sales Id-71041</t>
  </si>
  <si>
    <t>Sales Id-71042</t>
  </si>
  <si>
    <t>Sales Id-71043</t>
  </si>
  <si>
    <t>Sales Id-71044</t>
  </si>
  <si>
    <t>Sales Id-71045</t>
  </si>
  <si>
    <t>Sales Id-71046</t>
  </si>
  <si>
    <t>Sales Id-71047</t>
  </si>
  <si>
    <t>Sales Id-71048</t>
  </si>
  <si>
    <t>Sales Id-71049</t>
  </si>
  <si>
    <t>Sales Id-71050</t>
  </si>
  <si>
    <t>Sales Id-71051</t>
  </si>
  <si>
    <t>Sales Id-71052</t>
  </si>
  <si>
    <t>Sales Id-71053</t>
  </si>
  <si>
    <t>Sales Id-71054</t>
  </si>
  <si>
    <t>Sales Id-71055</t>
  </si>
  <si>
    <t>Sales Id-71056</t>
  </si>
  <si>
    <t>Sales Id-71057</t>
  </si>
  <si>
    <t>Sales Id-71058</t>
  </si>
  <si>
    <t>Sales Id-71059</t>
  </si>
  <si>
    <t>Sales Id-71060</t>
  </si>
  <si>
    <t>Sales Id-71061</t>
  </si>
  <si>
    <t>Sales Id-71062</t>
  </si>
  <si>
    <t>Sales Id-71063</t>
  </si>
  <si>
    <t>Sales Id-71064</t>
  </si>
  <si>
    <t>Sales Id-71065</t>
  </si>
  <si>
    <t>Sales Id-71066</t>
  </si>
  <si>
    <t>Sales Id-71067</t>
  </si>
  <si>
    <t>Sales Id-71068</t>
  </si>
  <si>
    <t>Sales Id-71069</t>
  </si>
  <si>
    <t>Sales Id-71070</t>
  </si>
  <si>
    <t>Sales Id-71071</t>
  </si>
  <si>
    <t>Sales Id-71072</t>
  </si>
  <si>
    <t>Sales Id-71073</t>
  </si>
  <si>
    <t>Sales Id-71074</t>
  </si>
  <si>
    <t>Sales Id-71075</t>
  </si>
  <si>
    <t>Sales Id-71076</t>
  </si>
  <si>
    <t>Sales Id-71077</t>
  </si>
  <si>
    <t>Sales Id-71078</t>
  </si>
  <si>
    <t>Sales Id-71079</t>
  </si>
  <si>
    <t>Sales Id-71080</t>
  </si>
  <si>
    <t>Sales Id-71081</t>
  </si>
  <si>
    <t>Sales Id-71082</t>
  </si>
  <si>
    <t>Sales Id-71083</t>
  </si>
  <si>
    <t>Sales Id-71084</t>
  </si>
  <si>
    <t>Sales Id-71085</t>
  </si>
  <si>
    <t>Sales Id-71086</t>
  </si>
  <si>
    <t>Sales Id-71087</t>
  </si>
  <si>
    <t>Sales Id-71088</t>
  </si>
  <si>
    <t>Sales Id-71089</t>
  </si>
  <si>
    <t>Sales Id-71090</t>
  </si>
  <si>
    <t>Sales Id-71091</t>
  </si>
  <si>
    <t>Sales Id-71092</t>
  </si>
  <si>
    <t>Sales Id-71093</t>
  </si>
  <si>
    <t>Sales Id-71094</t>
  </si>
  <si>
    <t>Sales Id-71095</t>
  </si>
  <si>
    <t>Sales Id-71096</t>
  </si>
  <si>
    <t>Sales Id-71097</t>
  </si>
  <si>
    <t>Sales Id-71098</t>
  </si>
  <si>
    <t>Sales Id-71099</t>
  </si>
  <si>
    <t>Sales Id-71100</t>
  </si>
  <si>
    <t>Sales Id-71101</t>
  </si>
  <si>
    <t>Sales Id-71102</t>
  </si>
  <si>
    <t>Sales Id-71103</t>
  </si>
  <si>
    <t>Sales Id-71104</t>
  </si>
  <si>
    <t>Sales Id-71105</t>
  </si>
  <si>
    <t>Sales Id-71106</t>
  </si>
  <si>
    <t>Sales Id-71107</t>
  </si>
  <si>
    <t>Sales Id-71108</t>
  </si>
  <si>
    <t>Sales Id-71109</t>
  </si>
  <si>
    <t>Sales Id-71110</t>
  </si>
  <si>
    <t>Sales Id-71111</t>
  </si>
  <si>
    <t>Sales Id-71112</t>
  </si>
  <si>
    <t>Sales Id-71113</t>
  </si>
  <si>
    <t>Sales Id-71114</t>
  </si>
  <si>
    <t>Sales Id-71115</t>
  </si>
  <si>
    <t>Sales Id-71116</t>
  </si>
  <si>
    <t>Sales Id-71117</t>
  </si>
  <si>
    <t>Sales Id-71118</t>
  </si>
  <si>
    <t>Sales Id-71119</t>
  </si>
  <si>
    <t>Sales Id-71120</t>
  </si>
  <si>
    <t>Sales Id-71121</t>
  </si>
  <si>
    <t>Sales Id-71122</t>
  </si>
  <si>
    <t>Sales Id-71123</t>
  </si>
  <si>
    <t>Sales Id-71124</t>
  </si>
  <si>
    <t>Sales Id-71125</t>
  </si>
  <si>
    <t>Sales Id-71126</t>
  </si>
  <si>
    <t>Sales Id-71127</t>
  </si>
  <si>
    <t>Sales Id-71128</t>
  </si>
  <si>
    <t>Sales Id-71129</t>
  </si>
  <si>
    <t>Sales Id-71130</t>
  </si>
  <si>
    <t>Sales Id-71131</t>
  </si>
  <si>
    <t>Sales Id-71132</t>
  </si>
  <si>
    <t>Sales Id-71133</t>
  </si>
  <si>
    <t>Sales Id-71134</t>
  </si>
  <si>
    <t>Sales Id-71135</t>
  </si>
  <si>
    <t>Sales Id-71136</t>
  </si>
  <si>
    <t>Sales Id-71137</t>
  </si>
  <si>
    <t>Sales Id-71138</t>
  </si>
  <si>
    <t>Sales Id-71139</t>
  </si>
  <si>
    <t>Sales Id-71140</t>
  </si>
  <si>
    <t>Sales Id-71141</t>
  </si>
  <si>
    <t>Sales Id-71142</t>
  </si>
  <si>
    <t>Sales Id-71143</t>
  </si>
  <si>
    <t>Sales Id-71144</t>
  </si>
  <si>
    <t>Sales Id-71145</t>
  </si>
  <si>
    <t>Sales Id-71146</t>
  </si>
  <si>
    <t>Sales Id-71147</t>
  </si>
  <si>
    <t>Sales Id-71148</t>
  </si>
  <si>
    <t>Sales Id-71149</t>
  </si>
  <si>
    <t>Sales Id-71150</t>
  </si>
  <si>
    <t>Sales Id-71151</t>
  </si>
  <si>
    <t>Sales Id-71152</t>
  </si>
  <si>
    <t>Sales Id-71153</t>
  </si>
  <si>
    <t>Sales Id-71154</t>
  </si>
  <si>
    <t>Sales Id-71155</t>
  </si>
  <si>
    <t>Sales Id-71156</t>
  </si>
  <si>
    <t>Sales Id-71157</t>
  </si>
  <si>
    <t>Sales Id-71158</t>
  </si>
  <si>
    <t>Sales Id-71159</t>
  </si>
  <si>
    <t>Sales Id-71160</t>
  </si>
  <si>
    <t>Sales Id-71161</t>
  </si>
  <si>
    <t>Sales Id-71162</t>
  </si>
  <si>
    <t>Sales Id-71163</t>
  </si>
  <si>
    <t>Sales Id-71164</t>
  </si>
  <si>
    <t>Sales Id-71165</t>
  </si>
  <si>
    <t>Sales Id-71166</t>
  </si>
  <si>
    <t>Sales Id-71167</t>
  </si>
  <si>
    <t>Sales Id-71168</t>
  </si>
  <si>
    <t>Sales Id-71169</t>
  </si>
  <si>
    <t>Sales Id-71170</t>
  </si>
  <si>
    <t>Sales Id-71171</t>
  </si>
  <si>
    <t>Sales Id-71172</t>
  </si>
  <si>
    <t>Sales Id-71173</t>
  </si>
  <si>
    <t>Sales Id-71174</t>
  </si>
  <si>
    <t>Sales Id-71175</t>
  </si>
  <si>
    <t>Sales Id-71176</t>
  </si>
  <si>
    <t>Sales Id-71177</t>
  </si>
  <si>
    <t>Sales Id-71178</t>
  </si>
  <si>
    <t>Sales Id-71179</t>
  </si>
  <si>
    <t>Sales Id-71180</t>
  </si>
  <si>
    <t>Sales Id-71181</t>
  </si>
  <si>
    <t>Sales Id-71182</t>
  </si>
  <si>
    <t>Sales Id-71183</t>
  </si>
  <si>
    <t>Sales Id-71184</t>
  </si>
  <si>
    <t>Sales Id-71185</t>
  </si>
  <si>
    <t>Sales Id-71186</t>
  </si>
  <si>
    <t>Sales Id-71187</t>
  </si>
  <si>
    <t>Sales Id-71188</t>
  </si>
  <si>
    <t>Sales Id-71189</t>
  </si>
  <si>
    <t>Sales Id-71190</t>
  </si>
  <si>
    <t>Sales Id-71191</t>
  </si>
  <si>
    <t>Sales Id-71192</t>
  </si>
  <si>
    <t>Sales Id-71193</t>
  </si>
  <si>
    <t>Sales Id-71194</t>
  </si>
  <si>
    <t>Sales Id-71195</t>
  </si>
  <si>
    <t>Sales Id-71196</t>
  </si>
  <si>
    <t>Sales Id-71197</t>
  </si>
  <si>
    <t>Sales Id-71198</t>
  </si>
  <si>
    <t>Sales Id-71199</t>
  </si>
  <si>
    <t>Sales Id-71200</t>
  </si>
  <si>
    <t>Sales Id-71201</t>
  </si>
  <si>
    <t>Sales Id-71202</t>
  </si>
  <si>
    <t>Sales Id-71203</t>
  </si>
  <si>
    <t>Sales Id-71204</t>
  </si>
  <si>
    <t>Sales Id-71205</t>
  </si>
  <si>
    <t>Sales Id-71206</t>
  </si>
  <si>
    <t>Sales Id-71207</t>
  </si>
  <si>
    <t>Sales Id-71208</t>
  </si>
  <si>
    <t>Sales Id-71209</t>
  </si>
  <si>
    <t>Sales Id-71210</t>
  </si>
  <si>
    <t>Sales Id-71211</t>
  </si>
  <si>
    <t>Sales Id-71212</t>
  </si>
  <si>
    <t>Sales Id-71213</t>
  </si>
  <si>
    <t>Sales Id-71214</t>
  </si>
  <si>
    <t>Sales Id-71215</t>
  </si>
  <si>
    <t>Sales Id-71216</t>
  </si>
  <si>
    <t>Sales Id-71217</t>
  </si>
  <si>
    <t>Sales Id-71218</t>
  </si>
  <si>
    <t>Sales Id-71219</t>
  </si>
  <si>
    <t>Sales Id-71220</t>
  </si>
  <si>
    <t>Sales Id-71221</t>
  </si>
  <si>
    <t>Sales Id-71222</t>
  </si>
  <si>
    <t>Sales Id-71223</t>
  </si>
  <si>
    <t>Sales Id-71224</t>
  </si>
  <si>
    <t>Sales Id-71225</t>
  </si>
  <si>
    <t>Sales Id-71226</t>
  </si>
  <si>
    <t>Sales Id-71227</t>
  </si>
  <si>
    <t>Sales Id-71228</t>
  </si>
  <si>
    <t>Sales Id-71229</t>
  </si>
  <si>
    <t>Sales Id-71230</t>
  </si>
  <si>
    <t>Sales Id-71231</t>
  </si>
  <si>
    <t>Sales Id-71232</t>
  </si>
  <si>
    <t>Sales Id-71233</t>
  </si>
  <si>
    <t>Sales Id-71234</t>
  </si>
  <si>
    <t>Sales Id-71235</t>
  </si>
  <si>
    <t>Sales Id-71236</t>
  </si>
  <si>
    <t>Sales Id-71237</t>
  </si>
  <si>
    <t>Sales Id-71238</t>
  </si>
  <si>
    <t>Sales Id-71239</t>
  </si>
  <si>
    <t>Sales Id-71240</t>
  </si>
  <si>
    <t>Sales Id-71241</t>
  </si>
  <si>
    <t>Sales Id-71242</t>
  </si>
  <si>
    <t>Sales Id-71243</t>
  </si>
  <si>
    <t>Sales Id-71244</t>
  </si>
  <si>
    <t>Sales Id-71245</t>
  </si>
  <si>
    <t>Sales Id-71246</t>
  </si>
  <si>
    <t>Sales Id-71247</t>
  </si>
  <si>
    <t>Sales Id-71248</t>
  </si>
  <si>
    <t>Sales Id-71249</t>
  </si>
  <si>
    <t>Sales Id-71250</t>
  </si>
  <si>
    <t>Sales Id-71251</t>
  </si>
  <si>
    <t>Sales Id-71252</t>
  </si>
  <si>
    <t>Sales Id-71253</t>
  </si>
  <si>
    <t>Sales Id-71254</t>
  </si>
  <si>
    <t>Sales Id-71255</t>
  </si>
  <si>
    <t>Sales Id-71256</t>
  </si>
  <si>
    <t>Sales Id-71257</t>
  </si>
  <si>
    <t>Sales Id-71258</t>
  </si>
  <si>
    <t>Sales Id-71259</t>
  </si>
  <si>
    <t>Sales Id-71260</t>
  </si>
  <si>
    <t>Sales Id-71261</t>
  </si>
  <si>
    <t>Sales Id-71262</t>
  </si>
  <si>
    <t>Sales Id-71263</t>
  </si>
  <si>
    <t>Sales Id-71264</t>
  </si>
  <si>
    <t>Sales Id-71265</t>
  </si>
  <si>
    <t>Sales Id-71266</t>
  </si>
  <si>
    <t>Sales Id-71267</t>
  </si>
  <si>
    <t>Sales Id-71268</t>
  </si>
  <si>
    <t>Sales Id-71269</t>
  </si>
  <si>
    <t>Sales Id-71270</t>
  </si>
  <si>
    <t>Sales Id-71271</t>
  </si>
  <si>
    <t>Sales Id-71272</t>
  </si>
  <si>
    <t>Sales Id-71273</t>
  </si>
  <si>
    <t>Sales Id-71274</t>
  </si>
  <si>
    <t>Sales Id-71275</t>
  </si>
  <si>
    <t>Sales Id-71276</t>
  </si>
  <si>
    <t>Sales Id-71277</t>
  </si>
  <si>
    <t>Sales Id-71278</t>
  </si>
  <si>
    <t>Sales Id-71279</t>
  </si>
  <si>
    <t>Sales Id-71280</t>
  </si>
  <si>
    <t>Sales Id-71281</t>
  </si>
  <si>
    <t>Sales Id-71282</t>
  </si>
  <si>
    <t>Sales Id-71283</t>
  </si>
  <si>
    <t>Sales Id-71284</t>
  </si>
  <si>
    <t>Sales Id-71285</t>
  </si>
  <si>
    <t>Sales Id-71286</t>
  </si>
  <si>
    <t>Sales Id-71287</t>
  </si>
  <si>
    <t>Sales Id-71288</t>
  </si>
  <si>
    <t>Sales Id-71289</t>
  </si>
  <si>
    <t>Sales Id-71290</t>
  </si>
  <si>
    <t>Sales Id-71291</t>
  </si>
  <si>
    <t>Sales Id-71292</t>
  </si>
  <si>
    <t>Sales Id-71293</t>
  </si>
  <si>
    <t>Sales Id-71294</t>
  </si>
  <si>
    <t>Sales Id-71295</t>
  </si>
  <si>
    <t>Sales Id-71296</t>
  </si>
  <si>
    <t>Sales Id-71297</t>
  </si>
  <si>
    <t>Sales Id-71298</t>
  </si>
  <si>
    <t>Sales Id-71299</t>
  </si>
  <si>
    <t>Sales Id-71300</t>
  </si>
  <si>
    <t>=</t>
  </si>
  <si>
    <t>4=Total pri ce</t>
  </si>
  <si>
    <t>Row Labels</t>
  </si>
  <si>
    <t>Sum of Total Sales</t>
  </si>
  <si>
    <t>Grand Total</t>
  </si>
  <si>
    <t>Count of Total Sales</t>
  </si>
  <si>
    <t>Items</t>
  </si>
  <si>
    <t>Count of Sales Id</t>
  </si>
  <si>
    <t>Create multiple PivotTables:</t>
  </si>
  <si>
    <r>
      <rPr>
        <b/>
        <sz val="11"/>
        <color theme="1"/>
        <rFont val="Calibri"/>
        <charset val="134"/>
        <scheme val="minor"/>
      </rPr>
      <t>Pivot 1:</t>
    </r>
    <r>
      <rPr>
        <sz val="11"/>
        <color theme="1"/>
        <rFont val="Calibri"/>
        <charset val="134"/>
        <scheme val="minor"/>
      </rPr>
      <t xml:space="preserve"> Total Sales per Day</t>
    </r>
  </si>
  <si>
    <t>Sum of Price</t>
  </si>
  <si>
    <t>Rows: Date</t>
  </si>
  <si>
    <t>Values: Sales (Sum of Price)</t>
  </si>
  <si>
    <r>
      <rPr>
        <b/>
        <sz val="11"/>
        <color theme="1"/>
        <rFont val="Calibri"/>
        <charset val="134"/>
        <scheme val="minor"/>
      </rPr>
      <t>Pivot 2:</t>
    </r>
    <r>
      <rPr>
        <sz val="11"/>
        <color theme="1"/>
        <rFont val="Calibri"/>
        <charset val="134"/>
        <scheme val="minor"/>
      </rPr>
      <t xml:space="preserve"> Product Sold Per State</t>
    </r>
  </si>
  <si>
    <t>Sum of Quantity</t>
  </si>
  <si>
    <t>Rows: State</t>
  </si>
  <si>
    <t>Values: Quantity (Sum)</t>
  </si>
  <si>
    <r>
      <rPr>
        <b/>
        <sz val="11"/>
        <color theme="1"/>
        <rFont val="Calibri"/>
        <charset val="134"/>
        <scheme val="minor"/>
      </rPr>
      <t>Pivot 3:</t>
    </r>
    <r>
      <rPr>
        <sz val="11"/>
        <color theme="1"/>
        <rFont val="Calibri"/>
        <charset val="134"/>
        <scheme val="minor"/>
      </rPr>
      <t xml:space="preserve"> Sales by Seller</t>
    </r>
  </si>
  <si>
    <t>Rows: Seller</t>
  </si>
  <si>
    <t>Values: Sales (Sum of Price), Quantity (Average)</t>
  </si>
  <si>
    <t>Average of Quantity</t>
  </si>
  <si>
    <t>Top Sales Of One Month</t>
  </si>
  <si>
    <t>Total Preice</t>
  </si>
  <si>
    <t>Total Quentity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</si>
</sst>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/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6" applyNumberFormat="0" applyAlignment="0" applyProtection="0"/>
    <xf numFmtId="0" fontId="15" fillId="9" borderId="7" applyNumberFormat="0" applyAlignment="0" applyProtection="0"/>
    <xf numFmtId="0" fontId="16" fillId="9" borderId="6" applyNumberFormat="0" applyAlignment="0" applyProtection="0"/>
    <xf numFmtId="0" fontId="17" fillId="10" borderId="8" applyNumberFormat="0" applyAlignment="0" applyProtection="0"/>
    <xf numFmtId="0" fontId="18" fillId="0" borderId="9" applyNumberFormat="0" applyFill="0" applyAlignment="0" applyProtection="0"/>
    <xf numFmtId="0" fontId="5" fillId="0" borderId="10" applyNumberFormat="0" applyFill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2" fillId="2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2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4" fillId="3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80" fontId="0" fillId="0" borderId="0" xfId="0" applyNumberFormat="1" applyAlignment="1">
      <alignment horizontal="left"/>
    </xf>
    <xf numFmtId="0" fontId="0" fillId="0" borderId="0" xfId="0" applyAlignment="1">
      <alignment horizontal="left" vertical="center" indent="2"/>
    </xf>
    <xf numFmtId="0" fontId="0" fillId="4" borderId="0" xfId="0" applyFill="1"/>
    <xf numFmtId="180" fontId="0" fillId="0" borderId="0" xfId="0" applyNumberFormat="1"/>
    <xf numFmtId="0" fontId="0" fillId="5" borderId="0" xfId="0" applyFill="1"/>
    <xf numFmtId="0" fontId="0" fillId="6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0" formatCode="General"/>
    </dxf>
    <dxf>
      <numFmt numFmtId="180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Day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s and Slicers'!$F$148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Slicers'!$E$149:$E$180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'Chart s and Slicers'!$F$149:$F$180</c:f>
              <c:numCache>
                <c:formatCode>General</c:formatCode>
                <c:ptCount val="31"/>
                <c:pt idx="0">
                  <c:v>3748</c:v>
                </c:pt>
                <c:pt idx="1">
                  <c:v>2786</c:v>
                </c:pt>
                <c:pt idx="2">
                  <c:v>3212</c:v>
                </c:pt>
                <c:pt idx="3">
                  <c:v>3518</c:v>
                </c:pt>
                <c:pt idx="4">
                  <c:v>4606</c:v>
                </c:pt>
                <c:pt idx="5">
                  <c:v>4808</c:v>
                </c:pt>
                <c:pt idx="6">
                  <c:v>5530</c:v>
                </c:pt>
                <c:pt idx="7">
                  <c:v>4846</c:v>
                </c:pt>
                <c:pt idx="8">
                  <c:v>3158</c:v>
                </c:pt>
                <c:pt idx="9">
                  <c:v>4648</c:v>
                </c:pt>
                <c:pt idx="10">
                  <c:v>3696</c:v>
                </c:pt>
                <c:pt idx="11">
                  <c:v>3072</c:v>
                </c:pt>
                <c:pt idx="12">
                  <c:v>4322</c:v>
                </c:pt>
                <c:pt idx="13">
                  <c:v>4856</c:v>
                </c:pt>
                <c:pt idx="14">
                  <c:v>3736</c:v>
                </c:pt>
                <c:pt idx="15">
                  <c:v>4598</c:v>
                </c:pt>
                <c:pt idx="16">
                  <c:v>3460</c:v>
                </c:pt>
                <c:pt idx="17">
                  <c:v>3734</c:v>
                </c:pt>
                <c:pt idx="18">
                  <c:v>4758</c:v>
                </c:pt>
                <c:pt idx="19">
                  <c:v>4346</c:v>
                </c:pt>
                <c:pt idx="20">
                  <c:v>4552</c:v>
                </c:pt>
                <c:pt idx="21">
                  <c:v>3004</c:v>
                </c:pt>
                <c:pt idx="22">
                  <c:v>3764</c:v>
                </c:pt>
                <c:pt idx="23">
                  <c:v>5120</c:v>
                </c:pt>
                <c:pt idx="24">
                  <c:v>4770</c:v>
                </c:pt>
                <c:pt idx="25">
                  <c:v>4300</c:v>
                </c:pt>
                <c:pt idx="26">
                  <c:v>5628</c:v>
                </c:pt>
                <c:pt idx="27">
                  <c:v>4218</c:v>
                </c:pt>
                <c:pt idx="28">
                  <c:v>4314</c:v>
                </c:pt>
                <c:pt idx="29">
                  <c:v>3152</c:v>
                </c:pt>
                <c:pt idx="30">
                  <c:v>2660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8600479"/>
        <c:axId val="498601919"/>
      </c:lineChart>
      <c:catAx>
        <c:axId val="49860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601919"/>
        <c:crosses val="autoZero"/>
        <c:auto val="1"/>
        <c:lblAlgn val="ctr"/>
        <c:lblOffset val="100"/>
        <c:noMultiLvlLbl val="0"/>
      </c:catAx>
      <c:valAx>
        <c:axId val="4986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60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929da6-bec3-4c87-ac06-ecd1fc5e42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Items</a:t>
            </a:r>
            <a:endParaRPr lang="en-US" baseline="0"/>
          </a:p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15972222222222"/>
          <c:y val="0.0406459609215515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"/>
          <c:y val="0.295553368328959"/>
          <c:w val="0.745731189851269"/>
          <c:h val="0.584076261300671"/>
        </c:manualLayout>
      </c:layout>
      <c:pie3DChart>
        <c:varyColors val="1"/>
        <c:ser>
          <c:idx val="0"/>
          <c:order val="0"/>
          <c:tx>
            <c:strRef>
              <c:f>'Chart s and Slicers'!$D$117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Slicers'!$C$118:$C$123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'Chart s and Slicers'!$D$118:$D$123</c:f>
              <c:numCache>
                <c:formatCode>General</c:formatCode>
                <c:ptCount val="5"/>
                <c:pt idx="0">
                  <c:v>49136</c:v>
                </c:pt>
                <c:pt idx="1">
                  <c:v>609040</c:v>
                </c:pt>
                <c:pt idx="2">
                  <c:v>305520</c:v>
                </c:pt>
                <c:pt idx="3">
                  <c:v>460050</c:v>
                </c:pt>
                <c:pt idx="4">
                  <c:v>160720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3dd958-ae8d-4264-b444-799f967057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s and Slicers'!$D$130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Slicers'!$C$131:$C$136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'Chart s and Slicers'!$D$131:$D$136</c:f>
              <c:numCache>
                <c:formatCode>General</c:formatCode>
                <c:ptCount val="5"/>
                <c:pt idx="0">
                  <c:v>306530</c:v>
                </c:pt>
                <c:pt idx="1">
                  <c:v>319900</c:v>
                </c:pt>
                <c:pt idx="2">
                  <c:v>307656</c:v>
                </c:pt>
                <c:pt idx="3">
                  <c:v>320898</c:v>
                </c:pt>
                <c:pt idx="4">
                  <c:v>329482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1ff764-5f0b-4661-a888-7a36924f321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Slicers!PivotTable4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s and Slicers'!$G$186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Slicers'!$F$187:$F$199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'Chart s and Slicers'!$G$187:$G$199</c:f>
              <c:numCache>
                <c:formatCode>General</c:formatCode>
                <c:ptCount val="12"/>
                <c:pt idx="0">
                  <c:v>1276</c:v>
                </c:pt>
                <c:pt idx="1">
                  <c:v>1433</c:v>
                </c:pt>
                <c:pt idx="2">
                  <c:v>1577</c:v>
                </c:pt>
                <c:pt idx="3">
                  <c:v>2036</c:v>
                </c:pt>
                <c:pt idx="4">
                  <c:v>887</c:v>
                </c:pt>
                <c:pt idx="5">
                  <c:v>1535</c:v>
                </c:pt>
                <c:pt idx="6">
                  <c:v>1461</c:v>
                </c:pt>
                <c:pt idx="7">
                  <c:v>865</c:v>
                </c:pt>
                <c:pt idx="8">
                  <c:v>2018</c:v>
                </c:pt>
                <c:pt idx="9">
                  <c:v>953</c:v>
                </c:pt>
                <c:pt idx="10">
                  <c:v>1253</c:v>
                </c:pt>
                <c:pt idx="11">
                  <c:v>1344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f83597-d229-4116-95fe-2fa20796bd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Slicers!PivotTable10</c:name>
    <c:fmtId val="0"/>
  </c:pivotSource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'Chart s and Slicers'!$G$229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Slicers'!$F$230:$F$235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'Chart s and Slicers'!$G$230:$G$235</c:f>
              <c:numCache>
                <c:formatCode>General</c:formatCode>
                <c:ptCount val="5"/>
                <c:pt idx="0">
                  <c:v>13.9844357976654</c:v>
                </c:pt>
                <c:pt idx="1">
                  <c:v>12.9819494584838</c:v>
                </c:pt>
                <c:pt idx="2">
                  <c:v>11.3657587548638</c:v>
                </c:pt>
                <c:pt idx="3">
                  <c:v>12.6875</c:v>
                </c:pt>
                <c:pt idx="4">
                  <c:v>12.9442379182156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06722432"/>
        <c:axId val="1613928656"/>
      </c:barChart>
      <c:catAx>
        <c:axId val="1606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3928656"/>
        <c:crosses val="autoZero"/>
        <c:auto val="1"/>
        <c:lblAlgn val="ctr"/>
        <c:lblOffset val="100"/>
        <c:noMultiLvlLbl val="0"/>
      </c:catAx>
      <c:valAx>
        <c:axId val="161392865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672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997342-efd1-4482-981d-f4e4c0462bdc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Salesr With Average</a:t>
            </a:r>
            <a:endParaRPr lang="en-US"/>
          </a:p>
        </c:rich>
      </c:tx>
      <c:layout>
        <c:manualLayout>
          <c:xMode val="edge"/>
          <c:yMode val="edge"/>
          <c:x val="0.346805278294291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s and Slicers'!$F$209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Slicers'!$E$210:$E$215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'Chart s and Slicers'!$F$210:$F$215</c:f>
              <c:numCache>
                <c:formatCode>General</c:formatCode>
                <c:ptCount val="5"/>
                <c:pt idx="0">
                  <c:v>22462</c:v>
                </c:pt>
                <c:pt idx="1">
                  <c:v>26956</c:v>
                </c:pt>
                <c:pt idx="2">
                  <c:v>25822</c:v>
                </c:pt>
                <c:pt idx="3">
                  <c:v>24780</c:v>
                </c:pt>
                <c:pt idx="4">
                  <c:v>26900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0993727"/>
        <c:axId val="120997087"/>
      </c:barChart>
      <c:catAx>
        <c:axId val="12099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997087"/>
        <c:crosses val="autoZero"/>
        <c:auto val="1"/>
        <c:lblAlgn val="ctr"/>
        <c:lblOffset val="100"/>
        <c:noMultiLvlLbl val="0"/>
      </c:catAx>
      <c:valAx>
        <c:axId val="12099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99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05d258-7819-4bad-88a6-846c59816c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Day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s and Slicers'!$F$148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Slicers'!$E$149:$E$180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'Chart s and Slicers'!$F$149:$F$180</c:f>
              <c:numCache>
                <c:formatCode>General</c:formatCode>
                <c:ptCount val="31"/>
                <c:pt idx="0">
                  <c:v>3748</c:v>
                </c:pt>
                <c:pt idx="1">
                  <c:v>2786</c:v>
                </c:pt>
                <c:pt idx="2">
                  <c:v>3212</c:v>
                </c:pt>
                <c:pt idx="3">
                  <c:v>3518</c:v>
                </c:pt>
                <c:pt idx="4">
                  <c:v>4606</c:v>
                </c:pt>
                <c:pt idx="5">
                  <c:v>4808</c:v>
                </c:pt>
                <c:pt idx="6">
                  <c:v>5530</c:v>
                </c:pt>
                <c:pt idx="7">
                  <c:v>4846</c:v>
                </c:pt>
                <c:pt idx="8">
                  <c:v>3158</c:v>
                </c:pt>
                <c:pt idx="9">
                  <c:v>4648</c:v>
                </c:pt>
                <c:pt idx="10">
                  <c:v>3696</c:v>
                </c:pt>
                <c:pt idx="11">
                  <c:v>3072</c:v>
                </c:pt>
                <c:pt idx="12">
                  <c:v>4322</c:v>
                </c:pt>
                <c:pt idx="13">
                  <c:v>4856</c:v>
                </c:pt>
                <c:pt idx="14">
                  <c:v>3736</c:v>
                </c:pt>
                <c:pt idx="15">
                  <c:v>4598</c:v>
                </c:pt>
                <c:pt idx="16">
                  <c:v>3460</c:v>
                </c:pt>
                <c:pt idx="17">
                  <c:v>3734</c:v>
                </c:pt>
                <c:pt idx="18">
                  <c:v>4758</c:v>
                </c:pt>
                <c:pt idx="19">
                  <c:v>4346</c:v>
                </c:pt>
                <c:pt idx="20">
                  <c:v>4552</c:v>
                </c:pt>
                <c:pt idx="21">
                  <c:v>3004</c:v>
                </c:pt>
                <c:pt idx="22">
                  <c:v>3764</c:v>
                </c:pt>
                <c:pt idx="23">
                  <c:v>5120</c:v>
                </c:pt>
                <c:pt idx="24">
                  <c:v>4770</c:v>
                </c:pt>
                <c:pt idx="25">
                  <c:v>4300</c:v>
                </c:pt>
                <c:pt idx="26">
                  <c:v>5628</c:v>
                </c:pt>
                <c:pt idx="27">
                  <c:v>4218</c:v>
                </c:pt>
                <c:pt idx="28">
                  <c:v>4314</c:v>
                </c:pt>
                <c:pt idx="29">
                  <c:v>3152</c:v>
                </c:pt>
                <c:pt idx="30">
                  <c:v>2660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8600479"/>
        <c:axId val="498601919"/>
      </c:lineChart>
      <c:catAx>
        <c:axId val="49860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601919"/>
        <c:crosses val="autoZero"/>
        <c:auto val="1"/>
        <c:lblAlgn val="ctr"/>
        <c:lblOffset val="100"/>
        <c:noMultiLvlLbl val="0"/>
      </c:catAx>
      <c:valAx>
        <c:axId val="4986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60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d7ccf6e-6aa2-41f3-a2ce-1f1d7dbd74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Items</a:t>
            </a:r>
            <a:endParaRPr lang="en-US" baseline="0"/>
          </a:p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15972222222222"/>
          <c:y val="0.0406459609215515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"/>
          <c:y val="0.295553368328959"/>
          <c:w val="0.745731189851269"/>
          <c:h val="0.584076261300671"/>
        </c:manualLayout>
      </c:layout>
      <c:pie3DChart>
        <c:varyColors val="1"/>
        <c:ser>
          <c:idx val="0"/>
          <c:order val="0"/>
          <c:tx>
            <c:strRef>
              <c:f>'Chart s and Slicers'!$D$117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 and Slicers'!$C$118:$C$123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'Chart s and Slicers'!$D$118:$D$123</c:f>
              <c:numCache>
                <c:formatCode>General</c:formatCode>
                <c:ptCount val="5"/>
                <c:pt idx="0">
                  <c:v>49136</c:v>
                </c:pt>
                <c:pt idx="1">
                  <c:v>609040</c:v>
                </c:pt>
                <c:pt idx="2">
                  <c:v>305520</c:v>
                </c:pt>
                <c:pt idx="3">
                  <c:v>460050</c:v>
                </c:pt>
                <c:pt idx="4">
                  <c:v>160720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756c1b-b240-49ea-9f3d-d066048a28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Product Sold Per State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422139760059"/>
          <c:y val="0.167047117406271"/>
          <c:w val="0.545931454333952"/>
          <c:h val="0.791688155635072"/>
        </c:manualLayout>
      </c:layout>
      <c:pieChart>
        <c:varyColors val="1"/>
        <c:ser>
          <c:idx val="0"/>
          <c:order val="0"/>
          <c:tx>
            <c:strRef>
              <c:f>'Chart s and Slicers'!$G$186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Slicers'!$F$187:$F$199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'Chart s and Slicers'!$G$187:$G$199</c:f>
              <c:numCache>
                <c:formatCode>General</c:formatCode>
                <c:ptCount val="12"/>
                <c:pt idx="0">
                  <c:v>1276</c:v>
                </c:pt>
                <c:pt idx="1">
                  <c:v>1433</c:v>
                </c:pt>
                <c:pt idx="2">
                  <c:v>1577</c:v>
                </c:pt>
                <c:pt idx="3">
                  <c:v>2036</c:v>
                </c:pt>
                <c:pt idx="4">
                  <c:v>887</c:v>
                </c:pt>
                <c:pt idx="5">
                  <c:v>1535</c:v>
                </c:pt>
                <c:pt idx="6">
                  <c:v>1461</c:v>
                </c:pt>
                <c:pt idx="7">
                  <c:v>865</c:v>
                </c:pt>
                <c:pt idx="8">
                  <c:v>2018</c:v>
                </c:pt>
                <c:pt idx="9">
                  <c:v>953</c:v>
                </c:pt>
                <c:pt idx="10">
                  <c:v>1253</c:v>
                </c:pt>
                <c:pt idx="11">
                  <c:v>1344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45f546-3297-4a70-9d08-63f63d76f428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Slicers!PivotTable10</c:name>
    <c:fmtId val="7"/>
  </c:pivotSource>
  <c:chart>
    <c:autoTitleDeleted val="1"/>
    <c:plotArea>
      <c:layout>
        <c:manualLayout>
          <c:layoutTarget val="inner"/>
          <c:xMode val="edge"/>
          <c:yMode val="edge"/>
          <c:x val="0.429562052613371"/>
          <c:y val="0.205649699217074"/>
          <c:w val="0.53334738721297"/>
          <c:h val="0.75395482415100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'Chart s and Slicers'!$G$229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Slicers'!$F$230:$F$235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'Chart s and Slicers'!$G$230:$G$235</c:f>
              <c:numCache>
                <c:formatCode>General</c:formatCode>
                <c:ptCount val="5"/>
                <c:pt idx="0">
                  <c:v>13.9844357976654</c:v>
                </c:pt>
                <c:pt idx="1">
                  <c:v>12.9819494584838</c:v>
                </c:pt>
                <c:pt idx="2">
                  <c:v>11.3657587548638</c:v>
                </c:pt>
                <c:pt idx="3">
                  <c:v>12.6875</c:v>
                </c:pt>
                <c:pt idx="4">
                  <c:v>12.9442379182156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06722432"/>
        <c:axId val="1613928656"/>
      </c:barChart>
      <c:catAx>
        <c:axId val="1606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3928656"/>
        <c:crosses val="autoZero"/>
        <c:auto val="1"/>
        <c:lblAlgn val="ctr"/>
        <c:lblOffset val="100"/>
        <c:noMultiLvlLbl val="0"/>
      </c:catAx>
      <c:valAx>
        <c:axId val="161392865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672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db1f5b6-31e3-46bf-ae7a-1c1e5e94bf0b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[1.2 Sales raw Data Top sales of one Month.xlsx]Chart s and Slicers!PivotTable9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Salesr With Average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s and Slicers'!$F$209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s and Slicers'!$E$210:$E$215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'Chart s and Slicers'!$F$210:$F$215</c:f>
              <c:numCache>
                <c:formatCode>General</c:formatCode>
                <c:ptCount val="5"/>
                <c:pt idx="0">
                  <c:v>22462</c:v>
                </c:pt>
                <c:pt idx="1">
                  <c:v>26956</c:v>
                </c:pt>
                <c:pt idx="2">
                  <c:v>25822</c:v>
                </c:pt>
                <c:pt idx="3">
                  <c:v>24780</c:v>
                </c:pt>
                <c:pt idx="4">
                  <c:v>26900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0993727"/>
        <c:axId val="120997087"/>
      </c:barChart>
      <c:catAx>
        <c:axId val="1209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997087"/>
        <c:crosses val="autoZero"/>
        <c:auto val="1"/>
        <c:lblAlgn val="ctr"/>
        <c:lblOffset val="100"/>
        <c:noMultiLvlLbl val="0"/>
      </c:catAx>
      <c:valAx>
        <c:axId val="120997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99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0aea902-cd20-4d5d-941f-66701bcef0eb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85299</xdr:colOff>
      <xdr:row>149</xdr:row>
      <xdr:rowOff>112594</xdr:rowOff>
    </xdr:from>
    <xdr:to>
      <xdr:col>16</xdr:col>
      <xdr:colOff>358255</xdr:colOff>
      <xdr:row>164</xdr:row>
      <xdr:rowOff>126242</xdr:rowOff>
    </xdr:to>
    <xdr:graphicFrame>
      <xdr:nvGraphicFramePr>
        <xdr:cNvPr id="2" name="Chart 1"/>
        <xdr:cNvGraphicFramePr/>
      </xdr:nvGraphicFramePr>
      <xdr:xfrm>
        <a:off x="8543290" y="27361515"/>
        <a:ext cx="4593590" cy="2756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661516</xdr:colOff>
      <xdr:row>110</xdr:row>
      <xdr:rowOff>77037</xdr:rowOff>
    </xdr:from>
    <xdr:to>
      <xdr:col>11</xdr:col>
      <xdr:colOff>602901</xdr:colOff>
      <xdr:row>125</xdr:row>
      <xdr:rowOff>56940</xdr:rowOff>
    </xdr:to>
    <xdr:graphicFrame>
      <xdr:nvGraphicFramePr>
        <xdr:cNvPr id="5" name="Chart 4"/>
        <xdr:cNvGraphicFramePr/>
      </xdr:nvGraphicFramePr>
      <xdr:xfrm>
        <a:off x="5210175" y="20193635"/>
        <a:ext cx="5085080" cy="272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904352</xdr:colOff>
      <xdr:row>126</xdr:row>
      <xdr:rowOff>102159</xdr:rowOff>
    </xdr:from>
    <xdr:to>
      <xdr:col>12</xdr:col>
      <xdr:colOff>234462</xdr:colOff>
      <xdr:row>141</xdr:row>
      <xdr:rowOff>82062</xdr:rowOff>
    </xdr:to>
    <xdr:graphicFrame>
      <xdr:nvGraphicFramePr>
        <xdr:cNvPr id="12" name="Chart 11"/>
        <xdr:cNvGraphicFramePr/>
      </xdr:nvGraphicFramePr>
      <xdr:xfrm>
        <a:off x="5410200" y="23144480"/>
        <a:ext cx="5133975" cy="2723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365090</xdr:colOff>
      <xdr:row>119</xdr:row>
      <xdr:rowOff>35505</xdr:rowOff>
    </xdr:from>
    <xdr:to>
      <xdr:col>16</xdr:col>
      <xdr:colOff>360066</xdr:colOff>
      <xdr:row>132</xdr:row>
      <xdr:rowOff>107623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It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91570" y="21797645"/>
              <a:ext cx="1847215" cy="2449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569406</xdr:colOff>
      <xdr:row>182</xdr:row>
      <xdr:rowOff>10049</xdr:rowOff>
    </xdr:from>
    <xdr:to>
      <xdr:col>14</xdr:col>
      <xdr:colOff>393560</xdr:colOff>
      <xdr:row>196</xdr:row>
      <xdr:rowOff>174172</xdr:rowOff>
    </xdr:to>
    <xdr:graphicFrame>
      <xdr:nvGraphicFramePr>
        <xdr:cNvPr id="14" name="Chart 13"/>
        <xdr:cNvGraphicFramePr/>
      </xdr:nvGraphicFramePr>
      <xdr:xfrm>
        <a:off x="7327900" y="33293685"/>
        <a:ext cx="4609465" cy="2724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133978</xdr:colOff>
      <xdr:row>175</xdr:row>
      <xdr:rowOff>40193</xdr:rowOff>
    </xdr:from>
    <xdr:to>
      <xdr:col>19</xdr:col>
      <xdr:colOff>128954</xdr:colOff>
      <xdr:row>193</xdr:row>
      <xdr:rowOff>175846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12090" y="32044005"/>
              <a:ext cx="1847215" cy="3427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259583</xdr:colOff>
      <xdr:row>199</xdr:row>
      <xdr:rowOff>150726</xdr:rowOff>
    </xdr:from>
    <xdr:to>
      <xdr:col>17</xdr:col>
      <xdr:colOff>33495</xdr:colOff>
      <xdr:row>217</xdr:row>
      <xdr:rowOff>31819</xdr:rowOff>
    </xdr:to>
    <xdr:graphicFrame>
      <xdr:nvGraphicFramePr>
        <xdr:cNvPr id="4" name="Chart 3"/>
        <xdr:cNvGraphicFramePr/>
      </xdr:nvGraphicFramePr>
      <xdr:xfrm>
        <a:off x="10568940" y="36543615"/>
        <a:ext cx="2860040" cy="3173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519165</xdr:colOff>
      <xdr:row>199</xdr:row>
      <xdr:rowOff>125605</xdr:rowOff>
    </xdr:from>
    <xdr:to>
      <xdr:col>12</xdr:col>
      <xdr:colOff>267957</xdr:colOff>
      <xdr:row>217</xdr:row>
      <xdr:rowOff>31820</xdr:rowOff>
    </xdr:to>
    <xdr:graphicFrame>
      <xdr:nvGraphicFramePr>
        <xdr:cNvPr id="6" name="Chart 5"/>
        <xdr:cNvGraphicFramePr/>
      </xdr:nvGraphicFramePr>
      <xdr:xfrm>
        <a:off x="7277735" y="36518215"/>
        <a:ext cx="3299460" cy="3198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384682</xdr:colOff>
      <xdr:row>3</xdr:row>
      <xdr:rowOff>42779</xdr:rowOff>
    </xdr:from>
    <xdr:to>
      <xdr:col>30</xdr:col>
      <xdr:colOff>250372</xdr:colOff>
      <xdr:row>20</xdr:row>
      <xdr:rowOff>32657</xdr:rowOff>
    </xdr:to>
    <xdr:graphicFrame>
      <xdr:nvGraphicFramePr>
        <xdr:cNvPr id="10" name="Chart 9"/>
        <xdr:cNvGraphicFramePr/>
      </xdr:nvGraphicFramePr>
      <xdr:xfrm>
        <a:off x="10617835" y="835025"/>
        <a:ext cx="8400415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457200</xdr:colOff>
      <xdr:row>3</xdr:row>
      <xdr:rowOff>174172</xdr:rowOff>
    </xdr:from>
    <xdr:to>
      <xdr:col>9</xdr:col>
      <xdr:colOff>337457</xdr:colOff>
      <xdr:row>19</xdr:row>
      <xdr:rowOff>108857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Item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5200" y="966470"/>
              <a:ext cx="2318385" cy="3317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65314</xdr:colOff>
      <xdr:row>21</xdr:row>
      <xdr:rowOff>21770</xdr:rowOff>
    </xdr:from>
    <xdr:to>
      <xdr:col>9</xdr:col>
      <xdr:colOff>239485</xdr:colOff>
      <xdr:row>39</xdr:row>
      <xdr:rowOff>174171</xdr:rowOff>
    </xdr:to>
    <xdr:graphicFrame>
      <xdr:nvGraphicFramePr>
        <xdr:cNvPr id="4" name="Chart 3"/>
        <xdr:cNvGraphicFramePr/>
      </xdr:nvGraphicFramePr>
      <xdr:xfrm>
        <a:off x="674370" y="4563110"/>
        <a:ext cx="5051425" cy="344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283029</xdr:colOff>
      <xdr:row>3</xdr:row>
      <xdr:rowOff>174171</xdr:rowOff>
    </xdr:from>
    <xdr:to>
      <xdr:col>5</xdr:col>
      <xdr:colOff>261257</xdr:colOff>
      <xdr:row>20</xdr:row>
      <xdr:rowOff>44380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t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175" y="966470"/>
              <a:ext cx="2416810" cy="3435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489857</xdr:colOff>
      <xdr:row>21</xdr:row>
      <xdr:rowOff>32656</xdr:rowOff>
    </xdr:from>
    <xdr:to>
      <xdr:col>17</xdr:col>
      <xdr:colOff>261257</xdr:colOff>
      <xdr:row>40</xdr:row>
      <xdr:rowOff>10885</xdr:rowOff>
    </xdr:to>
    <xdr:graphicFrame>
      <xdr:nvGraphicFramePr>
        <xdr:cNvPr id="9" name="Chart 8"/>
        <xdr:cNvGraphicFramePr/>
      </xdr:nvGraphicFramePr>
      <xdr:xfrm>
        <a:off x="5975985" y="4573905"/>
        <a:ext cx="5128260" cy="3453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555170</xdr:colOff>
      <xdr:row>21</xdr:row>
      <xdr:rowOff>3350</xdr:rowOff>
    </xdr:from>
    <xdr:to>
      <xdr:col>30</xdr:col>
      <xdr:colOff>468086</xdr:colOff>
      <xdr:row>39</xdr:row>
      <xdr:rowOff>76200</xdr:rowOff>
    </xdr:to>
    <xdr:graphicFrame>
      <xdr:nvGraphicFramePr>
        <xdr:cNvPr id="6" name="Chart 5"/>
        <xdr:cNvGraphicFramePr/>
      </xdr:nvGraphicFramePr>
      <xdr:xfrm>
        <a:off x="15055850" y="4544695"/>
        <a:ext cx="4180205" cy="3364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522514</xdr:colOff>
      <xdr:row>21</xdr:row>
      <xdr:rowOff>10885</xdr:rowOff>
    </xdr:from>
    <xdr:to>
      <xdr:col>23</xdr:col>
      <xdr:colOff>598714</xdr:colOff>
      <xdr:row>39</xdr:row>
      <xdr:rowOff>163285</xdr:rowOff>
    </xdr:to>
    <xdr:graphicFrame>
      <xdr:nvGraphicFramePr>
        <xdr:cNvPr id="8" name="Chart 7"/>
        <xdr:cNvGraphicFramePr/>
      </xdr:nvGraphicFramePr>
      <xdr:xfrm>
        <a:off x="11365230" y="4552315"/>
        <a:ext cx="3733800" cy="344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42.78866875" refreshedBy="Rani Kanhe" recordCount="1300">
  <cacheSource type="worksheet">
    <worksheetSource name="Data3"/>
  </cacheSource>
  <cacheFields count="11">
    <cacheField name="Sales Id" numFmtId="0">
      <sharedItems count="1300">
        <s v="Sales Id-70001"/>
        <s v="Sales Id-70002"/>
        <s v="Sales Id-70003"/>
        <s v="Sales Id-70004"/>
        <s v="Sales Id-70005"/>
        <s v="Sales Id-70006"/>
        <s v="Sales Id-70007"/>
        <s v="Sales Id-70008"/>
        <s v="Sales Id-70009"/>
        <s v="Sales Id-70010"/>
        <s v="Sales Id-70011"/>
        <s v="Sales Id-70012"/>
        <s v="Sales Id-70013"/>
        <s v="Sales Id-70014"/>
        <s v="Sales Id-70015"/>
        <s v="Sales Id-70016"/>
        <s v="Sales Id-70017"/>
        <s v="Sales Id-70018"/>
        <s v="Sales Id-70019"/>
        <s v="Sales Id-70020"/>
        <s v="Sales Id-70021"/>
        <s v="Sales Id-70022"/>
        <s v="Sales Id-70023"/>
        <s v="Sales Id-70024"/>
        <s v="Sales Id-70025"/>
        <s v="Sales Id-70026"/>
        <s v="Sales Id-70027"/>
        <s v="Sales Id-70028"/>
        <s v="Sales Id-70029"/>
        <s v="Sales Id-70030"/>
        <s v="Sales Id-70031"/>
        <s v="Sales Id-70032"/>
        <s v="Sales Id-70033"/>
        <s v="Sales Id-70034"/>
        <s v="Sales Id-70035"/>
        <s v="Sales Id-70036"/>
        <s v="Sales Id-70037"/>
        <s v="Sales Id-70038"/>
        <s v="Sales Id-70039"/>
        <s v="Sales Id-70040"/>
        <s v="Sales Id-70041"/>
        <s v="Sales Id-70042"/>
        <s v="Sales Id-70043"/>
        <s v="Sales Id-70044"/>
        <s v="Sales Id-70045"/>
        <s v="Sales Id-70046"/>
        <s v="Sales Id-70047"/>
        <s v="Sales Id-70048"/>
        <s v="Sales Id-70049"/>
        <s v="Sales Id-70050"/>
        <s v="Sales Id-70051"/>
        <s v="Sales Id-70052"/>
        <s v="Sales Id-70053"/>
        <s v="Sales Id-70054"/>
        <s v="Sales Id-70055"/>
        <s v="Sales Id-70056"/>
        <s v="Sales Id-70057"/>
        <s v="Sales Id-70058"/>
        <s v="Sales Id-70059"/>
        <s v="Sales Id-70060"/>
        <s v="Sales Id-70061"/>
        <s v="Sales Id-70062"/>
        <s v="Sales Id-70063"/>
        <s v="Sales Id-70064"/>
        <s v="Sales Id-70065"/>
        <s v="Sales Id-70066"/>
        <s v="Sales Id-70067"/>
        <s v="Sales Id-70068"/>
        <s v="Sales Id-70069"/>
        <s v="Sales Id-70070"/>
        <s v="Sales Id-70071"/>
        <s v="Sales Id-70072"/>
        <s v="Sales Id-70073"/>
        <s v="Sales Id-70074"/>
        <s v="Sales Id-70075"/>
        <s v="Sales Id-70076"/>
        <s v="Sales Id-70077"/>
        <s v="Sales Id-70078"/>
        <s v="Sales Id-70079"/>
        <s v="Sales Id-70080"/>
        <s v="Sales Id-70081"/>
        <s v="Sales Id-70082"/>
        <s v="Sales Id-70083"/>
        <s v="Sales Id-70084"/>
        <s v="Sales Id-70085"/>
        <s v="Sales Id-70086"/>
        <s v="Sales Id-70087"/>
        <s v="Sales Id-70088"/>
        <s v="Sales Id-70089"/>
        <s v="Sales Id-70090"/>
        <s v="Sales Id-70091"/>
        <s v="Sales Id-70092"/>
        <s v="Sales Id-70093"/>
        <s v="Sales Id-70094"/>
        <s v="Sales Id-70095"/>
        <s v="Sales Id-70096"/>
        <s v="Sales Id-70097"/>
        <s v="Sales Id-70098"/>
        <s v="Sales Id-70099"/>
        <s v="Sales Id-70100"/>
        <s v="Sales Id-70101"/>
        <s v="Sales Id-70102"/>
        <s v="Sales Id-70103"/>
        <s v="Sales Id-70104"/>
        <s v="Sales Id-70105"/>
        <s v="Sales Id-70106"/>
        <s v="Sales Id-70107"/>
        <s v="Sales Id-70108"/>
        <s v="Sales Id-70109"/>
        <s v="Sales Id-70110"/>
        <s v="Sales Id-70111"/>
        <s v="Sales Id-70112"/>
        <s v="Sales Id-70113"/>
        <s v="Sales Id-70114"/>
        <s v="Sales Id-70115"/>
        <s v="Sales Id-70116"/>
        <s v="Sales Id-70117"/>
        <s v="Sales Id-70118"/>
        <s v="Sales Id-70119"/>
        <s v="Sales Id-70120"/>
        <s v="Sales Id-70121"/>
        <s v="Sales Id-70122"/>
        <s v="Sales Id-70123"/>
        <s v="Sales Id-70124"/>
        <s v="Sales Id-70125"/>
        <s v="Sales Id-70126"/>
        <s v="Sales Id-70127"/>
        <s v="Sales Id-70128"/>
        <s v="Sales Id-70129"/>
        <s v="Sales Id-70130"/>
        <s v="Sales Id-70131"/>
        <s v="Sales Id-70132"/>
        <s v="Sales Id-70133"/>
        <s v="Sales Id-70134"/>
        <s v="Sales Id-70135"/>
        <s v="Sales Id-70136"/>
        <s v="Sales Id-70137"/>
        <s v="Sales Id-70138"/>
        <s v="Sales Id-70139"/>
        <s v="Sales Id-70140"/>
        <s v="Sales Id-70141"/>
        <s v="Sales Id-70142"/>
        <s v="Sales Id-70143"/>
        <s v="Sales Id-70144"/>
        <s v="Sales Id-70145"/>
        <s v="Sales Id-70146"/>
        <s v="Sales Id-70147"/>
        <s v="Sales Id-70148"/>
        <s v="Sales Id-70149"/>
        <s v="Sales Id-70150"/>
        <s v="Sales Id-70151"/>
        <s v="Sales Id-70152"/>
        <s v="Sales Id-70153"/>
        <s v="Sales Id-70154"/>
        <s v="Sales Id-70155"/>
        <s v="Sales Id-70156"/>
        <s v="Sales Id-70157"/>
        <s v="Sales Id-70158"/>
        <s v="Sales Id-70159"/>
        <s v="Sales Id-70160"/>
        <s v="Sales Id-70161"/>
        <s v="Sales Id-70162"/>
        <s v="Sales Id-70163"/>
        <s v="Sales Id-70164"/>
        <s v="Sales Id-70165"/>
        <s v="Sales Id-70166"/>
        <s v="Sales Id-70167"/>
        <s v="Sales Id-70168"/>
        <s v="Sales Id-70169"/>
        <s v="Sales Id-70170"/>
        <s v="Sales Id-70171"/>
        <s v="Sales Id-70172"/>
        <s v="Sales Id-70173"/>
        <s v="Sales Id-70174"/>
        <s v="Sales Id-70175"/>
        <s v="Sales Id-70176"/>
        <s v="Sales Id-70177"/>
        <s v="Sales Id-70178"/>
        <s v="Sales Id-70179"/>
        <s v="Sales Id-70180"/>
        <s v="Sales Id-70181"/>
        <s v="Sales Id-70182"/>
        <s v="Sales Id-70183"/>
        <s v="Sales Id-70184"/>
        <s v="Sales Id-70185"/>
        <s v="Sales Id-70186"/>
        <s v="Sales Id-70187"/>
        <s v="Sales Id-70188"/>
        <s v="Sales Id-70189"/>
        <s v="Sales Id-70190"/>
        <s v="Sales Id-70191"/>
        <s v="Sales Id-70192"/>
        <s v="Sales Id-70193"/>
        <s v="Sales Id-70194"/>
        <s v="Sales Id-70195"/>
        <s v="Sales Id-70196"/>
        <s v="Sales Id-70197"/>
        <s v="Sales Id-70198"/>
        <s v="Sales Id-70199"/>
        <s v="Sales Id-70200"/>
        <s v="Sales Id-70201"/>
        <s v="Sales Id-70202"/>
        <s v="Sales Id-70203"/>
        <s v="Sales Id-70204"/>
        <s v="Sales Id-70205"/>
        <s v="Sales Id-70206"/>
        <s v="Sales Id-70207"/>
        <s v="Sales Id-70208"/>
        <s v="Sales Id-70209"/>
        <s v="Sales Id-70210"/>
        <s v="Sales Id-70211"/>
        <s v="Sales Id-70212"/>
        <s v="Sales Id-70213"/>
        <s v="Sales Id-70214"/>
        <s v="Sales Id-70215"/>
        <s v="Sales Id-70216"/>
        <s v="Sales Id-70217"/>
        <s v="Sales Id-70218"/>
        <s v="Sales Id-70219"/>
        <s v="Sales Id-70220"/>
        <s v="Sales Id-70221"/>
        <s v="Sales Id-70222"/>
        <s v="Sales Id-70223"/>
        <s v="Sales Id-70224"/>
        <s v="Sales Id-70225"/>
        <s v="Sales Id-70226"/>
        <s v="Sales Id-70227"/>
        <s v="Sales Id-70228"/>
        <s v="Sales Id-70229"/>
        <s v="Sales Id-70230"/>
        <s v="Sales Id-70231"/>
        <s v="Sales Id-70232"/>
        <s v="Sales Id-70233"/>
        <s v="Sales Id-70234"/>
        <s v="Sales Id-70235"/>
        <s v="Sales Id-70236"/>
        <s v="Sales Id-70237"/>
        <s v="Sales Id-70238"/>
        <s v="Sales Id-70239"/>
        <s v="Sales Id-70240"/>
        <s v="Sales Id-70241"/>
        <s v="Sales Id-70242"/>
        <s v="Sales Id-70243"/>
        <s v="Sales Id-70244"/>
        <s v="Sales Id-70245"/>
        <s v="Sales Id-70246"/>
        <s v="Sales Id-70247"/>
        <s v="Sales Id-70248"/>
        <s v="Sales Id-70249"/>
        <s v="Sales Id-70250"/>
        <s v="Sales Id-70251"/>
        <s v="Sales Id-70252"/>
        <s v="Sales Id-70253"/>
        <s v="Sales Id-70254"/>
        <s v="Sales Id-70255"/>
        <s v="Sales Id-70256"/>
        <s v="Sales Id-70257"/>
        <s v="Sales Id-70258"/>
        <s v="Sales Id-70259"/>
        <s v="Sales Id-70260"/>
        <s v="Sales Id-70261"/>
        <s v="Sales Id-70262"/>
        <s v="Sales Id-70263"/>
        <s v="Sales Id-70264"/>
        <s v="Sales Id-70265"/>
        <s v="Sales Id-70266"/>
        <s v="Sales Id-70267"/>
        <s v="Sales Id-70268"/>
        <s v="Sales Id-70269"/>
        <s v="Sales Id-70270"/>
        <s v="Sales Id-70271"/>
        <s v="Sales Id-70272"/>
        <s v="Sales Id-70273"/>
        <s v="Sales Id-70274"/>
        <s v="Sales Id-70275"/>
        <s v="Sales Id-70276"/>
        <s v="Sales Id-70277"/>
        <s v="Sales Id-70278"/>
        <s v="Sales Id-70279"/>
        <s v="Sales Id-70280"/>
        <s v="Sales Id-70281"/>
        <s v="Sales Id-70282"/>
        <s v="Sales Id-70283"/>
        <s v="Sales Id-70284"/>
        <s v="Sales Id-70285"/>
        <s v="Sales Id-70286"/>
        <s v="Sales Id-70287"/>
        <s v="Sales Id-70288"/>
        <s v="Sales Id-70289"/>
        <s v="Sales Id-70290"/>
        <s v="Sales Id-70291"/>
        <s v="Sales Id-70292"/>
        <s v="Sales Id-70293"/>
        <s v="Sales Id-70294"/>
        <s v="Sales Id-70295"/>
        <s v="Sales Id-70296"/>
        <s v="Sales Id-70297"/>
        <s v="Sales Id-70298"/>
        <s v="Sales Id-70299"/>
        <s v="Sales Id-70300"/>
        <s v="Sales Id-70301"/>
        <s v="Sales Id-70302"/>
        <s v="Sales Id-70303"/>
        <s v="Sales Id-70304"/>
        <s v="Sales Id-70305"/>
        <s v="Sales Id-70306"/>
        <s v="Sales Id-70307"/>
        <s v="Sales Id-70308"/>
        <s v="Sales Id-70309"/>
        <s v="Sales Id-70310"/>
        <s v="Sales Id-70311"/>
        <s v="Sales Id-70312"/>
        <s v="Sales Id-70313"/>
        <s v="Sales Id-70314"/>
        <s v="Sales Id-70315"/>
        <s v="Sales Id-70316"/>
        <s v="Sales Id-70317"/>
        <s v="Sales Id-70318"/>
        <s v="Sales Id-70319"/>
        <s v="Sales Id-70320"/>
        <s v="Sales Id-70321"/>
        <s v="Sales Id-70322"/>
        <s v="Sales Id-70323"/>
        <s v="Sales Id-70324"/>
        <s v="Sales Id-70325"/>
        <s v="Sales Id-70326"/>
        <s v="Sales Id-70327"/>
        <s v="Sales Id-70328"/>
        <s v="Sales Id-70329"/>
        <s v="Sales Id-70330"/>
        <s v="Sales Id-70331"/>
        <s v="Sales Id-70332"/>
        <s v="Sales Id-70333"/>
        <s v="Sales Id-70334"/>
        <s v="Sales Id-70335"/>
        <s v="Sales Id-70336"/>
        <s v="Sales Id-70337"/>
        <s v="Sales Id-70338"/>
        <s v="Sales Id-70339"/>
        <s v="Sales Id-70340"/>
        <s v="Sales Id-70341"/>
        <s v="Sales Id-70342"/>
        <s v="Sales Id-70343"/>
        <s v="Sales Id-70344"/>
        <s v="Sales Id-70345"/>
        <s v="Sales Id-70346"/>
        <s v="Sales Id-70347"/>
        <s v="Sales Id-70348"/>
        <s v="Sales Id-70349"/>
        <s v="Sales Id-70350"/>
        <s v="Sales Id-70351"/>
        <s v="Sales Id-70352"/>
        <s v="Sales Id-70353"/>
        <s v="Sales Id-70354"/>
        <s v="Sales Id-70355"/>
        <s v="Sales Id-70356"/>
        <s v="Sales Id-70357"/>
        <s v="Sales Id-70358"/>
        <s v="Sales Id-70359"/>
        <s v="Sales Id-70360"/>
        <s v="Sales Id-70361"/>
        <s v="Sales Id-70362"/>
        <s v="Sales Id-70363"/>
        <s v="Sales Id-70364"/>
        <s v="Sales Id-70365"/>
        <s v="Sales Id-70366"/>
        <s v="Sales Id-70367"/>
        <s v="Sales Id-70368"/>
        <s v="Sales Id-70369"/>
        <s v="Sales Id-70370"/>
        <s v="Sales Id-70371"/>
        <s v="Sales Id-70372"/>
        <s v="Sales Id-70373"/>
        <s v="Sales Id-70374"/>
        <s v="Sales Id-70375"/>
        <s v="Sales Id-70376"/>
        <s v="Sales Id-70377"/>
        <s v="Sales Id-70378"/>
        <s v="Sales Id-70379"/>
        <s v="Sales Id-70380"/>
        <s v="Sales Id-70381"/>
        <s v="Sales Id-70382"/>
        <s v="Sales Id-70383"/>
        <s v="Sales Id-70384"/>
        <s v="Sales Id-70385"/>
        <s v="Sales Id-70386"/>
        <s v="Sales Id-70387"/>
        <s v="Sales Id-70388"/>
        <s v="Sales Id-70389"/>
        <s v="Sales Id-70390"/>
        <s v="Sales Id-70391"/>
        <s v="Sales Id-70392"/>
        <s v="Sales Id-70393"/>
        <s v="Sales Id-70394"/>
        <s v="Sales Id-70395"/>
        <s v="Sales Id-70396"/>
        <s v="Sales Id-70397"/>
        <s v="Sales Id-70398"/>
        <s v="Sales Id-70399"/>
        <s v="Sales Id-70400"/>
        <s v="Sales Id-70401"/>
        <s v="Sales Id-70402"/>
        <s v="Sales Id-70403"/>
        <s v="Sales Id-70404"/>
        <s v="Sales Id-70405"/>
        <s v="Sales Id-70406"/>
        <s v="Sales Id-70407"/>
        <s v="Sales Id-70408"/>
        <s v="Sales Id-70409"/>
        <s v="Sales Id-70410"/>
        <s v="Sales Id-70411"/>
        <s v="Sales Id-70412"/>
        <s v="Sales Id-70413"/>
        <s v="Sales Id-70414"/>
        <s v="Sales Id-70415"/>
        <s v="Sales Id-70416"/>
        <s v="Sales Id-70417"/>
        <s v="Sales Id-70418"/>
        <s v="Sales Id-70419"/>
        <s v="Sales Id-70420"/>
        <s v="Sales Id-70421"/>
        <s v="Sales Id-70422"/>
        <s v="Sales Id-70423"/>
        <s v="Sales Id-70424"/>
        <s v="Sales Id-70425"/>
        <s v="Sales Id-70426"/>
        <s v="Sales Id-70427"/>
        <s v="Sales Id-70428"/>
        <s v="Sales Id-70429"/>
        <s v="Sales Id-70430"/>
        <s v="Sales Id-70431"/>
        <s v="Sales Id-70432"/>
        <s v="Sales Id-70433"/>
        <s v="Sales Id-70434"/>
        <s v="Sales Id-70435"/>
        <s v="Sales Id-70436"/>
        <s v="Sales Id-70437"/>
        <s v="Sales Id-70438"/>
        <s v="Sales Id-70439"/>
        <s v="Sales Id-70440"/>
        <s v="Sales Id-70441"/>
        <s v="Sales Id-70442"/>
        <s v="Sales Id-70443"/>
        <s v="Sales Id-70444"/>
        <s v="Sales Id-70445"/>
        <s v="Sales Id-70446"/>
        <s v="Sales Id-70447"/>
        <s v="Sales Id-70448"/>
        <s v="Sales Id-70449"/>
        <s v="Sales Id-70450"/>
        <s v="Sales Id-70451"/>
        <s v="Sales Id-70452"/>
        <s v="Sales Id-70453"/>
        <s v="Sales Id-70454"/>
        <s v="Sales Id-70455"/>
        <s v="Sales Id-70456"/>
        <s v="Sales Id-70457"/>
        <s v="Sales Id-70458"/>
        <s v="Sales Id-70459"/>
        <s v="Sales Id-70460"/>
        <s v="Sales Id-70461"/>
        <s v="Sales Id-70462"/>
        <s v="Sales Id-70463"/>
        <s v="Sales Id-70464"/>
        <s v="Sales Id-70465"/>
        <s v="Sales Id-70466"/>
        <s v="Sales Id-70467"/>
        <s v="Sales Id-70468"/>
        <s v="Sales Id-70469"/>
        <s v="Sales Id-70470"/>
        <s v="Sales Id-70471"/>
        <s v="Sales Id-70472"/>
        <s v="Sales Id-70473"/>
        <s v="Sales Id-70474"/>
        <s v="Sales Id-70475"/>
        <s v="Sales Id-70476"/>
        <s v="Sales Id-70477"/>
        <s v="Sales Id-70478"/>
        <s v="Sales Id-70479"/>
        <s v="Sales Id-70480"/>
        <s v="Sales Id-70481"/>
        <s v="Sales Id-70482"/>
        <s v="Sales Id-70483"/>
        <s v="Sales Id-70484"/>
        <s v="Sales Id-70485"/>
        <s v="Sales Id-70486"/>
        <s v="Sales Id-70487"/>
        <s v="Sales Id-70488"/>
        <s v="Sales Id-70489"/>
        <s v="Sales Id-70490"/>
        <s v="Sales Id-70491"/>
        <s v="Sales Id-70492"/>
        <s v="Sales Id-70493"/>
        <s v="Sales Id-70494"/>
        <s v="Sales Id-70495"/>
        <s v="Sales Id-70496"/>
        <s v="Sales Id-70497"/>
        <s v="Sales Id-70498"/>
        <s v="Sales Id-70499"/>
        <s v="Sales Id-70500"/>
        <s v="Sales Id-70501"/>
        <s v="Sales Id-70502"/>
        <s v="Sales Id-70503"/>
        <s v="Sales Id-70504"/>
        <s v="Sales Id-70505"/>
        <s v="Sales Id-70506"/>
        <s v="Sales Id-70507"/>
        <s v="Sales Id-70508"/>
        <s v="Sales Id-70509"/>
        <s v="Sales Id-70510"/>
        <s v="Sales Id-70511"/>
        <s v="Sales Id-70512"/>
        <s v="Sales Id-70513"/>
        <s v="Sales Id-70514"/>
        <s v="Sales Id-70515"/>
        <s v="Sales Id-70516"/>
        <s v="Sales Id-70517"/>
        <s v="Sales Id-70518"/>
        <s v="Sales Id-70519"/>
        <s v="Sales Id-70520"/>
        <s v="Sales Id-70521"/>
        <s v="Sales Id-70522"/>
        <s v="Sales Id-70523"/>
        <s v="Sales Id-70524"/>
        <s v="Sales Id-70525"/>
        <s v="Sales Id-70526"/>
        <s v="Sales Id-70527"/>
        <s v="Sales Id-70528"/>
        <s v="Sales Id-70529"/>
        <s v="Sales Id-70530"/>
        <s v="Sales Id-70531"/>
        <s v="Sales Id-70532"/>
        <s v="Sales Id-70533"/>
        <s v="Sales Id-70534"/>
        <s v="Sales Id-70535"/>
        <s v="Sales Id-70536"/>
        <s v="Sales Id-70537"/>
        <s v="Sales Id-70538"/>
        <s v="Sales Id-70539"/>
        <s v="Sales Id-70540"/>
        <s v="Sales Id-70541"/>
        <s v="Sales Id-70542"/>
        <s v="Sales Id-70543"/>
        <s v="Sales Id-70544"/>
        <s v="Sales Id-70545"/>
        <s v="Sales Id-70546"/>
        <s v="Sales Id-70547"/>
        <s v="Sales Id-70548"/>
        <s v="Sales Id-70549"/>
        <s v="Sales Id-70550"/>
        <s v="Sales Id-70551"/>
        <s v="Sales Id-70552"/>
        <s v="Sales Id-70553"/>
        <s v="Sales Id-70554"/>
        <s v="Sales Id-70555"/>
        <s v="Sales Id-70556"/>
        <s v="Sales Id-70557"/>
        <s v="Sales Id-70558"/>
        <s v="Sales Id-70559"/>
        <s v="Sales Id-70560"/>
        <s v="Sales Id-70561"/>
        <s v="Sales Id-70562"/>
        <s v="Sales Id-70563"/>
        <s v="Sales Id-70564"/>
        <s v="Sales Id-70565"/>
        <s v="Sales Id-70566"/>
        <s v="Sales Id-70567"/>
        <s v="Sales Id-70568"/>
        <s v="Sales Id-70569"/>
        <s v="Sales Id-70570"/>
        <s v="Sales Id-70571"/>
        <s v="Sales Id-70572"/>
        <s v="Sales Id-70573"/>
        <s v="Sales Id-70574"/>
        <s v="Sales Id-70575"/>
        <s v="Sales Id-70576"/>
        <s v="Sales Id-70577"/>
        <s v="Sales Id-70578"/>
        <s v="Sales Id-70579"/>
        <s v="Sales Id-70580"/>
        <s v="Sales Id-70581"/>
        <s v="Sales Id-70582"/>
        <s v="Sales Id-70583"/>
        <s v="Sales Id-70584"/>
        <s v="Sales Id-70585"/>
        <s v="Sales Id-70586"/>
        <s v="Sales Id-70587"/>
        <s v="Sales Id-70588"/>
        <s v="Sales Id-70589"/>
        <s v="Sales Id-70590"/>
        <s v="Sales Id-70591"/>
        <s v="Sales Id-70592"/>
        <s v="Sales Id-70593"/>
        <s v="Sales Id-70594"/>
        <s v="Sales Id-70595"/>
        <s v="Sales Id-70596"/>
        <s v="Sales Id-70597"/>
        <s v="Sales Id-70598"/>
        <s v="Sales Id-70599"/>
        <s v="Sales Id-70600"/>
        <s v="Sales Id-70601"/>
        <s v="Sales Id-70602"/>
        <s v="Sales Id-70603"/>
        <s v="Sales Id-70604"/>
        <s v="Sales Id-70605"/>
        <s v="Sales Id-70606"/>
        <s v="Sales Id-70607"/>
        <s v="Sales Id-70608"/>
        <s v="Sales Id-70609"/>
        <s v="Sales Id-70610"/>
        <s v="Sales Id-70611"/>
        <s v="Sales Id-70612"/>
        <s v="Sales Id-70613"/>
        <s v="Sales Id-70614"/>
        <s v="Sales Id-70615"/>
        <s v="Sales Id-70616"/>
        <s v="Sales Id-70617"/>
        <s v="Sales Id-70618"/>
        <s v="Sales Id-70619"/>
        <s v="Sales Id-70620"/>
        <s v="Sales Id-70621"/>
        <s v="Sales Id-70622"/>
        <s v="Sales Id-70623"/>
        <s v="Sales Id-70624"/>
        <s v="Sales Id-70625"/>
        <s v="Sales Id-70626"/>
        <s v="Sales Id-70627"/>
        <s v="Sales Id-70628"/>
        <s v="Sales Id-70629"/>
        <s v="Sales Id-70630"/>
        <s v="Sales Id-70631"/>
        <s v="Sales Id-70632"/>
        <s v="Sales Id-70633"/>
        <s v="Sales Id-70634"/>
        <s v="Sales Id-70635"/>
        <s v="Sales Id-70636"/>
        <s v="Sales Id-70637"/>
        <s v="Sales Id-70638"/>
        <s v="Sales Id-70639"/>
        <s v="Sales Id-70640"/>
        <s v="Sales Id-70641"/>
        <s v="Sales Id-70642"/>
        <s v="Sales Id-70643"/>
        <s v="Sales Id-70644"/>
        <s v="Sales Id-70645"/>
        <s v="Sales Id-70646"/>
        <s v="Sales Id-70647"/>
        <s v="Sales Id-70648"/>
        <s v="Sales Id-70649"/>
        <s v="Sales Id-70650"/>
        <s v="Sales Id-70651"/>
        <s v="Sales Id-70652"/>
        <s v="Sales Id-70653"/>
        <s v="Sales Id-70654"/>
        <s v="Sales Id-70655"/>
        <s v="Sales Id-70656"/>
        <s v="Sales Id-70657"/>
        <s v="Sales Id-70658"/>
        <s v="Sales Id-70659"/>
        <s v="Sales Id-70660"/>
        <s v="Sales Id-70661"/>
        <s v="Sales Id-70662"/>
        <s v="Sales Id-70663"/>
        <s v="Sales Id-70664"/>
        <s v="Sales Id-70665"/>
        <s v="Sales Id-70666"/>
        <s v="Sales Id-70667"/>
        <s v="Sales Id-70668"/>
        <s v="Sales Id-70669"/>
        <s v="Sales Id-70670"/>
        <s v="Sales Id-70671"/>
        <s v="Sales Id-70672"/>
        <s v="Sales Id-70673"/>
        <s v="Sales Id-70674"/>
        <s v="Sales Id-70675"/>
        <s v="Sales Id-70676"/>
        <s v="Sales Id-70677"/>
        <s v="Sales Id-70678"/>
        <s v="Sales Id-70679"/>
        <s v="Sales Id-70680"/>
        <s v="Sales Id-70681"/>
        <s v="Sales Id-70682"/>
        <s v="Sales Id-70683"/>
        <s v="Sales Id-70684"/>
        <s v="Sales Id-70685"/>
        <s v="Sales Id-70686"/>
        <s v="Sales Id-70687"/>
        <s v="Sales Id-70688"/>
        <s v="Sales Id-70689"/>
        <s v="Sales Id-70690"/>
        <s v="Sales Id-70691"/>
        <s v="Sales Id-70692"/>
        <s v="Sales Id-70693"/>
        <s v="Sales Id-70694"/>
        <s v="Sales Id-70695"/>
        <s v="Sales Id-70696"/>
        <s v="Sales Id-70697"/>
        <s v="Sales Id-70698"/>
        <s v="Sales Id-70699"/>
        <s v="Sales Id-70700"/>
        <s v="Sales Id-70701"/>
        <s v="Sales Id-70702"/>
        <s v="Sales Id-70703"/>
        <s v="Sales Id-70704"/>
        <s v="Sales Id-70705"/>
        <s v="Sales Id-70706"/>
        <s v="Sales Id-70707"/>
        <s v="Sales Id-70708"/>
        <s v="Sales Id-70709"/>
        <s v="Sales Id-70710"/>
        <s v="Sales Id-70711"/>
        <s v="Sales Id-70712"/>
        <s v="Sales Id-70713"/>
        <s v="Sales Id-70714"/>
        <s v="Sales Id-70715"/>
        <s v="Sales Id-70716"/>
        <s v="Sales Id-70717"/>
        <s v="Sales Id-70718"/>
        <s v="Sales Id-70719"/>
        <s v="Sales Id-70720"/>
        <s v="Sales Id-70721"/>
        <s v="Sales Id-70722"/>
        <s v="Sales Id-70723"/>
        <s v="Sales Id-70724"/>
        <s v="Sales Id-70725"/>
        <s v="Sales Id-70726"/>
        <s v="Sales Id-70727"/>
        <s v="Sales Id-70728"/>
        <s v="Sales Id-70729"/>
        <s v="Sales Id-70730"/>
        <s v="Sales Id-70731"/>
        <s v="Sales Id-70732"/>
        <s v="Sales Id-70733"/>
        <s v="Sales Id-70734"/>
        <s v="Sales Id-70735"/>
        <s v="Sales Id-70736"/>
        <s v="Sales Id-70737"/>
        <s v="Sales Id-70738"/>
        <s v="Sales Id-70739"/>
        <s v="Sales Id-70740"/>
        <s v="Sales Id-70741"/>
        <s v="Sales Id-70742"/>
        <s v="Sales Id-70743"/>
        <s v="Sales Id-70744"/>
        <s v="Sales Id-70745"/>
        <s v="Sales Id-70746"/>
        <s v="Sales Id-70747"/>
        <s v="Sales Id-70748"/>
        <s v="Sales Id-70749"/>
        <s v="Sales Id-70750"/>
        <s v="Sales Id-70751"/>
        <s v="Sales Id-70752"/>
        <s v="Sales Id-70753"/>
        <s v="Sales Id-70754"/>
        <s v="Sales Id-70755"/>
        <s v="Sales Id-70756"/>
        <s v="Sales Id-70757"/>
        <s v="Sales Id-70758"/>
        <s v="Sales Id-70759"/>
        <s v="Sales Id-70760"/>
        <s v="Sales Id-70761"/>
        <s v="Sales Id-70762"/>
        <s v="Sales Id-70763"/>
        <s v="Sales Id-70764"/>
        <s v="Sales Id-70765"/>
        <s v="Sales Id-70766"/>
        <s v="Sales Id-70767"/>
        <s v="Sales Id-70768"/>
        <s v="Sales Id-70769"/>
        <s v="Sales Id-70770"/>
        <s v="Sales Id-70771"/>
        <s v="Sales Id-70772"/>
        <s v="Sales Id-70773"/>
        <s v="Sales Id-70774"/>
        <s v="Sales Id-70775"/>
        <s v="Sales Id-70776"/>
        <s v="Sales Id-70777"/>
        <s v="Sales Id-70778"/>
        <s v="Sales Id-70779"/>
        <s v="Sales Id-70780"/>
        <s v="Sales Id-70781"/>
        <s v="Sales Id-70782"/>
        <s v="Sales Id-70783"/>
        <s v="Sales Id-70784"/>
        <s v="Sales Id-70785"/>
        <s v="Sales Id-70786"/>
        <s v="Sales Id-70787"/>
        <s v="Sales Id-70788"/>
        <s v="Sales Id-70789"/>
        <s v="Sales Id-70790"/>
        <s v="Sales Id-70791"/>
        <s v="Sales Id-70792"/>
        <s v="Sales Id-70793"/>
        <s v="Sales Id-70794"/>
        <s v="Sales Id-70795"/>
        <s v="Sales Id-70796"/>
        <s v="Sales Id-70797"/>
        <s v="Sales Id-70798"/>
        <s v="Sales Id-70799"/>
        <s v="Sales Id-70800"/>
        <s v="Sales Id-70801"/>
        <s v="Sales Id-70802"/>
        <s v="Sales Id-70803"/>
        <s v="Sales Id-70804"/>
        <s v="Sales Id-70805"/>
        <s v="Sales Id-70806"/>
        <s v="Sales Id-70807"/>
        <s v="Sales Id-70808"/>
        <s v="Sales Id-70809"/>
        <s v="Sales Id-70810"/>
        <s v="Sales Id-70811"/>
        <s v="Sales Id-70812"/>
        <s v="Sales Id-70813"/>
        <s v="Sales Id-70814"/>
        <s v="Sales Id-70815"/>
        <s v="Sales Id-70816"/>
        <s v="Sales Id-70817"/>
        <s v="Sales Id-70818"/>
        <s v="Sales Id-70819"/>
        <s v="Sales Id-70820"/>
        <s v="Sales Id-70821"/>
        <s v="Sales Id-70822"/>
        <s v="Sales Id-70823"/>
        <s v="Sales Id-70824"/>
        <s v="Sales Id-70825"/>
        <s v="Sales Id-70826"/>
        <s v="Sales Id-70827"/>
        <s v="Sales Id-70828"/>
        <s v="Sales Id-70829"/>
        <s v="Sales Id-70830"/>
        <s v="Sales Id-70831"/>
        <s v="Sales Id-70832"/>
        <s v="Sales Id-70833"/>
        <s v="Sales Id-70834"/>
        <s v="Sales Id-70835"/>
        <s v="Sales Id-70836"/>
        <s v="Sales Id-70837"/>
        <s v="Sales Id-70838"/>
        <s v="Sales Id-70839"/>
        <s v="Sales Id-70840"/>
        <s v="Sales Id-70841"/>
        <s v="Sales Id-70842"/>
        <s v="Sales Id-70843"/>
        <s v="Sales Id-70844"/>
        <s v="Sales Id-70845"/>
        <s v="Sales Id-70846"/>
        <s v="Sales Id-70847"/>
        <s v="Sales Id-70848"/>
        <s v="Sales Id-70849"/>
        <s v="Sales Id-70850"/>
        <s v="Sales Id-70851"/>
        <s v="Sales Id-70852"/>
        <s v="Sales Id-70853"/>
        <s v="Sales Id-70854"/>
        <s v="Sales Id-70855"/>
        <s v="Sales Id-70856"/>
        <s v="Sales Id-70857"/>
        <s v="Sales Id-70858"/>
        <s v="Sales Id-70859"/>
        <s v="Sales Id-70860"/>
        <s v="Sales Id-70861"/>
        <s v="Sales Id-70862"/>
        <s v="Sales Id-70863"/>
        <s v="Sales Id-70864"/>
        <s v="Sales Id-70865"/>
        <s v="Sales Id-70866"/>
        <s v="Sales Id-70867"/>
        <s v="Sales Id-70868"/>
        <s v="Sales Id-70869"/>
        <s v="Sales Id-70870"/>
        <s v="Sales Id-70871"/>
        <s v="Sales Id-70872"/>
        <s v="Sales Id-70873"/>
        <s v="Sales Id-70874"/>
        <s v="Sales Id-70875"/>
        <s v="Sales Id-70876"/>
        <s v="Sales Id-70877"/>
        <s v="Sales Id-70878"/>
        <s v="Sales Id-70879"/>
        <s v="Sales Id-70880"/>
        <s v="Sales Id-70881"/>
        <s v="Sales Id-70882"/>
        <s v="Sales Id-70883"/>
        <s v="Sales Id-70884"/>
        <s v="Sales Id-70885"/>
        <s v="Sales Id-70886"/>
        <s v="Sales Id-70887"/>
        <s v="Sales Id-70888"/>
        <s v="Sales Id-70889"/>
        <s v="Sales Id-70890"/>
        <s v="Sales Id-70891"/>
        <s v="Sales Id-70892"/>
        <s v="Sales Id-70893"/>
        <s v="Sales Id-70894"/>
        <s v="Sales Id-70895"/>
        <s v="Sales Id-70896"/>
        <s v="Sales Id-70897"/>
        <s v="Sales Id-70898"/>
        <s v="Sales Id-70899"/>
        <s v="Sales Id-70900"/>
        <s v="Sales Id-70901"/>
        <s v="Sales Id-70902"/>
        <s v="Sales Id-70903"/>
        <s v="Sales Id-70904"/>
        <s v="Sales Id-70905"/>
        <s v="Sales Id-70906"/>
        <s v="Sales Id-70907"/>
        <s v="Sales Id-70908"/>
        <s v="Sales Id-70909"/>
        <s v="Sales Id-70910"/>
        <s v="Sales Id-70911"/>
        <s v="Sales Id-70912"/>
        <s v="Sales Id-70913"/>
        <s v="Sales Id-70914"/>
        <s v="Sales Id-70915"/>
        <s v="Sales Id-70916"/>
        <s v="Sales Id-70917"/>
        <s v="Sales Id-70918"/>
        <s v="Sales Id-70919"/>
        <s v="Sales Id-70920"/>
        <s v="Sales Id-70921"/>
        <s v="Sales Id-70922"/>
        <s v="Sales Id-70923"/>
        <s v="Sales Id-70924"/>
        <s v="Sales Id-70925"/>
        <s v="Sales Id-70926"/>
        <s v="Sales Id-70927"/>
        <s v="Sales Id-70928"/>
        <s v="Sales Id-70929"/>
        <s v="Sales Id-70930"/>
        <s v="Sales Id-70931"/>
        <s v="Sales Id-70932"/>
        <s v="Sales Id-70933"/>
        <s v="Sales Id-70934"/>
        <s v="Sales Id-70935"/>
        <s v="Sales Id-70936"/>
        <s v="Sales Id-70937"/>
        <s v="Sales Id-70938"/>
        <s v="Sales Id-70939"/>
        <s v="Sales Id-70940"/>
        <s v="Sales Id-70941"/>
        <s v="Sales Id-70942"/>
        <s v="Sales Id-70943"/>
        <s v="Sales Id-70944"/>
        <s v="Sales Id-70945"/>
        <s v="Sales Id-70946"/>
        <s v="Sales Id-70947"/>
        <s v="Sales Id-70948"/>
        <s v="Sales Id-70949"/>
        <s v="Sales Id-70950"/>
        <s v="Sales Id-70951"/>
        <s v="Sales Id-70952"/>
        <s v="Sales Id-70953"/>
        <s v="Sales Id-70954"/>
        <s v="Sales Id-70955"/>
        <s v="Sales Id-70956"/>
        <s v="Sales Id-70957"/>
        <s v="Sales Id-70958"/>
        <s v="Sales Id-70959"/>
        <s v="Sales Id-70960"/>
        <s v="Sales Id-70961"/>
        <s v="Sales Id-70962"/>
        <s v="Sales Id-70963"/>
        <s v="Sales Id-70964"/>
        <s v="Sales Id-70965"/>
        <s v="Sales Id-70966"/>
        <s v="Sales Id-70967"/>
        <s v="Sales Id-70968"/>
        <s v="Sales Id-70969"/>
        <s v="Sales Id-70970"/>
        <s v="Sales Id-70971"/>
        <s v="Sales Id-70972"/>
        <s v="Sales Id-70973"/>
        <s v="Sales Id-70974"/>
        <s v="Sales Id-70975"/>
        <s v="Sales Id-70976"/>
        <s v="Sales Id-70977"/>
        <s v="Sales Id-70978"/>
        <s v="Sales Id-70979"/>
        <s v="Sales Id-70980"/>
        <s v="Sales Id-70981"/>
        <s v="Sales Id-70982"/>
        <s v="Sales Id-70983"/>
        <s v="Sales Id-70984"/>
        <s v="Sales Id-70985"/>
        <s v="Sales Id-70986"/>
        <s v="Sales Id-70987"/>
        <s v="Sales Id-70988"/>
        <s v="Sales Id-70989"/>
        <s v="Sales Id-70990"/>
        <s v="Sales Id-70991"/>
        <s v="Sales Id-70992"/>
        <s v="Sales Id-70993"/>
        <s v="Sales Id-70994"/>
        <s v="Sales Id-70995"/>
        <s v="Sales Id-70996"/>
        <s v="Sales Id-70997"/>
        <s v="Sales Id-70998"/>
        <s v="Sales Id-70999"/>
        <s v="Sales Id-71000"/>
        <s v="Sales Id-71001"/>
        <s v="Sales Id-71002"/>
        <s v="Sales Id-71003"/>
        <s v="Sales Id-71004"/>
        <s v="Sales Id-71005"/>
        <s v="Sales Id-71006"/>
        <s v="Sales Id-71007"/>
        <s v="Sales Id-71008"/>
        <s v="Sales Id-71009"/>
        <s v="Sales Id-71010"/>
        <s v="Sales Id-71011"/>
        <s v="Sales Id-71012"/>
        <s v="Sales Id-71013"/>
        <s v="Sales Id-71014"/>
        <s v="Sales Id-71015"/>
        <s v="Sales Id-71016"/>
        <s v="Sales Id-71017"/>
        <s v="Sales Id-71018"/>
        <s v="Sales Id-71019"/>
        <s v="Sales Id-71020"/>
        <s v="Sales Id-71021"/>
        <s v="Sales Id-71022"/>
        <s v="Sales Id-71023"/>
        <s v="Sales Id-71024"/>
        <s v="Sales Id-71025"/>
        <s v="Sales Id-71026"/>
        <s v="Sales Id-71027"/>
        <s v="Sales Id-71028"/>
        <s v="Sales Id-71029"/>
        <s v="Sales Id-71030"/>
        <s v="Sales Id-71031"/>
        <s v="Sales Id-71032"/>
        <s v="Sales Id-71033"/>
        <s v="Sales Id-71034"/>
        <s v="Sales Id-71035"/>
        <s v="Sales Id-71036"/>
        <s v="Sales Id-71037"/>
        <s v="Sales Id-71038"/>
        <s v="Sales Id-71039"/>
        <s v="Sales Id-71040"/>
        <s v="Sales Id-71041"/>
        <s v="Sales Id-71042"/>
        <s v="Sales Id-71043"/>
        <s v="Sales Id-71044"/>
        <s v="Sales Id-71045"/>
        <s v="Sales Id-71046"/>
        <s v="Sales Id-71047"/>
        <s v="Sales Id-71048"/>
        <s v="Sales Id-71049"/>
        <s v="Sales Id-71050"/>
        <s v="Sales Id-71051"/>
        <s v="Sales Id-71052"/>
        <s v="Sales Id-71053"/>
        <s v="Sales Id-71054"/>
        <s v="Sales Id-71055"/>
        <s v="Sales Id-71056"/>
        <s v="Sales Id-71057"/>
        <s v="Sales Id-71058"/>
        <s v="Sales Id-71059"/>
        <s v="Sales Id-71060"/>
        <s v="Sales Id-71061"/>
        <s v="Sales Id-71062"/>
        <s v="Sales Id-71063"/>
        <s v="Sales Id-71064"/>
        <s v="Sales Id-71065"/>
        <s v="Sales Id-71066"/>
        <s v="Sales Id-71067"/>
        <s v="Sales Id-71068"/>
        <s v="Sales Id-71069"/>
        <s v="Sales Id-71070"/>
        <s v="Sales Id-71071"/>
        <s v="Sales Id-71072"/>
        <s v="Sales Id-71073"/>
        <s v="Sales Id-71074"/>
        <s v="Sales Id-71075"/>
        <s v="Sales Id-71076"/>
        <s v="Sales Id-71077"/>
        <s v="Sales Id-71078"/>
        <s v="Sales Id-71079"/>
        <s v="Sales Id-71080"/>
        <s v="Sales Id-71081"/>
        <s v="Sales Id-71082"/>
        <s v="Sales Id-71083"/>
        <s v="Sales Id-71084"/>
        <s v="Sales Id-71085"/>
        <s v="Sales Id-71086"/>
        <s v="Sales Id-71087"/>
        <s v="Sales Id-71088"/>
        <s v="Sales Id-71089"/>
        <s v="Sales Id-71090"/>
        <s v="Sales Id-71091"/>
        <s v="Sales Id-71092"/>
        <s v="Sales Id-71093"/>
        <s v="Sales Id-71094"/>
        <s v="Sales Id-71095"/>
        <s v="Sales Id-71096"/>
        <s v="Sales Id-71097"/>
        <s v="Sales Id-71098"/>
        <s v="Sales Id-71099"/>
        <s v="Sales Id-71100"/>
        <s v="Sales Id-71101"/>
        <s v="Sales Id-71102"/>
        <s v="Sales Id-71103"/>
        <s v="Sales Id-71104"/>
        <s v="Sales Id-71105"/>
        <s v="Sales Id-71106"/>
        <s v="Sales Id-71107"/>
        <s v="Sales Id-71108"/>
        <s v="Sales Id-71109"/>
        <s v="Sales Id-71110"/>
        <s v="Sales Id-71111"/>
        <s v="Sales Id-71112"/>
        <s v="Sales Id-71113"/>
        <s v="Sales Id-71114"/>
        <s v="Sales Id-71115"/>
        <s v="Sales Id-71116"/>
        <s v="Sales Id-71117"/>
        <s v="Sales Id-71118"/>
        <s v="Sales Id-71119"/>
        <s v="Sales Id-71120"/>
        <s v="Sales Id-71121"/>
        <s v="Sales Id-71122"/>
        <s v="Sales Id-71123"/>
        <s v="Sales Id-71124"/>
        <s v="Sales Id-71125"/>
        <s v="Sales Id-71126"/>
        <s v="Sales Id-71127"/>
        <s v="Sales Id-71128"/>
        <s v="Sales Id-71129"/>
        <s v="Sales Id-71130"/>
        <s v="Sales Id-71131"/>
        <s v="Sales Id-71132"/>
        <s v="Sales Id-71133"/>
        <s v="Sales Id-71134"/>
        <s v="Sales Id-71135"/>
        <s v="Sales Id-71136"/>
        <s v="Sales Id-71137"/>
        <s v="Sales Id-71138"/>
        <s v="Sales Id-71139"/>
        <s v="Sales Id-71140"/>
        <s v="Sales Id-71141"/>
        <s v="Sales Id-71142"/>
        <s v="Sales Id-71143"/>
        <s v="Sales Id-71144"/>
        <s v="Sales Id-71145"/>
        <s v="Sales Id-71146"/>
        <s v="Sales Id-71147"/>
        <s v="Sales Id-71148"/>
        <s v="Sales Id-71149"/>
        <s v="Sales Id-71150"/>
        <s v="Sales Id-71151"/>
        <s v="Sales Id-71152"/>
        <s v="Sales Id-71153"/>
        <s v="Sales Id-71154"/>
        <s v="Sales Id-71155"/>
        <s v="Sales Id-71156"/>
        <s v="Sales Id-71157"/>
        <s v="Sales Id-71158"/>
        <s v="Sales Id-71159"/>
        <s v="Sales Id-71160"/>
        <s v="Sales Id-71161"/>
        <s v="Sales Id-71162"/>
        <s v="Sales Id-71163"/>
        <s v="Sales Id-71164"/>
        <s v="Sales Id-71165"/>
        <s v="Sales Id-71166"/>
        <s v="Sales Id-71167"/>
        <s v="Sales Id-71168"/>
        <s v="Sales Id-71169"/>
        <s v="Sales Id-71170"/>
        <s v="Sales Id-71171"/>
        <s v="Sales Id-71172"/>
        <s v="Sales Id-71173"/>
        <s v="Sales Id-71174"/>
        <s v="Sales Id-71175"/>
        <s v="Sales Id-71176"/>
        <s v="Sales Id-71177"/>
        <s v="Sales Id-71178"/>
        <s v="Sales Id-71179"/>
        <s v="Sales Id-71180"/>
        <s v="Sales Id-71181"/>
        <s v="Sales Id-71182"/>
        <s v="Sales Id-71183"/>
        <s v="Sales Id-71184"/>
        <s v="Sales Id-71185"/>
        <s v="Sales Id-71186"/>
        <s v="Sales Id-71187"/>
        <s v="Sales Id-71188"/>
        <s v="Sales Id-71189"/>
        <s v="Sales Id-71190"/>
        <s v="Sales Id-71191"/>
        <s v="Sales Id-71192"/>
        <s v="Sales Id-71193"/>
        <s v="Sales Id-71194"/>
        <s v="Sales Id-71195"/>
        <s v="Sales Id-71196"/>
        <s v="Sales Id-71197"/>
        <s v="Sales Id-71198"/>
        <s v="Sales Id-71199"/>
        <s v="Sales Id-71200"/>
        <s v="Sales Id-71201"/>
        <s v="Sales Id-71202"/>
        <s v="Sales Id-71203"/>
        <s v="Sales Id-71204"/>
        <s v="Sales Id-71205"/>
        <s v="Sales Id-71206"/>
        <s v="Sales Id-71207"/>
        <s v="Sales Id-71208"/>
        <s v="Sales Id-71209"/>
        <s v="Sales Id-71210"/>
        <s v="Sales Id-71211"/>
        <s v="Sales Id-71212"/>
        <s v="Sales Id-71213"/>
        <s v="Sales Id-71214"/>
        <s v="Sales Id-71215"/>
        <s v="Sales Id-71216"/>
        <s v="Sales Id-71217"/>
        <s v="Sales Id-71218"/>
        <s v="Sales Id-71219"/>
        <s v="Sales Id-71220"/>
        <s v="Sales Id-71221"/>
        <s v="Sales Id-71222"/>
        <s v="Sales Id-71223"/>
        <s v="Sales Id-71224"/>
        <s v="Sales Id-71225"/>
        <s v="Sales Id-71226"/>
        <s v="Sales Id-71227"/>
        <s v="Sales Id-71228"/>
        <s v="Sales Id-71229"/>
        <s v="Sales Id-71230"/>
        <s v="Sales Id-71231"/>
        <s v="Sales Id-71232"/>
        <s v="Sales Id-71233"/>
        <s v="Sales Id-71234"/>
        <s v="Sales Id-71235"/>
        <s v="Sales Id-71236"/>
        <s v="Sales Id-71237"/>
        <s v="Sales Id-71238"/>
        <s v="Sales Id-71239"/>
        <s v="Sales Id-71240"/>
        <s v="Sales Id-71241"/>
        <s v="Sales Id-71242"/>
        <s v="Sales Id-71243"/>
        <s v="Sales Id-71244"/>
        <s v="Sales Id-71245"/>
        <s v="Sales Id-71246"/>
        <s v="Sales Id-71247"/>
        <s v="Sales Id-71248"/>
        <s v="Sales Id-71249"/>
        <s v="Sales Id-71250"/>
        <s v="Sales Id-71251"/>
        <s v="Sales Id-71252"/>
        <s v="Sales Id-71253"/>
        <s v="Sales Id-71254"/>
        <s v="Sales Id-71255"/>
        <s v="Sales Id-71256"/>
        <s v="Sales Id-71257"/>
        <s v="Sales Id-71258"/>
        <s v="Sales Id-71259"/>
        <s v="Sales Id-71260"/>
        <s v="Sales Id-71261"/>
        <s v="Sales Id-71262"/>
        <s v="Sales Id-71263"/>
        <s v="Sales Id-71264"/>
        <s v="Sales Id-71265"/>
        <s v="Sales Id-71266"/>
        <s v="Sales Id-71267"/>
        <s v="Sales Id-71268"/>
        <s v="Sales Id-71269"/>
        <s v="Sales Id-71270"/>
        <s v="Sales Id-71271"/>
        <s v="Sales Id-71272"/>
        <s v="Sales Id-71273"/>
        <s v="Sales Id-71274"/>
        <s v="Sales Id-71275"/>
        <s v="Sales Id-71276"/>
        <s v="Sales Id-71277"/>
        <s v="Sales Id-71278"/>
        <s v="Sales Id-71279"/>
        <s v="Sales Id-71280"/>
        <s v="Sales Id-71281"/>
        <s v="Sales Id-71282"/>
        <s v="Sales Id-71283"/>
        <s v="Sales Id-71284"/>
        <s v="Sales Id-71285"/>
        <s v="Sales Id-71286"/>
        <s v="Sales Id-71287"/>
        <s v="Sales Id-71288"/>
        <s v="Sales Id-71289"/>
        <s v="Sales Id-71290"/>
        <s v="Sales Id-71291"/>
        <s v="Sales Id-71292"/>
        <s v="Sales Id-71293"/>
        <s v="Sales Id-71294"/>
        <s v="Sales Id-71295"/>
        <s v="Sales Id-71296"/>
        <s v="Sales Id-71297"/>
        <s v="Sales Id-71298"/>
        <s v="Sales Id-71299"/>
        <s v="Sales Id-71300"/>
      </sharedItems>
    </cacheField>
    <cacheField name="Date" numFmtId="180">
      <sharedItems containsSemiMixedTypes="0" containsString="0" containsNonDate="0" containsDate="1" minDate="2018-07-01T00:00:00" maxDate="2018-07-31T00:00:00" count="31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</sharedItems>
    </cacheField>
    <cacheField name="Item" numFmtId="0">
      <sharedItems count="5">
        <s v="Printer"/>
        <s v="White Board"/>
        <s v="Office Chair"/>
        <s v="Diary"/>
        <s v="Projector"/>
      </sharedItems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/>
    <cacheField name="Price" numFmtId="0"/>
    <cacheField name="Commission" numFmtId="0"/>
    <cacheField name="State" numFmtId="0">
      <sharedItems count="12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</sharedItems>
    </cacheField>
    <cacheField name="Total Sales" numFmtId="0"/>
    <cacheField name="Total Commission" numFmtId="0"/>
    <cacheField name="Net Sales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0">
  <r>
    <x v="0"/>
    <x v="0"/>
    <x v="0"/>
    <x v="0"/>
    <n v="6"/>
    <n v="80"/>
    <n v="0.01"/>
    <x v="0"/>
    <n v="480"/>
    <n v="4.8"/>
    <n v="475.2"/>
  </r>
  <r>
    <x v="1"/>
    <x v="0"/>
    <x v="1"/>
    <x v="1"/>
    <n v="20"/>
    <n v="10"/>
    <n v="0.05"/>
    <x v="1"/>
    <n v="200"/>
    <n v="10"/>
    <n v="190"/>
  </r>
  <r>
    <x v="2"/>
    <x v="0"/>
    <x v="2"/>
    <x v="1"/>
    <n v="22"/>
    <n v="230"/>
    <n v="0.11"/>
    <x v="2"/>
    <n v="5060"/>
    <n v="556.6"/>
    <n v="4503.4"/>
  </r>
  <r>
    <x v="3"/>
    <x v="0"/>
    <x v="2"/>
    <x v="0"/>
    <n v="8"/>
    <n v="230"/>
    <n v="0.03"/>
    <x v="3"/>
    <n v="1840"/>
    <n v="55.2"/>
    <n v="1784.8"/>
  </r>
  <r>
    <x v="4"/>
    <x v="0"/>
    <x v="2"/>
    <x v="2"/>
    <n v="12"/>
    <n v="230"/>
    <n v="0.03"/>
    <x v="4"/>
    <n v="2760"/>
    <n v="82.8"/>
    <n v="2677.2"/>
  </r>
  <r>
    <x v="5"/>
    <x v="0"/>
    <x v="0"/>
    <x v="3"/>
    <n v="19"/>
    <n v="80"/>
    <n v="0.02"/>
    <x v="5"/>
    <n v="1520"/>
    <n v="30.4"/>
    <n v="1489.6"/>
  </r>
  <r>
    <x v="6"/>
    <x v="0"/>
    <x v="3"/>
    <x v="4"/>
    <n v="17"/>
    <n v="16"/>
    <n v="0.08"/>
    <x v="6"/>
    <n v="272"/>
    <n v="21.76"/>
    <n v="250.24"/>
  </r>
  <r>
    <x v="7"/>
    <x v="0"/>
    <x v="4"/>
    <x v="3"/>
    <n v="7"/>
    <n v="150"/>
    <n v="0.05"/>
    <x v="7"/>
    <n v="1050"/>
    <n v="52.5"/>
    <n v="997.5"/>
  </r>
  <r>
    <x v="8"/>
    <x v="0"/>
    <x v="4"/>
    <x v="3"/>
    <n v="20"/>
    <n v="150"/>
    <n v="0.1"/>
    <x v="8"/>
    <n v="3000"/>
    <n v="300"/>
    <n v="2700"/>
  </r>
  <r>
    <x v="9"/>
    <x v="0"/>
    <x v="3"/>
    <x v="0"/>
    <n v="21"/>
    <n v="16"/>
    <n v="0.09"/>
    <x v="9"/>
    <n v="336"/>
    <n v="30.24"/>
    <n v="305.76"/>
  </r>
  <r>
    <x v="10"/>
    <x v="0"/>
    <x v="2"/>
    <x v="1"/>
    <n v="7"/>
    <n v="230"/>
    <n v="0.01"/>
    <x v="10"/>
    <n v="1610"/>
    <n v="16.1"/>
    <n v="1593.9"/>
  </r>
  <r>
    <x v="11"/>
    <x v="1"/>
    <x v="0"/>
    <x v="3"/>
    <n v="7"/>
    <n v="80"/>
    <n v="0.07"/>
    <x v="11"/>
    <n v="560"/>
    <n v="39.2"/>
    <n v="520.8"/>
  </r>
  <r>
    <x v="12"/>
    <x v="1"/>
    <x v="0"/>
    <x v="4"/>
    <n v="9"/>
    <n v="80"/>
    <n v="0.02"/>
    <x v="0"/>
    <n v="720"/>
    <n v="14.4"/>
    <n v="705.6"/>
  </r>
  <r>
    <x v="13"/>
    <x v="1"/>
    <x v="1"/>
    <x v="4"/>
    <n v="16"/>
    <n v="40"/>
    <n v="0.09"/>
    <x v="1"/>
    <n v="640"/>
    <n v="57.6"/>
    <n v="582.4"/>
  </r>
  <r>
    <x v="14"/>
    <x v="1"/>
    <x v="4"/>
    <x v="1"/>
    <n v="23"/>
    <n v="150"/>
    <n v="0.11"/>
    <x v="2"/>
    <n v="3450"/>
    <n v="379.5"/>
    <n v="3070.5"/>
  </r>
  <r>
    <x v="15"/>
    <x v="1"/>
    <x v="3"/>
    <x v="3"/>
    <n v="22"/>
    <n v="16"/>
    <n v="0.03"/>
    <x v="3"/>
    <n v="352"/>
    <n v="10.56"/>
    <n v="341.44"/>
  </r>
  <r>
    <x v="16"/>
    <x v="1"/>
    <x v="1"/>
    <x v="3"/>
    <n v="23"/>
    <n v="40"/>
    <n v="0.06"/>
    <x v="4"/>
    <n v="920"/>
    <n v="55.2"/>
    <n v="864.8"/>
  </r>
  <r>
    <x v="17"/>
    <x v="1"/>
    <x v="0"/>
    <x v="0"/>
    <n v="20"/>
    <n v="80"/>
    <n v="0.01"/>
    <x v="5"/>
    <n v="1600"/>
    <n v="16"/>
    <n v="1584"/>
  </r>
  <r>
    <x v="18"/>
    <x v="2"/>
    <x v="0"/>
    <x v="3"/>
    <n v="11"/>
    <n v="80"/>
    <n v="0.01"/>
    <x v="6"/>
    <n v="880"/>
    <n v="8.8"/>
    <n v="871.2"/>
  </r>
  <r>
    <x v="19"/>
    <x v="2"/>
    <x v="1"/>
    <x v="3"/>
    <n v="9"/>
    <n v="40"/>
    <n v="0.06"/>
    <x v="7"/>
    <n v="360"/>
    <n v="21.6"/>
    <n v="338.4"/>
  </r>
  <r>
    <x v="20"/>
    <x v="2"/>
    <x v="0"/>
    <x v="4"/>
    <n v="16"/>
    <n v="80"/>
    <n v="0.09"/>
    <x v="8"/>
    <n v="1280"/>
    <n v="115.2"/>
    <n v="1164.8"/>
  </r>
  <r>
    <x v="21"/>
    <x v="2"/>
    <x v="0"/>
    <x v="2"/>
    <n v="10"/>
    <n v="80"/>
    <n v="0.08"/>
    <x v="9"/>
    <n v="800"/>
    <n v="64"/>
    <n v="736"/>
  </r>
  <r>
    <x v="22"/>
    <x v="2"/>
    <x v="3"/>
    <x v="2"/>
    <n v="12"/>
    <n v="16"/>
    <n v="0.11"/>
    <x v="10"/>
    <n v="192"/>
    <n v="21.12"/>
    <n v="170.88"/>
  </r>
  <r>
    <x v="23"/>
    <x v="2"/>
    <x v="4"/>
    <x v="3"/>
    <n v="6"/>
    <n v="150"/>
    <n v="0.03"/>
    <x v="11"/>
    <n v="900"/>
    <n v="27"/>
    <n v="873"/>
  </r>
  <r>
    <x v="24"/>
    <x v="2"/>
    <x v="3"/>
    <x v="2"/>
    <n v="11"/>
    <n v="16"/>
    <n v="0.04"/>
    <x v="0"/>
    <n v="176"/>
    <n v="7.04"/>
    <n v="168.96"/>
  </r>
  <r>
    <x v="25"/>
    <x v="2"/>
    <x v="0"/>
    <x v="3"/>
    <n v="22"/>
    <n v="80"/>
    <n v="0.03"/>
    <x v="1"/>
    <n v="1760"/>
    <n v="52.8"/>
    <n v="1707.2"/>
  </r>
  <r>
    <x v="26"/>
    <x v="2"/>
    <x v="3"/>
    <x v="1"/>
    <n v="7"/>
    <n v="16"/>
    <n v="0.08"/>
    <x v="2"/>
    <n v="112"/>
    <n v="8.96"/>
    <n v="103.04"/>
  </r>
  <r>
    <x v="27"/>
    <x v="2"/>
    <x v="1"/>
    <x v="3"/>
    <n v="13"/>
    <n v="40"/>
    <n v="0.09"/>
    <x v="3"/>
    <n v="520"/>
    <n v="46.8"/>
    <n v="473.2"/>
  </r>
  <r>
    <x v="28"/>
    <x v="2"/>
    <x v="2"/>
    <x v="3"/>
    <n v="8"/>
    <n v="230"/>
    <n v="0.05"/>
    <x v="4"/>
    <n v="1840"/>
    <n v="92"/>
    <n v="1748"/>
  </r>
  <r>
    <x v="29"/>
    <x v="2"/>
    <x v="3"/>
    <x v="3"/>
    <n v="14"/>
    <n v="16"/>
    <n v="0.12"/>
    <x v="5"/>
    <n v="224"/>
    <n v="26.88"/>
    <n v="197.12"/>
  </r>
  <r>
    <x v="30"/>
    <x v="2"/>
    <x v="1"/>
    <x v="4"/>
    <n v="16"/>
    <n v="40"/>
    <n v="0.09"/>
    <x v="6"/>
    <n v="640"/>
    <n v="57.6"/>
    <n v="582.4"/>
  </r>
  <r>
    <x v="31"/>
    <x v="3"/>
    <x v="4"/>
    <x v="1"/>
    <n v="16"/>
    <n v="150"/>
    <n v="0.05"/>
    <x v="7"/>
    <n v="2400"/>
    <n v="120"/>
    <n v="2280"/>
  </r>
  <r>
    <x v="32"/>
    <x v="3"/>
    <x v="1"/>
    <x v="1"/>
    <n v="12"/>
    <n v="40"/>
    <n v="0.1"/>
    <x v="8"/>
    <n v="480"/>
    <n v="48"/>
    <n v="432"/>
  </r>
  <r>
    <x v="33"/>
    <x v="3"/>
    <x v="0"/>
    <x v="4"/>
    <n v="17"/>
    <n v="80"/>
    <n v="0.07"/>
    <x v="9"/>
    <n v="1360"/>
    <n v="95.2"/>
    <n v="1264.8"/>
  </r>
  <r>
    <x v="34"/>
    <x v="3"/>
    <x v="2"/>
    <x v="3"/>
    <n v="19"/>
    <n v="230"/>
    <n v="0.06"/>
    <x v="10"/>
    <n v="4370"/>
    <n v="262.2"/>
    <n v="4107.8"/>
  </r>
  <r>
    <x v="35"/>
    <x v="3"/>
    <x v="2"/>
    <x v="4"/>
    <n v="22"/>
    <n v="230"/>
    <n v="0.1"/>
    <x v="11"/>
    <n v="5060"/>
    <n v="506"/>
    <n v="4554"/>
  </r>
  <r>
    <x v="36"/>
    <x v="3"/>
    <x v="1"/>
    <x v="3"/>
    <n v="22"/>
    <n v="40"/>
    <n v="0.01"/>
    <x v="0"/>
    <n v="880"/>
    <n v="8.8"/>
    <n v="871.2"/>
  </r>
  <r>
    <x v="37"/>
    <x v="3"/>
    <x v="3"/>
    <x v="3"/>
    <n v="10"/>
    <n v="16"/>
    <n v="0.04"/>
    <x v="1"/>
    <n v="160"/>
    <n v="6.4"/>
    <n v="153.6"/>
  </r>
  <r>
    <x v="38"/>
    <x v="3"/>
    <x v="1"/>
    <x v="1"/>
    <n v="4"/>
    <n v="40"/>
    <n v="0.12"/>
    <x v="2"/>
    <n v="160"/>
    <n v="19.2"/>
    <n v="140.8"/>
  </r>
  <r>
    <x v="39"/>
    <x v="3"/>
    <x v="1"/>
    <x v="4"/>
    <n v="20"/>
    <n v="40"/>
    <n v="0.05"/>
    <x v="3"/>
    <n v="800"/>
    <n v="40"/>
    <n v="760"/>
  </r>
  <r>
    <x v="40"/>
    <x v="4"/>
    <x v="2"/>
    <x v="3"/>
    <n v="23"/>
    <n v="230"/>
    <n v="0.06"/>
    <x v="4"/>
    <n v="5290"/>
    <n v="317.4"/>
    <n v="4972.6"/>
  </r>
  <r>
    <x v="41"/>
    <x v="4"/>
    <x v="1"/>
    <x v="2"/>
    <n v="20"/>
    <n v="40"/>
    <n v="0.01"/>
    <x v="5"/>
    <n v="800"/>
    <n v="8"/>
    <n v="792"/>
  </r>
  <r>
    <x v="42"/>
    <x v="4"/>
    <x v="4"/>
    <x v="2"/>
    <n v="20"/>
    <n v="150"/>
    <n v="0.04"/>
    <x v="6"/>
    <n v="3000"/>
    <n v="120"/>
    <n v="2880"/>
  </r>
  <r>
    <x v="43"/>
    <x v="4"/>
    <x v="0"/>
    <x v="1"/>
    <n v="9"/>
    <n v="80"/>
    <n v="0.03"/>
    <x v="7"/>
    <n v="720"/>
    <n v="21.6"/>
    <n v="698.4"/>
  </r>
  <r>
    <x v="44"/>
    <x v="4"/>
    <x v="2"/>
    <x v="0"/>
    <n v="7"/>
    <n v="230"/>
    <n v="0.02"/>
    <x v="8"/>
    <n v="1610"/>
    <n v="32.2"/>
    <n v="1577.8"/>
  </r>
  <r>
    <x v="45"/>
    <x v="4"/>
    <x v="2"/>
    <x v="0"/>
    <n v="3"/>
    <n v="230"/>
    <n v="0.06"/>
    <x v="9"/>
    <n v="690"/>
    <n v="41.4"/>
    <n v="648.6"/>
  </r>
  <r>
    <x v="46"/>
    <x v="4"/>
    <x v="4"/>
    <x v="0"/>
    <n v="13"/>
    <n v="150"/>
    <n v="0.05"/>
    <x v="10"/>
    <n v="1950"/>
    <n v="97.5"/>
    <n v="1852.5"/>
  </r>
  <r>
    <x v="47"/>
    <x v="4"/>
    <x v="0"/>
    <x v="0"/>
    <n v="17"/>
    <n v="80"/>
    <n v="0.09"/>
    <x v="11"/>
    <n v="1360"/>
    <n v="122.4"/>
    <n v="1237.6"/>
  </r>
  <r>
    <x v="48"/>
    <x v="5"/>
    <x v="1"/>
    <x v="3"/>
    <n v="18"/>
    <n v="40"/>
    <n v="0.06"/>
    <x v="0"/>
    <n v="720"/>
    <n v="43.2"/>
    <n v="676.8"/>
  </r>
  <r>
    <x v="49"/>
    <x v="5"/>
    <x v="3"/>
    <x v="2"/>
    <n v="23"/>
    <n v="16"/>
    <n v="0.11"/>
    <x v="1"/>
    <n v="368"/>
    <n v="40.48"/>
    <n v="327.52"/>
  </r>
  <r>
    <x v="50"/>
    <x v="5"/>
    <x v="2"/>
    <x v="2"/>
    <n v="20"/>
    <n v="230"/>
    <n v="0.06"/>
    <x v="2"/>
    <n v="4600"/>
    <n v="276"/>
    <n v="4324"/>
  </r>
  <r>
    <x v="51"/>
    <x v="5"/>
    <x v="3"/>
    <x v="0"/>
    <n v="11"/>
    <n v="16"/>
    <n v="0.09"/>
    <x v="3"/>
    <n v="176"/>
    <n v="15.84"/>
    <n v="160.16"/>
  </r>
  <r>
    <x v="52"/>
    <x v="5"/>
    <x v="4"/>
    <x v="4"/>
    <n v="15"/>
    <n v="150"/>
    <n v="0.07"/>
    <x v="4"/>
    <n v="2250"/>
    <n v="157.5"/>
    <n v="2092.5"/>
  </r>
  <r>
    <x v="53"/>
    <x v="5"/>
    <x v="2"/>
    <x v="1"/>
    <n v="6"/>
    <n v="230"/>
    <n v="0.1"/>
    <x v="5"/>
    <n v="1380"/>
    <n v="138"/>
    <n v="1242"/>
  </r>
  <r>
    <x v="54"/>
    <x v="5"/>
    <x v="1"/>
    <x v="0"/>
    <n v="22"/>
    <n v="40"/>
    <n v="0.02"/>
    <x v="6"/>
    <n v="880"/>
    <n v="17.6"/>
    <n v="862.4"/>
  </r>
  <r>
    <x v="55"/>
    <x v="5"/>
    <x v="1"/>
    <x v="0"/>
    <n v="15"/>
    <n v="40"/>
    <n v="0.06"/>
    <x v="7"/>
    <n v="600"/>
    <n v="36"/>
    <n v="564"/>
  </r>
  <r>
    <x v="56"/>
    <x v="5"/>
    <x v="3"/>
    <x v="2"/>
    <n v="12"/>
    <n v="16"/>
    <n v="0.03"/>
    <x v="8"/>
    <n v="192"/>
    <n v="5.76"/>
    <n v="186.24"/>
  </r>
  <r>
    <x v="57"/>
    <x v="5"/>
    <x v="3"/>
    <x v="4"/>
    <n v="22"/>
    <n v="16"/>
    <n v="0.12"/>
    <x v="9"/>
    <n v="352"/>
    <n v="42.24"/>
    <n v="309.76"/>
  </r>
  <r>
    <x v="58"/>
    <x v="5"/>
    <x v="0"/>
    <x v="0"/>
    <n v="21"/>
    <n v="80"/>
    <n v="0.04"/>
    <x v="10"/>
    <n v="1680"/>
    <n v="67.2"/>
    <n v="1612.8"/>
  </r>
  <r>
    <x v="59"/>
    <x v="5"/>
    <x v="4"/>
    <x v="0"/>
    <n v="22"/>
    <n v="150"/>
    <n v="0.05"/>
    <x v="11"/>
    <n v="3300"/>
    <n v="165"/>
    <n v="3135"/>
  </r>
  <r>
    <x v="60"/>
    <x v="5"/>
    <x v="0"/>
    <x v="4"/>
    <n v="21"/>
    <n v="80"/>
    <n v="0.09"/>
    <x v="0"/>
    <n v="1680"/>
    <n v="151.2"/>
    <n v="1528.8"/>
  </r>
  <r>
    <x v="61"/>
    <x v="5"/>
    <x v="0"/>
    <x v="3"/>
    <n v="10"/>
    <n v="80"/>
    <n v="0.1"/>
    <x v="1"/>
    <n v="800"/>
    <n v="80"/>
    <n v="720"/>
  </r>
  <r>
    <x v="62"/>
    <x v="5"/>
    <x v="2"/>
    <x v="1"/>
    <n v="15"/>
    <n v="230"/>
    <n v="0.09"/>
    <x v="2"/>
    <n v="3450"/>
    <n v="310.5"/>
    <n v="3139.5"/>
  </r>
  <r>
    <x v="63"/>
    <x v="6"/>
    <x v="0"/>
    <x v="0"/>
    <n v="14"/>
    <n v="80"/>
    <n v="0.08"/>
    <x v="3"/>
    <n v="1120"/>
    <n v="89.6"/>
    <n v="1030.4"/>
  </r>
  <r>
    <x v="64"/>
    <x v="6"/>
    <x v="0"/>
    <x v="4"/>
    <n v="10"/>
    <n v="80"/>
    <n v="0.06"/>
    <x v="4"/>
    <n v="800"/>
    <n v="48"/>
    <n v="752"/>
  </r>
  <r>
    <x v="65"/>
    <x v="6"/>
    <x v="4"/>
    <x v="0"/>
    <n v="5"/>
    <n v="150"/>
    <n v="0.11"/>
    <x v="5"/>
    <n v="750"/>
    <n v="82.5"/>
    <n v="667.5"/>
  </r>
  <r>
    <x v="66"/>
    <x v="6"/>
    <x v="2"/>
    <x v="3"/>
    <n v="3"/>
    <n v="230"/>
    <n v="0.01"/>
    <x v="6"/>
    <n v="690"/>
    <n v="6.9"/>
    <n v="683.1"/>
  </r>
  <r>
    <x v="67"/>
    <x v="6"/>
    <x v="1"/>
    <x v="3"/>
    <n v="4"/>
    <n v="40"/>
    <n v="0.05"/>
    <x v="7"/>
    <n v="160"/>
    <n v="8"/>
    <n v="152"/>
  </r>
  <r>
    <x v="68"/>
    <x v="6"/>
    <x v="4"/>
    <x v="2"/>
    <n v="18"/>
    <n v="150"/>
    <n v="0.06"/>
    <x v="8"/>
    <n v="2700"/>
    <n v="162"/>
    <n v="2538"/>
  </r>
  <r>
    <x v="69"/>
    <x v="6"/>
    <x v="1"/>
    <x v="4"/>
    <n v="20"/>
    <n v="40"/>
    <n v="0.1"/>
    <x v="9"/>
    <n v="800"/>
    <n v="80"/>
    <n v="720"/>
  </r>
  <r>
    <x v="70"/>
    <x v="6"/>
    <x v="0"/>
    <x v="3"/>
    <n v="16"/>
    <n v="80"/>
    <n v="0.05"/>
    <x v="0"/>
    <n v="1280"/>
    <n v="64"/>
    <n v="1216"/>
  </r>
  <r>
    <x v="71"/>
    <x v="6"/>
    <x v="1"/>
    <x v="2"/>
    <n v="4"/>
    <n v="40"/>
    <n v="0.06"/>
    <x v="1"/>
    <n v="160"/>
    <n v="9.6"/>
    <n v="150.4"/>
  </r>
  <r>
    <x v="72"/>
    <x v="6"/>
    <x v="1"/>
    <x v="1"/>
    <n v="4"/>
    <n v="40"/>
    <n v="0.03"/>
    <x v="2"/>
    <n v="160"/>
    <n v="4.8"/>
    <n v="155.2"/>
  </r>
  <r>
    <x v="73"/>
    <x v="6"/>
    <x v="1"/>
    <x v="1"/>
    <n v="15"/>
    <n v="40"/>
    <n v="0.02"/>
    <x v="3"/>
    <n v="600"/>
    <n v="12"/>
    <n v="588"/>
  </r>
  <r>
    <x v="74"/>
    <x v="6"/>
    <x v="1"/>
    <x v="2"/>
    <n v="20"/>
    <n v="40"/>
    <n v="0.01"/>
    <x v="4"/>
    <n v="800"/>
    <n v="8"/>
    <n v="792"/>
  </r>
  <r>
    <x v="75"/>
    <x v="6"/>
    <x v="3"/>
    <x v="4"/>
    <n v="14"/>
    <n v="16"/>
    <n v="0.06"/>
    <x v="5"/>
    <n v="224"/>
    <n v="13.44"/>
    <n v="210.56"/>
  </r>
  <r>
    <x v="76"/>
    <x v="7"/>
    <x v="4"/>
    <x v="2"/>
    <n v="11"/>
    <n v="150"/>
    <n v="0.11"/>
    <x v="6"/>
    <n v="1650"/>
    <n v="181.5"/>
    <n v="1468.5"/>
  </r>
  <r>
    <x v="77"/>
    <x v="7"/>
    <x v="4"/>
    <x v="2"/>
    <n v="9"/>
    <n v="150"/>
    <n v="0.02"/>
    <x v="7"/>
    <n v="1350"/>
    <n v="27"/>
    <n v="1323"/>
  </r>
  <r>
    <x v="78"/>
    <x v="7"/>
    <x v="3"/>
    <x v="4"/>
    <n v="11"/>
    <n v="16"/>
    <n v="0.12"/>
    <x v="8"/>
    <n v="176"/>
    <n v="21.12"/>
    <n v="154.88"/>
  </r>
  <r>
    <x v="79"/>
    <x v="7"/>
    <x v="1"/>
    <x v="2"/>
    <n v="13"/>
    <n v="40"/>
    <n v="0.02"/>
    <x v="9"/>
    <n v="520"/>
    <n v="10.4"/>
    <n v="509.6"/>
  </r>
  <r>
    <x v="80"/>
    <x v="7"/>
    <x v="1"/>
    <x v="2"/>
    <n v="4"/>
    <n v="40"/>
    <n v="0.1"/>
    <x v="10"/>
    <n v="160"/>
    <n v="16"/>
    <n v="144"/>
  </r>
  <r>
    <x v="81"/>
    <x v="7"/>
    <x v="2"/>
    <x v="0"/>
    <n v="3"/>
    <n v="230"/>
    <n v="0.11"/>
    <x v="11"/>
    <n v="690"/>
    <n v="75.9"/>
    <n v="614.1"/>
  </r>
  <r>
    <x v="82"/>
    <x v="7"/>
    <x v="0"/>
    <x v="2"/>
    <n v="6"/>
    <n v="80"/>
    <n v="0.09"/>
    <x v="0"/>
    <n v="480"/>
    <n v="43.2"/>
    <n v="436.8"/>
  </r>
  <r>
    <x v="83"/>
    <x v="7"/>
    <x v="4"/>
    <x v="0"/>
    <n v="9"/>
    <n v="150"/>
    <n v="0.1"/>
    <x v="1"/>
    <n v="1350"/>
    <n v="135"/>
    <n v="1215"/>
  </r>
  <r>
    <x v="84"/>
    <x v="7"/>
    <x v="0"/>
    <x v="1"/>
    <n v="14"/>
    <n v="80"/>
    <n v="0.11"/>
    <x v="2"/>
    <n v="1120"/>
    <n v="123.2"/>
    <n v="996.8"/>
  </r>
  <r>
    <x v="85"/>
    <x v="7"/>
    <x v="0"/>
    <x v="0"/>
    <n v="18"/>
    <n v="80"/>
    <n v="0.02"/>
    <x v="3"/>
    <n v="1440"/>
    <n v="28.8"/>
    <n v="1411.2"/>
  </r>
  <r>
    <x v="86"/>
    <x v="7"/>
    <x v="1"/>
    <x v="0"/>
    <n v="20"/>
    <n v="40"/>
    <n v="0.04"/>
    <x v="4"/>
    <n v="800"/>
    <n v="32"/>
    <n v="768"/>
  </r>
  <r>
    <x v="87"/>
    <x v="8"/>
    <x v="3"/>
    <x v="2"/>
    <n v="8"/>
    <n v="16"/>
    <n v="0.03"/>
    <x v="5"/>
    <n v="128"/>
    <n v="3.84"/>
    <n v="124.16"/>
  </r>
  <r>
    <x v="88"/>
    <x v="8"/>
    <x v="0"/>
    <x v="1"/>
    <n v="14"/>
    <n v="80"/>
    <n v="0.06"/>
    <x v="6"/>
    <n v="1120"/>
    <n v="67.2"/>
    <n v="1052.8"/>
  </r>
  <r>
    <x v="89"/>
    <x v="8"/>
    <x v="4"/>
    <x v="0"/>
    <n v="20"/>
    <n v="150"/>
    <n v="0.01"/>
    <x v="7"/>
    <n v="3000"/>
    <n v="30"/>
    <n v="2970"/>
  </r>
  <r>
    <x v="90"/>
    <x v="8"/>
    <x v="1"/>
    <x v="3"/>
    <n v="15"/>
    <n v="40"/>
    <n v="0.03"/>
    <x v="8"/>
    <n v="600"/>
    <n v="18"/>
    <n v="582"/>
  </r>
  <r>
    <x v="91"/>
    <x v="8"/>
    <x v="1"/>
    <x v="1"/>
    <n v="18"/>
    <n v="40"/>
    <n v="0.08"/>
    <x v="9"/>
    <n v="720"/>
    <n v="57.6"/>
    <n v="662.4"/>
  </r>
  <r>
    <x v="92"/>
    <x v="8"/>
    <x v="1"/>
    <x v="4"/>
    <n v="11"/>
    <n v="40"/>
    <n v="0.05"/>
    <x v="10"/>
    <n v="440"/>
    <n v="22"/>
    <n v="418"/>
  </r>
  <r>
    <x v="93"/>
    <x v="9"/>
    <x v="1"/>
    <x v="4"/>
    <n v="23"/>
    <n v="40"/>
    <n v="0.04"/>
    <x v="11"/>
    <n v="920"/>
    <n v="36.8"/>
    <n v="883.2"/>
  </r>
  <r>
    <x v="94"/>
    <x v="9"/>
    <x v="3"/>
    <x v="4"/>
    <n v="17"/>
    <n v="16"/>
    <n v="0.1"/>
    <x v="0"/>
    <n v="272"/>
    <n v="27.2"/>
    <n v="244.8"/>
  </r>
  <r>
    <x v="95"/>
    <x v="9"/>
    <x v="3"/>
    <x v="1"/>
    <n v="4"/>
    <n v="16"/>
    <n v="0.07"/>
    <x v="1"/>
    <n v="64"/>
    <n v="4.48"/>
    <n v="59.52"/>
  </r>
  <r>
    <x v="96"/>
    <x v="9"/>
    <x v="0"/>
    <x v="2"/>
    <n v="23"/>
    <n v="80"/>
    <n v="0.05"/>
    <x v="2"/>
    <n v="1840"/>
    <n v="92"/>
    <n v="1748"/>
  </r>
  <r>
    <x v="97"/>
    <x v="9"/>
    <x v="2"/>
    <x v="2"/>
    <n v="10"/>
    <n v="230"/>
    <n v="0.02"/>
    <x v="3"/>
    <n v="2300"/>
    <n v="46"/>
    <n v="2254"/>
  </r>
  <r>
    <x v="98"/>
    <x v="9"/>
    <x v="3"/>
    <x v="2"/>
    <n v="14"/>
    <n v="16"/>
    <n v="0.01"/>
    <x v="4"/>
    <n v="224"/>
    <n v="2.24"/>
    <n v="221.76"/>
  </r>
  <r>
    <x v="99"/>
    <x v="9"/>
    <x v="1"/>
    <x v="1"/>
    <n v="19"/>
    <n v="40"/>
    <n v="0.1"/>
    <x v="5"/>
    <n v="760"/>
    <n v="76"/>
    <n v="684"/>
  </r>
  <r>
    <x v="100"/>
    <x v="9"/>
    <x v="0"/>
    <x v="4"/>
    <n v="22"/>
    <n v="80"/>
    <n v="0.09"/>
    <x v="6"/>
    <n v="1760"/>
    <n v="158.4"/>
    <n v="1601.6"/>
  </r>
  <r>
    <x v="101"/>
    <x v="9"/>
    <x v="3"/>
    <x v="0"/>
    <n v="18"/>
    <n v="16"/>
    <n v="0.05"/>
    <x v="7"/>
    <n v="288"/>
    <n v="14.4"/>
    <n v="273.6"/>
  </r>
  <r>
    <x v="102"/>
    <x v="9"/>
    <x v="1"/>
    <x v="0"/>
    <n v="18"/>
    <n v="40"/>
    <n v="0.11"/>
    <x v="8"/>
    <n v="720"/>
    <n v="79.2"/>
    <n v="640.8"/>
  </r>
  <r>
    <x v="103"/>
    <x v="9"/>
    <x v="1"/>
    <x v="4"/>
    <n v="21"/>
    <n v="40"/>
    <n v="0.01"/>
    <x v="9"/>
    <n v="840"/>
    <n v="8.4"/>
    <n v="831.6"/>
  </r>
  <r>
    <x v="104"/>
    <x v="9"/>
    <x v="0"/>
    <x v="0"/>
    <n v="6"/>
    <n v="80"/>
    <n v="0.07"/>
    <x v="10"/>
    <n v="480"/>
    <n v="33.6"/>
    <n v="446.4"/>
  </r>
  <r>
    <x v="105"/>
    <x v="9"/>
    <x v="4"/>
    <x v="4"/>
    <n v="17"/>
    <n v="150"/>
    <n v="0.02"/>
    <x v="11"/>
    <n v="2550"/>
    <n v="51"/>
    <n v="2499"/>
  </r>
  <r>
    <x v="106"/>
    <x v="9"/>
    <x v="0"/>
    <x v="2"/>
    <n v="16"/>
    <n v="80"/>
    <n v="0.02"/>
    <x v="0"/>
    <n v="1280"/>
    <n v="25.6"/>
    <n v="1254.4"/>
  </r>
  <r>
    <x v="107"/>
    <x v="9"/>
    <x v="1"/>
    <x v="1"/>
    <n v="15"/>
    <n v="40"/>
    <n v="0.04"/>
    <x v="1"/>
    <n v="600"/>
    <n v="24"/>
    <n v="576"/>
  </r>
  <r>
    <x v="108"/>
    <x v="9"/>
    <x v="2"/>
    <x v="3"/>
    <n v="2"/>
    <n v="230"/>
    <n v="0.08"/>
    <x v="2"/>
    <n v="460"/>
    <n v="36.8"/>
    <n v="423.2"/>
  </r>
  <r>
    <x v="109"/>
    <x v="9"/>
    <x v="1"/>
    <x v="4"/>
    <n v="3"/>
    <n v="40"/>
    <n v="0.03"/>
    <x v="3"/>
    <n v="120"/>
    <n v="3.6"/>
    <n v="116.4"/>
  </r>
  <r>
    <x v="110"/>
    <x v="9"/>
    <x v="2"/>
    <x v="4"/>
    <n v="21"/>
    <n v="230"/>
    <n v="0.05"/>
    <x v="4"/>
    <n v="4830"/>
    <n v="241.5"/>
    <n v="4588.5"/>
  </r>
  <r>
    <x v="111"/>
    <x v="9"/>
    <x v="4"/>
    <x v="0"/>
    <n v="11"/>
    <n v="150"/>
    <n v="0.05"/>
    <x v="5"/>
    <n v="1650"/>
    <n v="82.5"/>
    <n v="1567.5"/>
  </r>
  <r>
    <x v="112"/>
    <x v="10"/>
    <x v="4"/>
    <x v="1"/>
    <n v="15"/>
    <n v="150"/>
    <n v="0.02"/>
    <x v="6"/>
    <n v="2250"/>
    <n v="45"/>
    <n v="2205"/>
  </r>
  <r>
    <x v="113"/>
    <x v="10"/>
    <x v="0"/>
    <x v="3"/>
    <n v="16"/>
    <n v="80"/>
    <n v="0.1"/>
    <x v="7"/>
    <n v="1280"/>
    <n v="128"/>
    <n v="1152"/>
  </r>
  <r>
    <x v="114"/>
    <x v="10"/>
    <x v="2"/>
    <x v="4"/>
    <n v="17"/>
    <n v="230"/>
    <n v="0.11"/>
    <x v="8"/>
    <n v="3910"/>
    <n v="430.1"/>
    <n v="3479.9"/>
  </r>
  <r>
    <x v="115"/>
    <x v="10"/>
    <x v="1"/>
    <x v="4"/>
    <n v="16"/>
    <n v="40"/>
    <n v="0.11"/>
    <x v="9"/>
    <n v="640"/>
    <n v="70.4"/>
    <n v="569.6"/>
  </r>
  <r>
    <x v="116"/>
    <x v="10"/>
    <x v="0"/>
    <x v="3"/>
    <n v="2"/>
    <n v="80"/>
    <n v="0.08"/>
    <x v="10"/>
    <n v="160"/>
    <n v="12.8"/>
    <n v="147.2"/>
  </r>
  <r>
    <x v="117"/>
    <x v="10"/>
    <x v="4"/>
    <x v="1"/>
    <n v="22"/>
    <n v="150"/>
    <n v="0.02"/>
    <x v="11"/>
    <n v="3300"/>
    <n v="66"/>
    <n v="3234"/>
  </r>
  <r>
    <x v="118"/>
    <x v="10"/>
    <x v="0"/>
    <x v="0"/>
    <n v="16"/>
    <n v="80"/>
    <n v="0.03"/>
    <x v="0"/>
    <n v="1280"/>
    <n v="38.4"/>
    <n v="1241.6"/>
  </r>
  <r>
    <x v="119"/>
    <x v="11"/>
    <x v="3"/>
    <x v="0"/>
    <n v="20"/>
    <n v="16"/>
    <n v="0.11"/>
    <x v="1"/>
    <n v="320"/>
    <n v="35.2"/>
    <n v="284.8"/>
  </r>
  <r>
    <x v="120"/>
    <x v="11"/>
    <x v="0"/>
    <x v="4"/>
    <n v="9"/>
    <n v="80"/>
    <n v="0.07"/>
    <x v="2"/>
    <n v="720"/>
    <n v="50.4"/>
    <n v="669.6"/>
  </r>
  <r>
    <x v="121"/>
    <x v="11"/>
    <x v="2"/>
    <x v="4"/>
    <n v="5"/>
    <n v="230"/>
    <n v="0.12"/>
    <x v="3"/>
    <n v="1150"/>
    <n v="138"/>
    <n v="1012"/>
  </r>
  <r>
    <x v="122"/>
    <x v="11"/>
    <x v="3"/>
    <x v="0"/>
    <n v="20"/>
    <n v="16"/>
    <n v="0.01"/>
    <x v="4"/>
    <n v="320"/>
    <n v="3.2"/>
    <n v="316.8"/>
  </r>
  <r>
    <x v="123"/>
    <x v="11"/>
    <x v="3"/>
    <x v="0"/>
    <n v="16"/>
    <n v="16"/>
    <n v="0.03"/>
    <x v="5"/>
    <n v="256"/>
    <n v="7.68"/>
    <n v="248.32"/>
  </r>
  <r>
    <x v="124"/>
    <x v="11"/>
    <x v="4"/>
    <x v="3"/>
    <n v="15"/>
    <n v="150"/>
    <n v="0.05"/>
    <x v="6"/>
    <n v="2250"/>
    <n v="112.5"/>
    <n v="2137.5"/>
  </r>
  <r>
    <x v="125"/>
    <x v="11"/>
    <x v="2"/>
    <x v="1"/>
    <n v="19"/>
    <n v="230"/>
    <n v="0.11"/>
    <x v="7"/>
    <n v="4370"/>
    <n v="480.7"/>
    <n v="3889.3"/>
  </r>
  <r>
    <x v="126"/>
    <x v="12"/>
    <x v="4"/>
    <x v="2"/>
    <n v="2"/>
    <n v="150"/>
    <n v="0.02"/>
    <x v="8"/>
    <n v="300"/>
    <n v="6"/>
    <n v="294"/>
  </r>
  <r>
    <x v="127"/>
    <x v="12"/>
    <x v="0"/>
    <x v="4"/>
    <n v="16"/>
    <n v="80"/>
    <n v="0.05"/>
    <x v="9"/>
    <n v="1280"/>
    <n v="64"/>
    <n v="1216"/>
  </r>
  <r>
    <x v="128"/>
    <x v="12"/>
    <x v="1"/>
    <x v="2"/>
    <n v="2"/>
    <n v="40"/>
    <n v="0.03"/>
    <x v="10"/>
    <n v="80"/>
    <n v="2.4"/>
    <n v="77.6"/>
  </r>
  <r>
    <x v="129"/>
    <x v="12"/>
    <x v="0"/>
    <x v="1"/>
    <n v="5"/>
    <n v="80"/>
    <n v="0.04"/>
    <x v="11"/>
    <n v="400"/>
    <n v="16"/>
    <n v="384"/>
  </r>
  <r>
    <x v="130"/>
    <x v="12"/>
    <x v="2"/>
    <x v="3"/>
    <n v="17"/>
    <n v="230"/>
    <n v="0.12"/>
    <x v="0"/>
    <n v="3910"/>
    <n v="469.2"/>
    <n v="3440.8"/>
  </r>
  <r>
    <x v="131"/>
    <x v="12"/>
    <x v="0"/>
    <x v="0"/>
    <n v="8"/>
    <n v="80"/>
    <n v="0.08"/>
    <x v="1"/>
    <n v="640"/>
    <n v="51.2"/>
    <n v="588.8"/>
  </r>
  <r>
    <x v="132"/>
    <x v="12"/>
    <x v="1"/>
    <x v="1"/>
    <n v="4"/>
    <n v="40"/>
    <n v="0.06"/>
    <x v="2"/>
    <n v="160"/>
    <n v="9.6"/>
    <n v="150.4"/>
  </r>
  <r>
    <x v="133"/>
    <x v="12"/>
    <x v="3"/>
    <x v="2"/>
    <n v="17"/>
    <n v="16"/>
    <n v="0.05"/>
    <x v="3"/>
    <n v="272"/>
    <n v="13.6"/>
    <n v="258.4"/>
  </r>
  <r>
    <x v="134"/>
    <x v="12"/>
    <x v="2"/>
    <x v="3"/>
    <n v="8"/>
    <n v="230"/>
    <n v="0.01"/>
    <x v="4"/>
    <n v="1840"/>
    <n v="18.4"/>
    <n v="1821.6"/>
  </r>
  <r>
    <x v="135"/>
    <x v="12"/>
    <x v="3"/>
    <x v="4"/>
    <n v="19"/>
    <n v="16"/>
    <n v="0.02"/>
    <x v="5"/>
    <n v="304"/>
    <n v="6.08"/>
    <n v="297.92"/>
  </r>
  <r>
    <x v="136"/>
    <x v="13"/>
    <x v="1"/>
    <x v="0"/>
    <n v="18"/>
    <n v="40"/>
    <n v="0.06"/>
    <x v="6"/>
    <n v="720"/>
    <n v="43.2"/>
    <n v="676.8"/>
  </r>
  <r>
    <x v="137"/>
    <x v="13"/>
    <x v="4"/>
    <x v="4"/>
    <n v="23"/>
    <n v="150"/>
    <n v="0.08"/>
    <x v="7"/>
    <n v="3450"/>
    <n v="276"/>
    <n v="3174"/>
  </r>
  <r>
    <x v="138"/>
    <x v="13"/>
    <x v="2"/>
    <x v="0"/>
    <n v="5"/>
    <n v="230"/>
    <n v="0.1"/>
    <x v="8"/>
    <n v="1150"/>
    <n v="115"/>
    <n v="1035"/>
  </r>
  <r>
    <x v="139"/>
    <x v="13"/>
    <x v="0"/>
    <x v="3"/>
    <n v="21"/>
    <n v="80"/>
    <n v="0.02"/>
    <x v="9"/>
    <n v="1680"/>
    <n v="33.6"/>
    <n v="1646.4"/>
  </r>
  <r>
    <x v="140"/>
    <x v="13"/>
    <x v="3"/>
    <x v="2"/>
    <n v="6"/>
    <n v="16"/>
    <n v="0.07"/>
    <x v="0"/>
    <n v="96"/>
    <n v="6.72"/>
    <n v="89.28"/>
  </r>
  <r>
    <x v="141"/>
    <x v="13"/>
    <x v="1"/>
    <x v="0"/>
    <n v="9"/>
    <n v="40"/>
    <n v="0.01"/>
    <x v="1"/>
    <n v="360"/>
    <n v="3.6"/>
    <n v="356.4"/>
  </r>
  <r>
    <x v="142"/>
    <x v="13"/>
    <x v="2"/>
    <x v="1"/>
    <n v="9"/>
    <n v="230"/>
    <n v="0.03"/>
    <x v="2"/>
    <n v="2070"/>
    <n v="62.1"/>
    <n v="2007.9"/>
  </r>
  <r>
    <x v="143"/>
    <x v="13"/>
    <x v="2"/>
    <x v="2"/>
    <n v="5"/>
    <n v="230"/>
    <n v="0.1"/>
    <x v="3"/>
    <n v="1150"/>
    <n v="115"/>
    <n v="1035"/>
  </r>
  <r>
    <x v="144"/>
    <x v="13"/>
    <x v="1"/>
    <x v="3"/>
    <n v="7"/>
    <n v="40"/>
    <n v="0.11"/>
    <x v="4"/>
    <n v="280"/>
    <n v="30.8"/>
    <n v="249.2"/>
  </r>
  <r>
    <x v="145"/>
    <x v="13"/>
    <x v="2"/>
    <x v="0"/>
    <n v="20"/>
    <n v="230"/>
    <n v="0.04"/>
    <x v="5"/>
    <n v="4600"/>
    <n v="184"/>
    <n v="4416"/>
  </r>
  <r>
    <x v="146"/>
    <x v="13"/>
    <x v="4"/>
    <x v="0"/>
    <n v="22"/>
    <n v="150"/>
    <n v="0.07"/>
    <x v="6"/>
    <n v="3300"/>
    <n v="231"/>
    <n v="3069"/>
  </r>
  <r>
    <x v="147"/>
    <x v="14"/>
    <x v="2"/>
    <x v="2"/>
    <n v="6"/>
    <n v="230"/>
    <n v="0.05"/>
    <x v="7"/>
    <n v="1380"/>
    <n v="69"/>
    <n v="1311"/>
  </r>
  <r>
    <x v="148"/>
    <x v="14"/>
    <x v="2"/>
    <x v="2"/>
    <n v="15"/>
    <n v="230"/>
    <n v="0.11"/>
    <x v="8"/>
    <n v="3450"/>
    <n v="379.5"/>
    <n v="3070.5"/>
  </r>
  <r>
    <x v="149"/>
    <x v="14"/>
    <x v="1"/>
    <x v="1"/>
    <n v="8"/>
    <n v="40"/>
    <n v="0.09"/>
    <x v="9"/>
    <n v="320"/>
    <n v="28.8"/>
    <n v="291.2"/>
  </r>
  <r>
    <x v="150"/>
    <x v="14"/>
    <x v="1"/>
    <x v="0"/>
    <n v="5"/>
    <n v="40"/>
    <n v="0.06"/>
    <x v="10"/>
    <n v="200"/>
    <n v="12"/>
    <n v="188"/>
  </r>
  <r>
    <x v="151"/>
    <x v="14"/>
    <x v="0"/>
    <x v="4"/>
    <n v="6"/>
    <n v="80"/>
    <n v="0.09"/>
    <x v="11"/>
    <n v="480"/>
    <n v="43.2"/>
    <n v="436.8"/>
  </r>
  <r>
    <x v="152"/>
    <x v="14"/>
    <x v="1"/>
    <x v="3"/>
    <n v="22"/>
    <n v="40"/>
    <n v="0.01"/>
    <x v="0"/>
    <n v="880"/>
    <n v="8.8"/>
    <n v="871.2"/>
  </r>
  <r>
    <x v="153"/>
    <x v="14"/>
    <x v="3"/>
    <x v="0"/>
    <n v="7"/>
    <n v="16"/>
    <n v="0.08"/>
    <x v="1"/>
    <n v="112"/>
    <n v="8.96"/>
    <n v="103.04"/>
  </r>
  <r>
    <x v="154"/>
    <x v="14"/>
    <x v="4"/>
    <x v="2"/>
    <n v="22"/>
    <n v="150"/>
    <n v="0.04"/>
    <x v="2"/>
    <n v="3300"/>
    <n v="132"/>
    <n v="3168"/>
  </r>
  <r>
    <x v="155"/>
    <x v="14"/>
    <x v="3"/>
    <x v="3"/>
    <n v="15"/>
    <n v="16"/>
    <n v="0.12"/>
    <x v="3"/>
    <n v="240"/>
    <n v="28.8"/>
    <n v="211.2"/>
  </r>
  <r>
    <x v="156"/>
    <x v="14"/>
    <x v="0"/>
    <x v="2"/>
    <n v="20"/>
    <n v="80"/>
    <n v="0.07"/>
    <x v="4"/>
    <n v="1600"/>
    <n v="112"/>
    <n v="1488"/>
  </r>
  <r>
    <x v="157"/>
    <x v="14"/>
    <x v="0"/>
    <x v="2"/>
    <n v="7"/>
    <n v="80"/>
    <n v="0.05"/>
    <x v="5"/>
    <n v="560"/>
    <n v="28"/>
    <n v="532"/>
  </r>
  <r>
    <x v="158"/>
    <x v="14"/>
    <x v="0"/>
    <x v="1"/>
    <n v="10"/>
    <n v="80"/>
    <n v="0.11"/>
    <x v="6"/>
    <n v="800"/>
    <n v="88"/>
    <n v="712"/>
  </r>
  <r>
    <x v="159"/>
    <x v="14"/>
    <x v="0"/>
    <x v="1"/>
    <n v="2"/>
    <n v="80"/>
    <n v="0.07"/>
    <x v="7"/>
    <n v="160"/>
    <n v="11.2"/>
    <n v="148.8"/>
  </r>
  <r>
    <x v="160"/>
    <x v="14"/>
    <x v="3"/>
    <x v="4"/>
    <n v="23"/>
    <n v="16"/>
    <n v="0.01"/>
    <x v="8"/>
    <n v="368"/>
    <n v="3.68"/>
    <n v="364.32"/>
  </r>
  <r>
    <x v="161"/>
    <x v="14"/>
    <x v="2"/>
    <x v="1"/>
    <n v="12"/>
    <n v="230"/>
    <n v="0.03"/>
    <x v="9"/>
    <n v="2760"/>
    <n v="82.8"/>
    <n v="2677.2"/>
  </r>
  <r>
    <x v="162"/>
    <x v="15"/>
    <x v="2"/>
    <x v="0"/>
    <n v="7"/>
    <n v="230"/>
    <n v="0.08"/>
    <x v="10"/>
    <n v="1610"/>
    <n v="128.8"/>
    <n v="1481.2"/>
  </r>
  <r>
    <x v="163"/>
    <x v="15"/>
    <x v="1"/>
    <x v="3"/>
    <n v="11"/>
    <n v="40"/>
    <n v="0.06"/>
    <x v="11"/>
    <n v="440"/>
    <n v="26.4"/>
    <n v="413.6"/>
  </r>
  <r>
    <x v="164"/>
    <x v="15"/>
    <x v="2"/>
    <x v="1"/>
    <n v="7"/>
    <n v="230"/>
    <n v="0.08"/>
    <x v="0"/>
    <n v="1610"/>
    <n v="128.8"/>
    <n v="1481.2"/>
  </r>
  <r>
    <x v="165"/>
    <x v="15"/>
    <x v="0"/>
    <x v="0"/>
    <n v="8"/>
    <n v="80"/>
    <n v="0.09"/>
    <x v="1"/>
    <n v="640"/>
    <n v="57.6"/>
    <n v="582.4"/>
  </r>
  <r>
    <x v="166"/>
    <x v="15"/>
    <x v="0"/>
    <x v="3"/>
    <n v="16"/>
    <n v="80"/>
    <n v="0.07"/>
    <x v="2"/>
    <n v="1280"/>
    <n v="89.6"/>
    <n v="1190.4"/>
  </r>
  <r>
    <x v="167"/>
    <x v="15"/>
    <x v="0"/>
    <x v="2"/>
    <n v="16"/>
    <n v="80"/>
    <n v="0.04"/>
    <x v="3"/>
    <n v="1280"/>
    <n v="51.2"/>
    <n v="1228.8"/>
  </r>
  <r>
    <x v="168"/>
    <x v="15"/>
    <x v="3"/>
    <x v="2"/>
    <n v="9"/>
    <n v="16"/>
    <n v="0.05"/>
    <x v="4"/>
    <n v="144"/>
    <n v="7.2"/>
    <n v="136.8"/>
  </r>
  <r>
    <x v="169"/>
    <x v="15"/>
    <x v="4"/>
    <x v="4"/>
    <n v="11"/>
    <n v="150"/>
    <n v="0.09"/>
    <x v="5"/>
    <n v="1650"/>
    <n v="148.5"/>
    <n v="1501.5"/>
  </r>
  <r>
    <x v="170"/>
    <x v="15"/>
    <x v="3"/>
    <x v="0"/>
    <n v="4"/>
    <n v="16"/>
    <n v="0.12"/>
    <x v="6"/>
    <n v="64"/>
    <n v="7.68"/>
    <n v="56.32"/>
  </r>
  <r>
    <x v="171"/>
    <x v="15"/>
    <x v="1"/>
    <x v="3"/>
    <n v="15"/>
    <n v="40"/>
    <n v="0.03"/>
    <x v="7"/>
    <n v="600"/>
    <n v="18"/>
    <n v="582"/>
  </r>
  <r>
    <x v="172"/>
    <x v="15"/>
    <x v="1"/>
    <x v="4"/>
    <n v="20"/>
    <n v="40"/>
    <n v="0.03"/>
    <x v="8"/>
    <n v="800"/>
    <n v="24"/>
    <n v="776"/>
  </r>
  <r>
    <x v="173"/>
    <x v="16"/>
    <x v="4"/>
    <x v="2"/>
    <n v="9"/>
    <n v="150"/>
    <n v="0.06"/>
    <x v="9"/>
    <n v="1350"/>
    <n v="81"/>
    <n v="1269"/>
  </r>
  <r>
    <x v="174"/>
    <x v="16"/>
    <x v="1"/>
    <x v="1"/>
    <n v="23"/>
    <n v="40"/>
    <n v="0.06"/>
    <x v="10"/>
    <n v="920"/>
    <n v="55.2"/>
    <n v="864.8"/>
  </r>
  <r>
    <x v="175"/>
    <x v="16"/>
    <x v="0"/>
    <x v="4"/>
    <n v="13"/>
    <n v="80"/>
    <n v="0.05"/>
    <x v="11"/>
    <n v="1040"/>
    <n v="52"/>
    <n v="988"/>
  </r>
  <r>
    <x v="176"/>
    <x v="16"/>
    <x v="3"/>
    <x v="0"/>
    <n v="22"/>
    <n v="16"/>
    <n v="0.01"/>
    <x v="0"/>
    <n v="352"/>
    <n v="3.52"/>
    <n v="348.48"/>
  </r>
  <r>
    <x v="177"/>
    <x v="16"/>
    <x v="1"/>
    <x v="0"/>
    <n v="19"/>
    <n v="40"/>
    <n v="0.04"/>
    <x v="1"/>
    <n v="760"/>
    <n v="30.4"/>
    <n v="729.6"/>
  </r>
  <r>
    <x v="178"/>
    <x v="16"/>
    <x v="0"/>
    <x v="3"/>
    <n v="4"/>
    <n v="80"/>
    <n v="0.11"/>
    <x v="2"/>
    <n v="320"/>
    <n v="35.2"/>
    <n v="284.8"/>
  </r>
  <r>
    <x v="179"/>
    <x v="16"/>
    <x v="3"/>
    <x v="0"/>
    <n v="12"/>
    <n v="16"/>
    <n v="0.11"/>
    <x v="3"/>
    <n v="192"/>
    <n v="21.12"/>
    <n v="170.88"/>
  </r>
  <r>
    <x v="180"/>
    <x v="16"/>
    <x v="4"/>
    <x v="1"/>
    <n v="16"/>
    <n v="150"/>
    <n v="0.08"/>
    <x v="4"/>
    <n v="2400"/>
    <n v="192"/>
    <n v="2208"/>
  </r>
  <r>
    <x v="181"/>
    <x v="16"/>
    <x v="0"/>
    <x v="0"/>
    <n v="7"/>
    <n v="80"/>
    <n v="0.02"/>
    <x v="5"/>
    <n v="560"/>
    <n v="11.2"/>
    <n v="548.8"/>
  </r>
  <r>
    <x v="182"/>
    <x v="16"/>
    <x v="1"/>
    <x v="4"/>
    <n v="20"/>
    <n v="40"/>
    <n v="0.07"/>
    <x v="6"/>
    <n v="800"/>
    <n v="56"/>
    <n v="744"/>
  </r>
  <r>
    <x v="183"/>
    <x v="16"/>
    <x v="0"/>
    <x v="1"/>
    <n v="15"/>
    <n v="80"/>
    <n v="0.12"/>
    <x v="7"/>
    <n v="1200"/>
    <n v="144"/>
    <n v="1056"/>
  </r>
  <r>
    <x v="184"/>
    <x v="16"/>
    <x v="1"/>
    <x v="0"/>
    <n v="5"/>
    <n v="40"/>
    <n v="0.09"/>
    <x v="8"/>
    <n v="200"/>
    <n v="18"/>
    <n v="182"/>
  </r>
  <r>
    <x v="185"/>
    <x v="16"/>
    <x v="3"/>
    <x v="4"/>
    <n v="12"/>
    <n v="16"/>
    <n v="0.04"/>
    <x v="9"/>
    <n v="192"/>
    <n v="7.68"/>
    <n v="184.32"/>
  </r>
  <r>
    <x v="186"/>
    <x v="17"/>
    <x v="4"/>
    <x v="3"/>
    <n v="3"/>
    <n v="150"/>
    <n v="0.01"/>
    <x v="10"/>
    <n v="450"/>
    <n v="4.5"/>
    <n v="445.5"/>
  </r>
  <r>
    <x v="187"/>
    <x v="17"/>
    <x v="1"/>
    <x v="4"/>
    <n v="7"/>
    <n v="40"/>
    <n v="0.12"/>
    <x v="11"/>
    <n v="280"/>
    <n v="33.6"/>
    <n v="246.4"/>
  </r>
  <r>
    <x v="188"/>
    <x v="17"/>
    <x v="0"/>
    <x v="1"/>
    <n v="2"/>
    <n v="80"/>
    <n v="0.04"/>
    <x v="0"/>
    <n v="160"/>
    <n v="6.4"/>
    <n v="153.6"/>
  </r>
  <r>
    <x v="189"/>
    <x v="17"/>
    <x v="1"/>
    <x v="3"/>
    <n v="6"/>
    <n v="40"/>
    <n v="0.07"/>
    <x v="1"/>
    <n v="240"/>
    <n v="16.8"/>
    <n v="223.2"/>
  </r>
  <r>
    <x v="190"/>
    <x v="17"/>
    <x v="3"/>
    <x v="2"/>
    <n v="6"/>
    <n v="16"/>
    <n v="0.06"/>
    <x v="2"/>
    <n v="96"/>
    <n v="5.76"/>
    <n v="90.24"/>
  </r>
  <r>
    <x v="191"/>
    <x v="17"/>
    <x v="3"/>
    <x v="0"/>
    <n v="7"/>
    <n v="16"/>
    <n v="0.02"/>
    <x v="3"/>
    <n v="112"/>
    <n v="2.24"/>
    <n v="109.76"/>
  </r>
  <r>
    <x v="192"/>
    <x v="17"/>
    <x v="3"/>
    <x v="1"/>
    <n v="20"/>
    <n v="16"/>
    <n v="0.06"/>
    <x v="4"/>
    <n v="320"/>
    <n v="19.2"/>
    <n v="300.8"/>
  </r>
  <r>
    <x v="193"/>
    <x v="17"/>
    <x v="3"/>
    <x v="1"/>
    <n v="21"/>
    <n v="16"/>
    <n v="0.02"/>
    <x v="5"/>
    <n v="336"/>
    <n v="6.72"/>
    <n v="329.28"/>
  </r>
  <r>
    <x v="194"/>
    <x v="17"/>
    <x v="0"/>
    <x v="3"/>
    <n v="21"/>
    <n v="80"/>
    <n v="0.05"/>
    <x v="6"/>
    <n v="1680"/>
    <n v="84"/>
    <n v="1596"/>
  </r>
  <r>
    <x v="195"/>
    <x v="17"/>
    <x v="3"/>
    <x v="3"/>
    <n v="10"/>
    <n v="16"/>
    <n v="0.01"/>
    <x v="7"/>
    <n v="160"/>
    <n v="1.6"/>
    <n v="158.4"/>
  </r>
  <r>
    <x v="196"/>
    <x v="18"/>
    <x v="2"/>
    <x v="3"/>
    <n v="2"/>
    <n v="230"/>
    <n v="0.09"/>
    <x v="8"/>
    <n v="460"/>
    <n v="41.4"/>
    <n v="418.6"/>
  </r>
  <r>
    <x v="197"/>
    <x v="18"/>
    <x v="4"/>
    <x v="0"/>
    <n v="20"/>
    <n v="150"/>
    <n v="0.03"/>
    <x v="9"/>
    <n v="3000"/>
    <n v="90"/>
    <n v="2910"/>
  </r>
  <r>
    <x v="198"/>
    <x v="18"/>
    <x v="1"/>
    <x v="0"/>
    <n v="23"/>
    <n v="40"/>
    <n v="0.03"/>
    <x v="10"/>
    <n v="920"/>
    <n v="27.6"/>
    <n v="892.4"/>
  </r>
  <r>
    <x v="199"/>
    <x v="18"/>
    <x v="0"/>
    <x v="3"/>
    <n v="17"/>
    <n v="80"/>
    <n v="0.05"/>
    <x v="11"/>
    <n v="1360"/>
    <n v="68"/>
    <n v="1292"/>
  </r>
  <r>
    <x v="200"/>
    <x v="18"/>
    <x v="2"/>
    <x v="3"/>
    <n v="11"/>
    <n v="230"/>
    <n v="0.12"/>
    <x v="0"/>
    <n v="2530"/>
    <n v="303.6"/>
    <n v="2226.4"/>
  </r>
  <r>
    <x v="201"/>
    <x v="18"/>
    <x v="4"/>
    <x v="1"/>
    <n v="10"/>
    <n v="150"/>
    <n v="0.01"/>
    <x v="1"/>
    <n v="1500"/>
    <n v="15"/>
    <n v="1485"/>
  </r>
  <r>
    <x v="202"/>
    <x v="18"/>
    <x v="0"/>
    <x v="1"/>
    <n v="17"/>
    <n v="80"/>
    <n v="0.03"/>
    <x v="2"/>
    <n v="1360"/>
    <n v="40.8"/>
    <n v="1319.2"/>
  </r>
  <r>
    <x v="203"/>
    <x v="19"/>
    <x v="2"/>
    <x v="0"/>
    <n v="9"/>
    <n v="230"/>
    <n v="0.07"/>
    <x v="3"/>
    <n v="2070"/>
    <n v="144.9"/>
    <n v="1925.1"/>
  </r>
  <r>
    <x v="204"/>
    <x v="19"/>
    <x v="2"/>
    <x v="0"/>
    <n v="11"/>
    <n v="230"/>
    <n v="0.02"/>
    <x v="4"/>
    <n v="2530"/>
    <n v="50.6"/>
    <n v="2479.4"/>
  </r>
  <r>
    <x v="205"/>
    <x v="19"/>
    <x v="1"/>
    <x v="2"/>
    <n v="2"/>
    <n v="40"/>
    <n v="0.02"/>
    <x v="5"/>
    <n v="80"/>
    <n v="1.6"/>
    <n v="78.4"/>
  </r>
  <r>
    <x v="206"/>
    <x v="19"/>
    <x v="2"/>
    <x v="4"/>
    <n v="3"/>
    <n v="230"/>
    <n v="0.1"/>
    <x v="6"/>
    <n v="690"/>
    <n v="69"/>
    <n v="621"/>
  </r>
  <r>
    <x v="207"/>
    <x v="19"/>
    <x v="1"/>
    <x v="4"/>
    <n v="7"/>
    <n v="40"/>
    <n v="0.05"/>
    <x v="7"/>
    <n v="280"/>
    <n v="14"/>
    <n v="266"/>
  </r>
  <r>
    <x v="208"/>
    <x v="19"/>
    <x v="4"/>
    <x v="1"/>
    <n v="20"/>
    <n v="150"/>
    <n v="0.09"/>
    <x v="8"/>
    <n v="3000"/>
    <n v="270"/>
    <n v="2730"/>
  </r>
  <r>
    <x v="209"/>
    <x v="19"/>
    <x v="1"/>
    <x v="2"/>
    <n v="4"/>
    <n v="40"/>
    <n v="0.11"/>
    <x v="9"/>
    <n v="160"/>
    <n v="17.6"/>
    <n v="142.4"/>
  </r>
  <r>
    <x v="210"/>
    <x v="20"/>
    <x v="2"/>
    <x v="2"/>
    <n v="2"/>
    <n v="230"/>
    <n v="0.09"/>
    <x v="0"/>
    <n v="460"/>
    <n v="41.4"/>
    <n v="418.6"/>
  </r>
  <r>
    <x v="211"/>
    <x v="20"/>
    <x v="1"/>
    <x v="1"/>
    <n v="7"/>
    <n v="40"/>
    <n v="0.01"/>
    <x v="1"/>
    <n v="280"/>
    <n v="2.8"/>
    <n v="277.2"/>
  </r>
  <r>
    <x v="212"/>
    <x v="20"/>
    <x v="1"/>
    <x v="0"/>
    <n v="2"/>
    <n v="40"/>
    <n v="0.12"/>
    <x v="2"/>
    <n v="80"/>
    <n v="9.6"/>
    <n v="70.4"/>
  </r>
  <r>
    <x v="213"/>
    <x v="20"/>
    <x v="0"/>
    <x v="1"/>
    <n v="3"/>
    <n v="80"/>
    <n v="0.02"/>
    <x v="3"/>
    <n v="240"/>
    <n v="4.8"/>
    <n v="235.2"/>
  </r>
  <r>
    <x v="214"/>
    <x v="20"/>
    <x v="3"/>
    <x v="0"/>
    <n v="18"/>
    <n v="16"/>
    <n v="0.11"/>
    <x v="4"/>
    <n v="288"/>
    <n v="31.68"/>
    <n v="256.32"/>
  </r>
  <r>
    <x v="215"/>
    <x v="20"/>
    <x v="0"/>
    <x v="1"/>
    <n v="5"/>
    <n v="80"/>
    <n v="0.07"/>
    <x v="5"/>
    <n v="400"/>
    <n v="28"/>
    <n v="372"/>
  </r>
  <r>
    <x v="216"/>
    <x v="20"/>
    <x v="3"/>
    <x v="2"/>
    <n v="3"/>
    <n v="16"/>
    <n v="0.05"/>
    <x v="6"/>
    <n v="48"/>
    <n v="2.4"/>
    <n v="45.6"/>
  </r>
  <r>
    <x v="217"/>
    <x v="20"/>
    <x v="0"/>
    <x v="3"/>
    <n v="7"/>
    <n v="80"/>
    <n v="0.02"/>
    <x v="7"/>
    <n v="560"/>
    <n v="11.2"/>
    <n v="548.8"/>
  </r>
  <r>
    <x v="218"/>
    <x v="20"/>
    <x v="4"/>
    <x v="3"/>
    <n v="15"/>
    <n v="150"/>
    <n v="0.08"/>
    <x v="8"/>
    <n v="2250"/>
    <n v="180"/>
    <n v="2070"/>
  </r>
  <r>
    <x v="219"/>
    <x v="20"/>
    <x v="0"/>
    <x v="2"/>
    <n v="10"/>
    <n v="80"/>
    <n v="0.11"/>
    <x v="9"/>
    <n v="800"/>
    <n v="88"/>
    <n v="712"/>
  </r>
  <r>
    <x v="220"/>
    <x v="20"/>
    <x v="2"/>
    <x v="4"/>
    <n v="13"/>
    <n v="230"/>
    <n v="0.06"/>
    <x v="10"/>
    <n v="2990"/>
    <n v="179.4"/>
    <n v="2810.6"/>
  </r>
  <r>
    <x v="221"/>
    <x v="20"/>
    <x v="1"/>
    <x v="0"/>
    <n v="7"/>
    <n v="40"/>
    <n v="0.1"/>
    <x v="11"/>
    <n v="280"/>
    <n v="28"/>
    <n v="252"/>
  </r>
  <r>
    <x v="222"/>
    <x v="20"/>
    <x v="3"/>
    <x v="2"/>
    <n v="6"/>
    <n v="16"/>
    <n v="0.01"/>
    <x v="0"/>
    <n v="96"/>
    <n v="0.96"/>
    <n v="95.04"/>
  </r>
  <r>
    <x v="223"/>
    <x v="21"/>
    <x v="1"/>
    <x v="2"/>
    <n v="11"/>
    <n v="40"/>
    <n v="0.05"/>
    <x v="1"/>
    <n v="440"/>
    <n v="22"/>
    <n v="418"/>
  </r>
  <r>
    <x v="224"/>
    <x v="21"/>
    <x v="0"/>
    <x v="3"/>
    <n v="8"/>
    <n v="80"/>
    <n v="0.06"/>
    <x v="2"/>
    <n v="640"/>
    <n v="38.4"/>
    <n v="601.6"/>
  </r>
  <r>
    <x v="225"/>
    <x v="21"/>
    <x v="0"/>
    <x v="0"/>
    <n v="9"/>
    <n v="80"/>
    <n v="0.04"/>
    <x v="3"/>
    <n v="720"/>
    <n v="28.8"/>
    <n v="691.2"/>
  </r>
  <r>
    <x v="226"/>
    <x v="21"/>
    <x v="1"/>
    <x v="4"/>
    <n v="4"/>
    <n v="40"/>
    <n v="0.09"/>
    <x v="4"/>
    <n v="160"/>
    <n v="14.4"/>
    <n v="145.6"/>
  </r>
  <r>
    <x v="227"/>
    <x v="21"/>
    <x v="0"/>
    <x v="1"/>
    <n v="13"/>
    <n v="80"/>
    <n v="0.06"/>
    <x v="5"/>
    <n v="1040"/>
    <n v="62.4"/>
    <n v="977.6"/>
  </r>
  <r>
    <x v="228"/>
    <x v="21"/>
    <x v="4"/>
    <x v="4"/>
    <n v="4"/>
    <n v="150"/>
    <n v="0.05"/>
    <x v="6"/>
    <n v="600"/>
    <n v="30"/>
    <n v="570"/>
  </r>
  <r>
    <x v="229"/>
    <x v="21"/>
    <x v="2"/>
    <x v="2"/>
    <n v="14"/>
    <n v="230"/>
    <n v="0.12"/>
    <x v="7"/>
    <n v="3220"/>
    <n v="386.4"/>
    <n v="2833.6"/>
  </r>
  <r>
    <x v="230"/>
    <x v="21"/>
    <x v="4"/>
    <x v="4"/>
    <n v="13"/>
    <n v="150"/>
    <n v="0.11"/>
    <x v="8"/>
    <n v="1950"/>
    <n v="214.5"/>
    <n v="1735.5"/>
  </r>
  <r>
    <x v="231"/>
    <x v="21"/>
    <x v="4"/>
    <x v="1"/>
    <n v="16"/>
    <n v="150"/>
    <n v="0.03"/>
    <x v="9"/>
    <n v="2400"/>
    <n v="72"/>
    <n v="2328"/>
  </r>
  <r>
    <x v="232"/>
    <x v="21"/>
    <x v="3"/>
    <x v="0"/>
    <n v="7"/>
    <n v="16"/>
    <n v="0.12"/>
    <x v="10"/>
    <n v="112"/>
    <n v="13.44"/>
    <n v="98.56"/>
  </r>
  <r>
    <x v="233"/>
    <x v="21"/>
    <x v="4"/>
    <x v="3"/>
    <n v="9"/>
    <n v="150"/>
    <n v="0.02"/>
    <x v="11"/>
    <n v="1350"/>
    <n v="27"/>
    <n v="1323"/>
  </r>
  <r>
    <x v="234"/>
    <x v="21"/>
    <x v="3"/>
    <x v="0"/>
    <n v="10"/>
    <n v="16"/>
    <n v="0.08"/>
    <x v="0"/>
    <n v="160"/>
    <n v="12.8"/>
    <n v="147.2"/>
  </r>
  <r>
    <x v="235"/>
    <x v="21"/>
    <x v="0"/>
    <x v="3"/>
    <n v="15"/>
    <n v="80"/>
    <n v="0.08"/>
    <x v="1"/>
    <n v="1200"/>
    <n v="96"/>
    <n v="1104"/>
  </r>
  <r>
    <x v="236"/>
    <x v="21"/>
    <x v="0"/>
    <x v="4"/>
    <n v="9"/>
    <n v="80"/>
    <n v="0.06"/>
    <x v="2"/>
    <n v="720"/>
    <n v="43.2"/>
    <n v="676.8"/>
  </r>
  <r>
    <x v="237"/>
    <x v="22"/>
    <x v="3"/>
    <x v="3"/>
    <n v="7"/>
    <n v="16"/>
    <n v="0.08"/>
    <x v="3"/>
    <n v="112"/>
    <n v="8.96"/>
    <n v="103.04"/>
  </r>
  <r>
    <x v="238"/>
    <x v="22"/>
    <x v="4"/>
    <x v="4"/>
    <n v="7"/>
    <n v="150"/>
    <n v="0.03"/>
    <x v="4"/>
    <n v="1050"/>
    <n v="31.5"/>
    <n v="1018.5"/>
  </r>
  <r>
    <x v="239"/>
    <x v="22"/>
    <x v="2"/>
    <x v="3"/>
    <n v="16"/>
    <n v="230"/>
    <n v="0.11"/>
    <x v="5"/>
    <n v="3680"/>
    <n v="404.8"/>
    <n v="3275.2"/>
  </r>
  <r>
    <x v="240"/>
    <x v="22"/>
    <x v="3"/>
    <x v="3"/>
    <n v="18"/>
    <n v="16"/>
    <n v="0.04"/>
    <x v="6"/>
    <n v="288"/>
    <n v="11.52"/>
    <n v="276.48"/>
  </r>
  <r>
    <x v="241"/>
    <x v="22"/>
    <x v="2"/>
    <x v="4"/>
    <n v="20"/>
    <n v="230"/>
    <n v="0.11"/>
    <x v="7"/>
    <n v="4600"/>
    <n v="506"/>
    <n v="4094"/>
  </r>
  <r>
    <x v="242"/>
    <x v="22"/>
    <x v="4"/>
    <x v="0"/>
    <n v="7"/>
    <n v="150"/>
    <n v="0.02"/>
    <x v="8"/>
    <n v="1050"/>
    <n v="21"/>
    <n v="1029"/>
  </r>
  <r>
    <x v="243"/>
    <x v="22"/>
    <x v="3"/>
    <x v="2"/>
    <n v="11"/>
    <n v="16"/>
    <n v="0.12"/>
    <x v="9"/>
    <n v="176"/>
    <n v="21.12"/>
    <n v="154.88"/>
  </r>
  <r>
    <x v="244"/>
    <x v="22"/>
    <x v="1"/>
    <x v="2"/>
    <n v="12"/>
    <n v="40"/>
    <n v="0.02"/>
    <x v="10"/>
    <n v="480"/>
    <n v="9.6"/>
    <n v="470.4"/>
  </r>
  <r>
    <x v="245"/>
    <x v="22"/>
    <x v="4"/>
    <x v="4"/>
    <n v="7"/>
    <n v="150"/>
    <n v="0.02"/>
    <x v="11"/>
    <n v="1050"/>
    <n v="21"/>
    <n v="1029"/>
  </r>
  <r>
    <x v="246"/>
    <x v="22"/>
    <x v="0"/>
    <x v="2"/>
    <n v="14"/>
    <n v="80"/>
    <n v="0.1"/>
    <x v="0"/>
    <n v="1120"/>
    <n v="112"/>
    <n v="1008"/>
  </r>
  <r>
    <x v="247"/>
    <x v="22"/>
    <x v="2"/>
    <x v="2"/>
    <n v="12"/>
    <n v="230"/>
    <n v="0.06"/>
    <x v="1"/>
    <n v="2760"/>
    <n v="165.6"/>
    <n v="2594.4"/>
  </r>
  <r>
    <x v="248"/>
    <x v="23"/>
    <x v="0"/>
    <x v="1"/>
    <n v="21"/>
    <n v="80"/>
    <n v="0.04"/>
    <x v="2"/>
    <n v="1680"/>
    <n v="67.2"/>
    <n v="1612.8"/>
  </r>
  <r>
    <x v="249"/>
    <x v="23"/>
    <x v="4"/>
    <x v="0"/>
    <n v="8"/>
    <n v="150"/>
    <n v="0.09"/>
    <x v="3"/>
    <n v="1200"/>
    <n v="108"/>
    <n v="1092"/>
  </r>
  <r>
    <x v="250"/>
    <x v="23"/>
    <x v="0"/>
    <x v="1"/>
    <n v="16"/>
    <n v="80"/>
    <n v="0.04"/>
    <x v="4"/>
    <n v="1280"/>
    <n v="51.2"/>
    <n v="1228.8"/>
  </r>
  <r>
    <x v="251"/>
    <x v="23"/>
    <x v="2"/>
    <x v="1"/>
    <n v="14"/>
    <n v="230"/>
    <n v="0.05"/>
    <x v="5"/>
    <n v="3220"/>
    <n v="161"/>
    <n v="3059"/>
  </r>
  <r>
    <x v="252"/>
    <x v="23"/>
    <x v="1"/>
    <x v="2"/>
    <n v="2"/>
    <n v="40"/>
    <n v="0.03"/>
    <x v="6"/>
    <n v="80"/>
    <n v="2.4"/>
    <n v="77.6"/>
  </r>
  <r>
    <x v="253"/>
    <x v="23"/>
    <x v="4"/>
    <x v="0"/>
    <n v="4"/>
    <n v="150"/>
    <n v="0.1"/>
    <x v="7"/>
    <n v="600"/>
    <n v="60"/>
    <n v="540"/>
  </r>
  <r>
    <x v="254"/>
    <x v="23"/>
    <x v="0"/>
    <x v="2"/>
    <n v="6"/>
    <n v="80"/>
    <n v="0.01"/>
    <x v="8"/>
    <n v="480"/>
    <n v="4.8"/>
    <n v="475.2"/>
  </r>
  <r>
    <x v="255"/>
    <x v="23"/>
    <x v="1"/>
    <x v="2"/>
    <n v="6"/>
    <n v="40"/>
    <n v="0.06"/>
    <x v="9"/>
    <n v="240"/>
    <n v="14.4"/>
    <n v="225.6"/>
  </r>
  <r>
    <x v="256"/>
    <x v="23"/>
    <x v="4"/>
    <x v="0"/>
    <n v="20"/>
    <n v="150"/>
    <n v="0.04"/>
    <x v="10"/>
    <n v="3000"/>
    <n v="120"/>
    <n v="2880"/>
  </r>
  <r>
    <x v="257"/>
    <x v="23"/>
    <x v="1"/>
    <x v="2"/>
    <n v="18"/>
    <n v="40"/>
    <n v="0.03"/>
    <x v="11"/>
    <n v="720"/>
    <n v="21.6"/>
    <n v="698.4"/>
  </r>
  <r>
    <x v="258"/>
    <x v="23"/>
    <x v="2"/>
    <x v="3"/>
    <n v="18"/>
    <n v="230"/>
    <n v="0.01"/>
    <x v="0"/>
    <n v="4140"/>
    <n v="41.4"/>
    <n v="4098.6"/>
  </r>
  <r>
    <x v="259"/>
    <x v="23"/>
    <x v="2"/>
    <x v="2"/>
    <n v="15"/>
    <n v="230"/>
    <n v="0.04"/>
    <x v="1"/>
    <n v="3450"/>
    <n v="138"/>
    <n v="3312"/>
  </r>
  <r>
    <x v="260"/>
    <x v="23"/>
    <x v="3"/>
    <x v="1"/>
    <n v="22"/>
    <n v="16"/>
    <n v="0.01"/>
    <x v="2"/>
    <n v="352"/>
    <n v="3.52"/>
    <n v="348.48"/>
  </r>
  <r>
    <x v="261"/>
    <x v="23"/>
    <x v="4"/>
    <x v="0"/>
    <n v="17"/>
    <n v="150"/>
    <n v="0.12"/>
    <x v="3"/>
    <n v="2550"/>
    <n v="306"/>
    <n v="2244"/>
  </r>
  <r>
    <x v="262"/>
    <x v="24"/>
    <x v="3"/>
    <x v="1"/>
    <n v="5"/>
    <n v="16"/>
    <n v="0.11"/>
    <x v="4"/>
    <n v="80"/>
    <n v="8.8"/>
    <n v="71.2"/>
  </r>
  <r>
    <x v="263"/>
    <x v="24"/>
    <x v="4"/>
    <x v="0"/>
    <n v="23"/>
    <n v="150"/>
    <n v="0.1"/>
    <x v="5"/>
    <n v="3450"/>
    <n v="345"/>
    <n v="3105"/>
  </r>
  <r>
    <x v="264"/>
    <x v="24"/>
    <x v="4"/>
    <x v="3"/>
    <n v="22"/>
    <n v="150"/>
    <n v="0.05"/>
    <x v="6"/>
    <n v="3300"/>
    <n v="165"/>
    <n v="3135"/>
  </r>
  <r>
    <x v="265"/>
    <x v="24"/>
    <x v="3"/>
    <x v="4"/>
    <n v="15"/>
    <n v="16"/>
    <n v="0.01"/>
    <x v="7"/>
    <n v="240"/>
    <n v="2.4"/>
    <n v="237.6"/>
  </r>
  <r>
    <x v="266"/>
    <x v="24"/>
    <x v="1"/>
    <x v="3"/>
    <n v="7"/>
    <n v="40"/>
    <n v="0.07"/>
    <x v="8"/>
    <n v="280"/>
    <n v="19.6"/>
    <n v="260.4"/>
  </r>
  <r>
    <x v="267"/>
    <x v="24"/>
    <x v="0"/>
    <x v="4"/>
    <n v="22"/>
    <n v="80"/>
    <n v="0.11"/>
    <x v="9"/>
    <n v="1760"/>
    <n v="193.6"/>
    <n v="1566.4"/>
  </r>
  <r>
    <x v="268"/>
    <x v="24"/>
    <x v="4"/>
    <x v="2"/>
    <n v="11"/>
    <n v="150"/>
    <n v="0.05"/>
    <x v="10"/>
    <n v="1650"/>
    <n v="82.5"/>
    <n v="1567.5"/>
  </r>
  <r>
    <x v="269"/>
    <x v="24"/>
    <x v="1"/>
    <x v="1"/>
    <n v="21"/>
    <n v="40"/>
    <n v="0.03"/>
    <x v="11"/>
    <n v="840"/>
    <n v="25.2"/>
    <n v="814.8"/>
  </r>
  <r>
    <x v="270"/>
    <x v="24"/>
    <x v="0"/>
    <x v="3"/>
    <n v="23"/>
    <n v="80"/>
    <n v="0.11"/>
    <x v="0"/>
    <n v="1840"/>
    <n v="202.4"/>
    <n v="1637.6"/>
  </r>
  <r>
    <x v="271"/>
    <x v="24"/>
    <x v="2"/>
    <x v="2"/>
    <n v="7"/>
    <n v="230"/>
    <n v="0.01"/>
    <x v="1"/>
    <n v="1610"/>
    <n v="16.1"/>
    <n v="1593.9"/>
  </r>
  <r>
    <x v="272"/>
    <x v="24"/>
    <x v="2"/>
    <x v="0"/>
    <n v="16"/>
    <n v="230"/>
    <n v="0.07"/>
    <x v="2"/>
    <n v="3680"/>
    <n v="257.6"/>
    <n v="3422.4"/>
  </r>
  <r>
    <x v="273"/>
    <x v="24"/>
    <x v="0"/>
    <x v="1"/>
    <n v="14"/>
    <n v="80"/>
    <n v="0.11"/>
    <x v="3"/>
    <n v="1120"/>
    <n v="123.2"/>
    <n v="996.8"/>
  </r>
  <r>
    <x v="274"/>
    <x v="24"/>
    <x v="4"/>
    <x v="2"/>
    <n v="22"/>
    <n v="150"/>
    <n v="0.09"/>
    <x v="4"/>
    <n v="3300"/>
    <n v="297"/>
    <n v="3003"/>
  </r>
  <r>
    <x v="275"/>
    <x v="24"/>
    <x v="4"/>
    <x v="3"/>
    <n v="4"/>
    <n v="150"/>
    <n v="0.12"/>
    <x v="5"/>
    <n v="600"/>
    <n v="72"/>
    <n v="528"/>
  </r>
  <r>
    <x v="276"/>
    <x v="24"/>
    <x v="4"/>
    <x v="0"/>
    <n v="3"/>
    <n v="150"/>
    <n v="0.03"/>
    <x v="6"/>
    <n v="450"/>
    <n v="13.5"/>
    <n v="436.5"/>
  </r>
  <r>
    <x v="277"/>
    <x v="24"/>
    <x v="1"/>
    <x v="4"/>
    <n v="17"/>
    <n v="40"/>
    <n v="0.02"/>
    <x v="7"/>
    <n v="680"/>
    <n v="13.6"/>
    <n v="666.4"/>
  </r>
  <r>
    <x v="278"/>
    <x v="24"/>
    <x v="0"/>
    <x v="4"/>
    <n v="22"/>
    <n v="80"/>
    <n v="0.1"/>
    <x v="8"/>
    <n v="1760"/>
    <n v="176"/>
    <n v="1584"/>
  </r>
  <r>
    <x v="279"/>
    <x v="24"/>
    <x v="4"/>
    <x v="4"/>
    <n v="18"/>
    <n v="150"/>
    <n v="0.12"/>
    <x v="9"/>
    <n v="2700"/>
    <n v="324"/>
    <n v="2376"/>
  </r>
  <r>
    <x v="280"/>
    <x v="25"/>
    <x v="4"/>
    <x v="0"/>
    <n v="4"/>
    <n v="150"/>
    <n v="0.06"/>
    <x v="0"/>
    <n v="600"/>
    <n v="36"/>
    <n v="564"/>
  </r>
  <r>
    <x v="281"/>
    <x v="25"/>
    <x v="2"/>
    <x v="1"/>
    <n v="22"/>
    <n v="230"/>
    <n v="0.04"/>
    <x v="1"/>
    <n v="5060"/>
    <n v="202.4"/>
    <n v="4857.6"/>
  </r>
  <r>
    <x v="282"/>
    <x v="25"/>
    <x v="4"/>
    <x v="1"/>
    <n v="15"/>
    <n v="150"/>
    <n v="0.12"/>
    <x v="2"/>
    <n v="2250"/>
    <n v="270"/>
    <n v="1980"/>
  </r>
  <r>
    <x v="283"/>
    <x v="25"/>
    <x v="0"/>
    <x v="0"/>
    <n v="17"/>
    <n v="80"/>
    <n v="0.07"/>
    <x v="3"/>
    <n v="1360"/>
    <n v="95.2"/>
    <n v="1264.8"/>
  </r>
  <r>
    <x v="284"/>
    <x v="25"/>
    <x v="1"/>
    <x v="4"/>
    <n v="10"/>
    <n v="40"/>
    <n v="0.03"/>
    <x v="4"/>
    <n v="400"/>
    <n v="12"/>
    <n v="388"/>
  </r>
  <r>
    <x v="285"/>
    <x v="25"/>
    <x v="1"/>
    <x v="0"/>
    <n v="23"/>
    <n v="40"/>
    <n v="0.07"/>
    <x v="5"/>
    <n v="920"/>
    <n v="64.4"/>
    <n v="855.6"/>
  </r>
  <r>
    <x v="286"/>
    <x v="25"/>
    <x v="3"/>
    <x v="1"/>
    <n v="22"/>
    <n v="16"/>
    <n v="0.04"/>
    <x v="6"/>
    <n v="352"/>
    <n v="14.08"/>
    <n v="337.92"/>
  </r>
  <r>
    <x v="287"/>
    <x v="25"/>
    <x v="0"/>
    <x v="2"/>
    <n v="8"/>
    <n v="80"/>
    <n v="0.02"/>
    <x v="7"/>
    <n v="640"/>
    <n v="12.8"/>
    <n v="627.2"/>
  </r>
  <r>
    <x v="288"/>
    <x v="25"/>
    <x v="3"/>
    <x v="1"/>
    <n v="4"/>
    <n v="16"/>
    <n v="0.09"/>
    <x v="8"/>
    <n v="64"/>
    <n v="5.76"/>
    <n v="58.24"/>
  </r>
  <r>
    <x v="289"/>
    <x v="25"/>
    <x v="1"/>
    <x v="3"/>
    <n v="11"/>
    <n v="40"/>
    <n v="0.09"/>
    <x v="9"/>
    <n v="440"/>
    <n v="39.6"/>
    <n v="400.4"/>
  </r>
  <r>
    <x v="290"/>
    <x v="25"/>
    <x v="2"/>
    <x v="2"/>
    <n v="18"/>
    <n v="230"/>
    <n v="0.01"/>
    <x v="10"/>
    <n v="4140"/>
    <n v="41.4"/>
    <n v="4098.6"/>
  </r>
  <r>
    <x v="291"/>
    <x v="26"/>
    <x v="2"/>
    <x v="1"/>
    <n v="11"/>
    <n v="230"/>
    <n v="0.1"/>
    <x v="11"/>
    <n v="2530"/>
    <n v="253"/>
    <n v="2277"/>
  </r>
  <r>
    <x v="292"/>
    <x v="26"/>
    <x v="2"/>
    <x v="0"/>
    <n v="15"/>
    <n v="230"/>
    <n v="0.05"/>
    <x v="0"/>
    <n v="3450"/>
    <n v="172.5"/>
    <n v="3277.5"/>
  </r>
  <r>
    <x v="293"/>
    <x v="26"/>
    <x v="1"/>
    <x v="4"/>
    <n v="7"/>
    <n v="40"/>
    <n v="0.04"/>
    <x v="1"/>
    <n v="280"/>
    <n v="11.2"/>
    <n v="268.8"/>
  </r>
  <r>
    <x v="294"/>
    <x v="26"/>
    <x v="4"/>
    <x v="2"/>
    <n v="20"/>
    <n v="150"/>
    <n v="0.12"/>
    <x v="2"/>
    <n v="3000"/>
    <n v="360"/>
    <n v="2640"/>
  </r>
  <r>
    <x v="295"/>
    <x v="26"/>
    <x v="0"/>
    <x v="2"/>
    <n v="5"/>
    <n v="80"/>
    <n v="0.09"/>
    <x v="3"/>
    <n v="400"/>
    <n v="36"/>
    <n v="364"/>
  </r>
  <r>
    <x v="296"/>
    <x v="26"/>
    <x v="0"/>
    <x v="3"/>
    <n v="14"/>
    <n v="80"/>
    <n v="0.05"/>
    <x v="4"/>
    <n v="1120"/>
    <n v="56"/>
    <n v="1064"/>
  </r>
  <r>
    <x v="297"/>
    <x v="26"/>
    <x v="2"/>
    <x v="3"/>
    <n v="7"/>
    <n v="230"/>
    <n v="0.06"/>
    <x v="5"/>
    <n v="1610"/>
    <n v="96.6"/>
    <n v="1513.4"/>
  </r>
  <r>
    <x v="298"/>
    <x v="26"/>
    <x v="1"/>
    <x v="3"/>
    <n v="13"/>
    <n v="40"/>
    <n v="0.06"/>
    <x v="6"/>
    <n v="520"/>
    <n v="31.2"/>
    <n v="488.8"/>
  </r>
  <r>
    <x v="299"/>
    <x v="27"/>
    <x v="3"/>
    <x v="1"/>
    <n v="15"/>
    <n v="16"/>
    <n v="0.02"/>
    <x v="7"/>
    <n v="240"/>
    <n v="4.8"/>
    <n v="235.2"/>
  </r>
  <r>
    <x v="300"/>
    <x v="27"/>
    <x v="3"/>
    <x v="3"/>
    <n v="5"/>
    <n v="16"/>
    <n v="0.09"/>
    <x v="8"/>
    <n v="80"/>
    <n v="7.2"/>
    <n v="72.8"/>
  </r>
  <r>
    <x v="301"/>
    <x v="27"/>
    <x v="3"/>
    <x v="0"/>
    <n v="22"/>
    <n v="16"/>
    <n v="0.06"/>
    <x v="9"/>
    <n v="352"/>
    <n v="21.12"/>
    <n v="330.88"/>
  </r>
  <r>
    <x v="302"/>
    <x v="27"/>
    <x v="4"/>
    <x v="2"/>
    <n v="15"/>
    <n v="150"/>
    <n v="0.05"/>
    <x v="10"/>
    <n v="2250"/>
    <n v="112.5"/>
    <n v="2137.5"/>
  </r>
  <r>
    <x v="303"/>
    <x v="27"/>
    <x v="2"/>
    <x v="2"/>
    <n v="5"/>
    <n v="230"/>
    <n v="0.01"/>
    <x v="11"/>
    <n v="1150"/>
    <n v="11.5"/>
    <n v="1138.5"/>
  </r>
  <r>
    <x v="304"/>
    <x v="27"/>
    <x v="1"/>
    <x v="0"/>
    <n v="11"/>
    <n v="40"/>
    <n v="0.04"/>
    <x v="0"/>
    <n v="440"/>
    <n v="17.6"/>
    <n v="422.4"/>
  </r>
  <r>
    <x v="305"/>
    <x v="27"/>
    <x v="4"/>
    <x v="1"/>
    <n v="13"/>
    <n v="150"/>
    <n v="0.08"/>
    <x v="1"/>
    <n v="1950"/>
    <n v="156"/>
    <n v="1794"/>
  </r>
  <r>
    <x v="306"/>
    <x v="27"/>
    <x v="3"/>
    <x v="4"/>
    <n v="13"/>
    <n v="16"/>
    <n v="0.07"/>
    <x v="2"/>
    <n v="208"/>
    <n v="14.56"/>
    <n v="193.44"/>
  </r>
  <r>
    <x v="307"/>
    <x v="27"/>
    <x v="3"/>
    <x v="4"/>
    <n v="3"/>
    <n v="16"/>
    <n v="0.03"/>
    <x v="3"/>
    <n v="48"/>
    <n v="1.44"/>
    <n v="46.56"/>
  </r>
  <r>
    <x v="308"/>
    <x v="28"/>
    <x v="4"/>
    <x v="1"/>
    <n v="2"/>
    <n v="150"/>
    <n v="0.09"/>
    <x v="4"/>
    <n v="300"/>
    <n v="27"/>
    <n v="273"/>
  </r>
  <r>
    <x v="309"/>
    <x v="28"/>
    <x v="2"/>
    <x v="2"/>
    <n v="14"/>
    <n v="230"/>
    <n v="0.03"/>
    <x v="5"/>
    <n v="3220"/>
    <n v="96.6"/>
    <n v="3123.4"/>
  </r>
  <r>
    <x v="310"/>
    <x v="28"/>
    <x v="1"/>
    <x v="2"/>
    <n v="11"/>
    <n v="40"/>
    <n v="0.12"/>
    <x v="6"/>
    <n v="440"/>
    <n v="52.8"/>
    <n v="387.2"/>
  </r>
  <r>
    <x v="311"/>
    <x v="28"/>
    <x v="3"/>
    <x v="4"/>
    <n v="3"/>
    <n v="16"/>
    <n v="0.06"/>
    <x v="7"/>
    <n v="48"/>
    <n v="2.88"/>
    <n v="45.12"/>
  </r>
  <r>
    <x v="312"/>
    <x v="28"/>
    <x v="1"/>
    <x v="4"/>
    <n v="18"/>
    <n v="40"/>
    <n v="0.06"/>
    <x v="8"/>
    <n v="720"/>
    <n v="43.2"/>
    <n v="676.8"/>
  </r>
  <r>
    <x v="313"/>
    <x v="28"/>
    <x v="2"/>
    <x v="4"/>
    <n v="7"/>
    <n v="230"/>
    <n v="0.05"/>
    <x v="9"/>
    <n v="1610"/>
    <n v="80.5"/>
    <n v="1529.5"/>
  </r>
  <r>
    <x v="314"/>
    <x v="28"/>
    <x v="1"/>
    <x v="4"/>
    <n v="23"/>
    <n v="40"/>
    <n v="0.05"/>
    <x v="10"/>
    <n v="920"/>
    <n v="46"/>
    <n v="874"/>
  </r>
  <r>
    <x v="315"/>
    <x v="29"/>
    <x v="2"/>
    <x v="4"/>
    <n v="2"/>
    <n v="230"/>
    <n v="0.08"/>
    <x v="11"/>
    <n v="460"/>
    <n v="36.8"/>
    <n v="423.2"/>
  </r>
  <r>
    <x v="316"/>
    <x v="29"/>
    <x v="1"/>
    <x v="3"/>
    <n v="18"/>
    <n v="40"/>
    <n v="0.04"/>
    <x v="0"/>
    <n v="720"/>
    <n v="28.8"/>
    <n v="691.2"/>
  </r>
  <r>
    <x v="317"/>
    <x v="29"/>
    <x v="2"/>
    <x v="1"/>
    <n v="7"/>
    <n v="230"/>
    <n v="0.05"/>
    <x v="1"/>
    <n v="1610"/>
    <n v="80.5"/>
    <n v="1529.5"/>
  </r>
  <r>
    <x v="318"/>
    <x v="29"/>
    <x v="1"/>
    <x v="4"/>
    <n v="14"/>
    <n v="40"/>
    <n v="0.11"/>
    <x v="2"/>
    <n v="560"/>
    <n v="61.6"/>
    <n v="498.4"/>
  </r>
  <r>
    <x v="319"/>
    <x v="29"/>
    <x v="4"/>
    <x v="1"/>
    <n v="13"/>
    <n v="150"/>
    <n v="0.02"/>
    <x v="3"/>
    <n v="1950"/>
    <n v="39"/>
    <n v="1911"/>
  </r>
  <r>
    <x v="320"/>
    <x v="29"/>
    <x v="0"/>
    <x v="0"/>
    <n v="12"/>
    <n v="80"/>
    <n v="0.04"/>
    <x v="4"/>
    <n v="960"/>
    <n v="38.4"/>
    <n v="921.6"/>
  </r>
  <r>
    <x v="321"/>
    <x v="29"/>
    <x v="2"/>
    <x v="4"/>
    <n v="20"/>
    <n v="230"/>
    <n v="0.09"/>
    <x v="5"/>
    <n v="4600"/>
    <n v="414"/>
    <n v="4186"/>
  </r>
  <r>
    <x v="322"/>
    <x v="29"/>
    <x v="1"/>
    <x v="4"/>
    <n v="5"/>
    <n v="40"/>
    <n v="0.03"/>
    <x v="6"/>
    <n v="200"/>
    <n v="6"/>
    <n v="194"/>
  </r>
  <r>
    <x v="323"/>
    <x v="29"/>
    <x v="3"/>
    <x v="4"/>
    <n v="2"/>
    <n v="16"/>
    <n v="0.04"/>
    <x v="7"/>
    <n v="32"/>
    <n v="1.28"/>
    <n v="30.72"/>
  </r>
  <r>
    <x v="324"/>
    <x v="0"/>
    <x v="0"/>
    <x v="2"/>
    <n v="10"/>
    <n v="80"/>
    <n v="0.08"/>
    <x v="8"/>
    <n v="800"/>
    <n v="64"/>
    <n v="736"/>
  </r>
  <r>
    <x v="325"/>
    <x v="0"/>
    <x v="1"/>
    <x v="3"/>
    <n v="18"/>
    <n v="40"/>
    <n v="0.06"/>
    <x v="9"/>
    <n v="720"/>
    <n v="43.2"/>
    <n v="676.8"/>
  </r>
  <r>
    <x v="326"/>
    <x v="0"/>
    <x v="2"/>
    <x v="1"/>
    <n v="7"/>
    <n v="230"/>
    <n v="0.08"/>
    <x v="10"/>
    <n v="1610"/>
    <n v="128.8"/>
    <n v="1481.2"/>
  </r>
  <r>
    <x v="327"/>
    <x v="0"/>
    <x v="1"/>
    <x v="3"/>
    <n v="15"/>
    <n v="40"/>
    <n v="0.03"/>
    <x v="11"/>
    <n v="600"/>
    <n v="18"/>
    <n v="582"/>
  </r>
  <r>
    <x v="328"/>
    <x v="0"/>
    <x v="3"/>
    <x v="2"/>
    <n v="6"/>
    <n v="16"/>
    <n v="0.01"/>
    <x v="0"/>
    <n v="96"/>
    <n v="0.96"/>
    <n v="95.04"/>
  </r>
  <r>
    <x v="329"/>
    <x v="0"/>
    <x v="4"/>
    <x v="3"/>
    <n v="9"/>
    <n v="150"/>
    <n v="0.02"/>
    <x v="1"/>
    <n v="1350"/>
    <n v="27"/>
    <n v="1323"/>
  </r>
  <r>
    <x v="330"/>
    <x v="0"/>
    <x v="3"/>
    <x v="4"/>
    <n v="15"/>
    <n v="16"/>
    <n v="0.01"/>
    <x v="2"/>
    <n v="240"/>
    <n v="2.4"/>
    <n v="237.6"/>
  </r>
  <r>
    <x v="331"/>
    <x v="0"/>
    <x v="0"/>
    <x v="4"/>
    <n v="22"/>
    <n v="80"/>
    <n v="0.11"/>
    <x v="3"/>
    <n v="1760"/>
    <n v="193.6"/>
    <n v="1566.4"/>
  </r>
  <r>
    <x v="332"/>
    <x v="0"/>
    <x v="4"/>
    <x v="1"/>
    <n v="13"/>
    <n v="150"/>
    <n v="0.02"/>
    <x v="4"/>
    <n v="1950"/>
    <n v="39"/>
    <n v="1911"/>
  </r>
  <r>
    <x v="333"/>
    <x v="1"/>
    <x v="3"/>
    <x v="2"/>
    <n v="12"/>
    <n v="16"/>
    <n v="0.03"/>
    <x v="5"/>
    <n v="192"/>
    <n v="5.76"/>
    <n v="186.24"/>
  </r>
  <r>
    <x v="334"/>
    <x v="1"/>
    <x v="1"/>
    <x v="3"/>
    <n v="4"/>
    <n v="40"/>
    <n v="0.05"/>
    <x v="6"/>
    <n v="160"/>
    <n v="8"/>
    <n v="152"/>
  </r>
  <r>
    <x v="335"/>
    <x v="1"/>
    <x v="2"/>
    <x v="1"/>
    <n v="19"/>
    <n v="230"/>
    <n v="0.11"/>
    <x v="7"/>
    <n v="4370"/>
    <n v="480.7"/>
    <n v="3889.3"/>
  </r>
  <r>
    <x v="336"/>
    <x v="1"/>
    <x v="1"/>
    <x v="1"/>
    <n v="4"/>
    <n v="40"/>
    <n v="0.06"/>
    <x v="8"/>
    <n v="160"/>
    <n v="9.6"/>
    <n v="150.4"/>
  </r>
  <r>
    <x v="337"/>
    <x v="1"/>
    <x v="3"/>
    <x v="2"/>
    <n v="6"/>
    <n v="16"/>
    <n v="0.07"/>
    <x v="9"/>
    <n v="96"/>
    <n v="6.72"/>
    <n v="89.28"/>
  </r>
  <r>
    <x v="338"/>
    <x v="1"/>
    <x v="2"/>
    <x v="2"/>
    <n v="15"/>
    <n v="230"/>
    <n v="0.11"/>
    <x v="10"/>
    <n v="3450"/>
    <n v="379.5"/>
    <n v="3070.5"/>
  </r>
  <r>
    <x v="339"/>
    <x v="1"/>
    <x v="0"/>
    <x v="2"/>
    <n v="16"/>
    <n v="80"/>
    <n v="0.04"/>
    <x v="11"/>
    <n v="1280"/>
    <n v="51.2"/>
    <n v="1228.8"/>
  </r>
  <r>
    <x v="340"/>
    <x v="1"/>
    <x v="1"/>
    <x v="0"/>
    <n v="7"/>
    <n v="40"/>
    <n v="0.1"/>
    <x v="0"/>
    <n v="280"/>
    <n v="28"/>
    <n v="252"/>
  </r>
  <r>
    <x v="341"/>
    <x v="1"/>
    <x v="1"/>
    <x v="2"/>
    <n v="11"/>
    <n v="40"/>
    <n v="0.05"/>
    <x v="1"/>
    <n v="440"/>
    <n v="22"/>
    <n v="418"/>
  </r>
  <r>
    <x v="342"/>
    <x v="1"/>
    <x v="0"/>
    <x v="4"/>
    <n v="9"/>
    <n v="80"/>
    <n v="0.06"/>
    <x v="2"/>
    <n v="720"/>
    <n v="43.2"/>
    <n v="676.8"/>
  </r>
  <r>
    <x v="343"/>
    <x v="1"/>
    <x v="0"/>
    <x v="1"/>
    <n v="21"/>
    <n v="80"/>
    <n v="0.04"/>
    <x v="3"/>
    <n v="1680"/>
    <n v="67.2"/>
    <n v="1612.8"/>
  </r>
  <r>
    <x v="344"/>
    <x v="1"/>
    <x v="1"/>
    <x v="2"/>
    <n v="2"/>
    <n v="40"/>
    <n v="0.03"/>
    <x v="4"/>
    <n v="80"/>
    <n v="2.4"/>
    <n v="77.6"/>
  </r>
  <r>
    <x v="345"/>
    <x v="2"/>
    <x v="3"/>
    <x v="2"/>
    <n v="17"/>
    <n v="16"/>
    <n v="0.05"/>
    <x v="5"/>
    <n v="272"/>
    <n v="13.6"/>
    <n v="258.4"/>
  </r>
  <r>
    <x v="346"/>
    <x v="2"/>
    <x v="1"/>
    <x v="0"/>
    <n v="18"/>
    <n v="40"/>
    <n v="0.06"/>
    <x v="6"/>
    <n v="720"/>
    <n v="43.2"/>
    <n v="676.8"/>
  </r>
  <r>
    <x v="347"/>
    <x v="2"/>
    <x v="1"/>
    <x v="0"/>
    <n v="9"/>
    <n v="40"/>
    <n v="0.01"/>
    <x v="7"/>
    <n v="360"/>
    <n v="3.6"/>
    <n v="356.4"/>
  </r>
  <r>
    <x v="348"/>
    <x v="2"/>
    <x v="1"/>
    <x v="1"/>
    <n v="7"/>
    <n v="40"/>
    <n v="0.01"/>
    <x v="8"/>
    <n v="280"/>
    <n v="2.8"/>
    <n v="277.2"/>
  </r>
  <r>
    <x v="349"/>
    <x v="2"/>
    <x v="2"/>
    <x v="2"/>
    <n v="12"/>
    <n v="230"/>
    <n v="0.06"/>
    <x v="9"/>
    <n v="2760"/>
    <n v="165.6"/>
    <n v="2594.4"/>
  </r>
  <r>
    <x v="350"/>
    <x v="2"/>
    <x v="3"/>
    <x v="1"/>
    <n v="22"/>
    <n v="16"/>
    <n v="0.04"/>
    <x v="0"/>
    <n v="352"/>
    <n v="14.08"/>
    <n v="337.92"/>
  </r>
  <r>
    <x v="351"/>
    <x v="3"/>
    <x v="4"/>
    <x v="0"/>
    <n v="5"/>
    <n v="150"/>
    <n v="0.11"/>
    <x v="1"/>
    <n v="750"/>
    <n v="82.5"/>
    <n v="667.5"/>
  </r>
  <r>
    <x v="352"/>
    <x v="3"/>
    <x v="0"/>
    <x v="1"/>
    <n v="14"/>
    <n v="80"/>
    <n v="0.11"/>
    <x v="2"/>
    <n v="1120"/>
    <n v="123.2"/>
    <n v="996.8"/>
  </r>
  <r>
    <x v="353"/>
    <x v="3"/>
    <x v="3"/>
    <x v="2"/>
    <n v="8"/>
    <n v="16"/>
    <n v="0.03"/>
    <x v="3"/>
    <n v="128"/>
    <n v="3.84"/>
    <n v="124.16"/>
  </r>
  <r>
    <x v="354"/>
    <x v="3"/>
    <x v="2"/>
    <x v="2"/>
    <n v="6"/>
    <n v="230"/>
    <n v="0.05"/>
    <x v="4"/>
    <n v="1380"/>
    <n v="69"/>
    <n v="1311"/>
  </r>
  <r>
    <x v="355"/>
    <x v="3"/>
    <x v="3"/>
    <x v="3"/>
    <n v="7"/>
    <n v="16"/>
    <n v="0.08"/>
    <x v="5"/>
    <n v="112"/>
    <n v="8.96"/>
    <n v="103.04"/>
  </r>
  <r>
    <x v="356"/>
    <x v="3"/>
    <x v="0"/>
    <x v="1"/>
    <n v="16"/>
    <n v="80"/>
    <n v="0.04"/>
    <x v="6"/>
    <n v="1280"/>
    <n v="51.2"/>
    <n v="1228.8"/>
  </r>
  <r>
    <x v="357"/>
    <x v="3"/>
    <x v="4"/>
    <x v="0"/>
    <n v="17"/>
    <n v="150"/>
    <n v="0.12"/>
    <x v="7"/>
    <n v="2550"/>
    <n v="306"/>
    <n v="2244"/>
  </r>
  <r>
    <x v="358"/>
    <x v="3"/>
    <x v="3"/>
    <x v="1"/>
    <n v="7"/>
    <n v="16"/>
    <n v="0.08"/>
    <x v="8"/>
    <n v="112"/>
    <n v="8.96"/>
    <n v="103.04"/>
  </r>
  <r>
    <x v="359"/>
    <x v="4"/>
    <x v="3"/>
    <x v="0"/>
    <n v="21"/>
    <n v="16"/>
    <n v="0.09"/>
    <x v="9"/>
    <n v="336"/>
    <n v="30.24"/>
    <n v="305.76"/>
  </r>
  <r>
    <x v="360"/>
    <x v="4"/>
    <x v="3"/>
    <x v="2"/>
    <n v="23"/>
    <n v="16"/>
    <n v="0.11"/>
    <x v="10"/>
    <n v="368"/>
    <n v="40.48"/>
    <n v="327.52"/>
  </r>
  <r>
    <x v="361"/>
    <x v="4"/>
    <x v="4"/>
    <x v="2"/>
    <n v="2"/>
    <n v="150"/>
    <n v="0.02"/>
    <x v="11"/>
    <n v="300"/>
    <n v="6"/>
    <n v="294"/>
  </r>
  <r>
    <x v="362"/>
    <x v="4"/>
    <x v="4"/>
    <x v="0"/>
    <n v="22"/>
    <n v="150"/>
    <n v="0.07"/>
    <x v="0"/>
    <n v="3300"/>
    <n v="231"/>
    <n v="3069"/>
  </r>
  <r>
    <x v="363"/>
    <x v="4"/>
    <x v="1"/>
    <x v="3"/>
    <n v="22"/>
    <n v="40"/>
    <n v="0.01"/>
    <x v="1"/>
    <n v="880"/>
    <n v="8.8"/>
    <n v="871.2"/>
  </r>
  <r>
    <x v="364"/>
    <x v="4"/>
    <x v="0"/>
    <x v="1"/>
    <n v="10"/>
    <n v="80"/>
    <n v="0.11"/>
    <x v="2"/>
    <n v="800"/>
    <n v="88"/>
    <n v="712"/>
  </r>
  <r>
    <x v="365"/>
    <x v="4"/>
    <x v="0"/>
    <x v="4"/>
    <n v="13"/>
    <n v="80"/>
    <n v="0.05"/>
    <x v="3"/>
    <n v="1040"/>
    <n v="52"/>
    <n v="988"/>
  </r>
  <r>
    <x v="366"/>
    <x v="4"/>
    <x v="2"/>
    <x v="3"/>
    <n v="11"/>
    <n v="230"/>
    <n v="0.12"/>
    <x v="4"/>
    <n v="2530"/>
    <n v="303.6"/>
    <n v="2226.4"/>
  </r>
  <r>
    <x v="367"/>
    <x v="4"/>
    <x v="2"/>
    <x v="0"/>
    <n v="9"/>
    <n v="230"/>
    <n v="0.07"/>
    <x v="5"/>
    <n v="2070"/>
    <n v="144.9"/>
    <n v="1925.1"/>
  </r>
  <r>
    <x v="368"/>
    <x v="4"/>
    <x v="2"/>
    <x v="3"/>
    <n v="16"/>
    <n v="230"/>
    <n v="0.11"/>
    <x v="6"/>
    <n v="3680"/>
    <n v="404.8"/>
    <n v="3275.2"/>
  </r>
  <r>
    <x v="369"/>
    <x v="4"/>
    <x v="2"/>
    <x v="3"/>
    <n v="18"/>
    <n v="230"/>
    <n v="0.01"/>
    <x v="7"/>
    <n v="4140"/>
    <n v="41.4"/>
    <n v="4098.6"/>
  </r>
  <r>
    <x v="370"/>
    <x v="4"/>
    <x v="3"/>
    <x v="1"/>
    <n v="15"/>
    <n v="16"/>
    <n v="0.02"/>
    <x v="8"/>
    <n v="240"/>
    <n v="4.8"/>
    <n v="235.2"/>
  </r>
  <r>
    <x v="371"/>
    <x v="4"/>
    <x v="1"/>
    <x v="4"/>
    <n v="18"/>
    <n v="40"/>
    <n v="0.06"/>
    <x v="9"/>
    <n v="720"/>
    <n v="43.2"/>
    <n v="676.8"/>
  </r>
  <r>
    <x v="372"/>
    <x v="4"/>
    <x v="1"/>
    <x v="3"/>
    <n v="18"/>
    <n v="40"/>
    <n v="0.04"/>
    <x v="10"/>
    <n v="720"/>
    <n v="28.8"/>
    <n v="691.2"/>
  </r>
  <r>
    <x v="373"/>
    <x v="4"/>
    <x v="3"/>
    <x v="3"/>
    <n v="22"/>
    <n v="16"/>
    <n v="0.03"/>
    <x v="11"/>
    <n v="352"/>
    <n v="10.56"/>
    <n v="341.44"/>
  </r>
  <r>
    <x v="374"/>
    <x v="4"/>
    <x v="3"/>
    <x v="2"/>
    <n v="12"/>
    <n v="16"/>
    <n v="0.11"/>
    <x v="0"/>
    <n v="192"/>
    <n v="21.12"/>
    <n v="170.88"/>
  </r>
  <r>
    <x v="375"/>
    <x v="5"/>
    <x v="0"/>
    <x v="0"/>
    <n v="20"/>
    <n v="80"/>
    <n v="0.01"/>
    <x v="1"/>
    <n v="1600"/>
    <n v="16"/>
    <n v="1584"/>
  </r>
  <r>
    <x v="376"/>
    <x v="5"/>
    <x v="2"/>
    <x v="2"/>
    <n v="10"/>
    <n v="230"/>
    <n v="0.02"/>
    <x v="2"/>
    <n v="2300"/>
    <n v="46"/>
    <n v="2254"/>
  </r>
  <r>
    <x v="377"/>
    <x v="5"/>
    <x v="2"/>
    <x v="1"/>
    <n v="9"/>
    <n v="230"/>
    <n v="0.03"/>
    <x v="3"/>
    <n v="2070"/>
    <n v="62.1"/>
    <n v="2007.9"/>
  </r>
  <r>
    <x v="378"/>
    <x v="5"/>
    <x v="0"/>
    <x v="1"/>
    <n v="17"/>
    <n v="80"/>
    <n v="0.03"/>
    <x v="4"/>
    <n v="1360"/>
    <n v="40.8"/>
    <n v="1319.2"/>
  </r>
  <r>
    <x v="379"/>
    <x v="5"/>
    <x v="1"/>
    <x v="4"/>
    <n v="4"/>
    <n v="40"/>
    <n v="0.09"/>
    <x v="5"/>
    <n v="160"/>
    <n v="14.4"/>
    <n v="145.6"/>
  </r>
  <r>
    <x v="380"/>
    <x v="5"/>
    <x v="4"/>
    <x v="1"/>
    <n v="16"/>
    <n v="150"/>
    <n v="0.03"/>
    <x v="6"/>
    <n v="2400"/>
    <n v="72"/>
    <n v="2328"/>
  </r>
  <r>
    <x v="381"/>
    <x v="5"/>
    <x v="0"/>
    <x v="2"/>
    <n v="8"/>
    <n v="80"/>
    <n v="0.02"/>
    <x v="7"/>
    <n v="640"/>
    <n v="12.8"/>
    <n v="627.2"/>
  </r>
  <r>
    <x v="382"/>
    <x v="5"/>
    <x v="1"/>
    <x v="3"/>
    <n v="23"/>
    <n v="40"/>
    <n v="0.06"/>
    <x v="8"/>
    <n v="920"/>
    <n v="55.2"/>
    <n v="864.8"/>
  </r>
  <r>
    <x v="383"/>
    <x v="6"/>
    <x v="4"/>
    <x v="3"/>
    <n v="20"/>
    <n v="150"/>
    <n v="0.1"/>
    <x v="9"/>
    <n v="3000"/>
    <n v="300"/>
    <n v="2700"/>
  </r>
  <r>
    <x v="384"/>
    <x v="6"/>
    <x v="2"/>
    <x v="4"/>
    <n v="22"/>
    <n v="230"/>
    <n v="0.1"/>
    <x v="10"/>
    <n v="5060"/>
    <n v="506"/>
    <n v="4554"/>
  </r>
  <r>
    <x v="385"/>
    <x v="6"/>
    <x v="2"/>
    <x v="1"/>
    <n v="6"/>
    <n v="230"/>
    <n v="0.1"/>
    <x v="11"/>
    <n v="1380"/>
    <n v="138"/>
    <n v="1242"/>
  </r>
  <r>
    <x v="386"/>
    <x v="6"/>
    <x v="0"/>
    <x v="3"/>
    <n v="10"/>
    <n v="80"/>
    <n v="0.1"/>
    <x v="0"/>
    <n v="800"/>
    <n v="80"/>
    <n v="720"/>
  </r>
  <r>
    <x v="387"/>
    <x v="6"/>
    <x v="2"/>
    <x v="4"/>
    <n v="21"/>
    <n v="230"/>
    <n v="0.05"/>
    <x v="1"/>
    <n v="4830"/>
    <n v="241.5"/>
    <n v="4588.5"/>
  </r>
  <r>
    <x v="388"/>
    <x v="6"/>
    <x v="2"/>
    <x v="0"/>
    <n v="20"/>
    <n v="230"/>
    <n v="0.04"/>
    <x v="2"/>
    <n v="4600"/>
    <n v="184"/>
    <n v="4416"/>
  </r>
  <r>
    <x v="389"/>
    <x v="6"/>
    <x v="0"/>
    <x v="2"/>
    <n v="20"/>
    <n v="80"/>
    <n v="0.07"/>
    <x v="3"/>
    <n v="1600"/>
    <n v="112"/>
    <n v="1488"/>
  </r>
  <r>
    <x v="390"/>
    <x v="6"/>
    <x v="0"/>
    <x v="2"/>
    <n v="7"/>
    <n v="80"/>
    <n v="0.05"/>
    <x v="4"/>
    <n v="560"/>
    <n v="28"/>
    <n v="532"/>
  </r>
  <r>
    <x v="391"/>
    <x v="6"/>
    <x v="0"/>
    <x v="0"/>
    <n v="8"/>
    <n v="80"/>
    <n v="0.09"/>
    <x v="5"/>
    <n v="640"/>
    <n v="57.6"/>
    <n v="582.4"/>
  </r>
  <r>
    <x v="392"/>
    <x v="6"/>
    <x v="0"/>
    <x v="1"/>
    <n v="3"/>
    <n v="80"/>
    <n v="0.02"/>
    <x v="6"/>
    <n v="240"/>
    <n v="4.8"/>
    <n v="235.2"/>
  </r>
  <r>
    <x v="393"/>
    <x v="6"/>
    <x v="0"/>
    <x v="3"/>
    <n v="8"/>
    <n v="80"/>
    <n v="0.06"/>
    <x v="7"/>
    <n v="640"/>
    <n v="38.4"/>
    <n v="601.6"/>
  </r>
  <r>
    <x v="394"/>
    <x v="6"/>
    <x v="4"/>
    <x v="4"/>
    <n v="13"/>
    <n v="150"/>
    <n v="0.11"/>
    <x v="8"/>
    <n v="1950"/>
    <n v="214.5"/>
    <n v="1735.5"/>
  </r>
  <r>
    <x v="395"/>
    <x v="6"/>
    <x v="0"/>
    <x v="3"/>
    <n v="15"/>
    <n v="80"/>
    <n v="0.08"/>
    <x v="9"/>
    <n v="1200"/>
    <n v="96"/>
    <n v="1104"/>
  </r>
  <r>
    <x v="396"/>
    <x v="6"/>
    <x v="4"/>
    <x v="4"/>
    <n v="7"/>
    <n v="150"/>
    <n v="0.02"/>
    <x v="10"/>
    <n v="1050"/>
    <n v="21"/>
    <n v="1029"/>
  </r>
  <r>
    <x v="397"/>
    <x v="6"/>
    <x v="1"/>
    <x v="2"/>
    <n v="6"/>
    <n v="40"/>
    <n v="0.06"/>
    <x v="11"/>
    <n v="240"/>
    <n v="14.4"/>
    <n v="225.6"/>
  </r>
  <r>
    <x v="398"/>
    <x v="6"/>
    <x v="0"/>
    <x v="3"/>
    <n v="23"/>
    <n v="80"/>
    <n v="0.11"/>
    <x v="0"/>
    <n v="1840"/>
    <n v="202.4"/>
    <n v="1637.6"/>
  </r>
  <r>
    <x v="399"/>
    <x v="6"/>
    <x v="2"/>
    <x v="2"/>
    <n v="18"/>
    <n v="230"/>
    <n v="0.01"/>
    <x v="1"/>
    <n v="4140"/>
    <n v="41.4"/>
    <n v="4098.6"/>
  </r>
  <r>
    <x v="400"/>
    <x v="7"/>
    <x v="0"/>
    <x v="4"/>
    <n v="21"/>
    <n v="80"/>
    <n v="0.09"/>
    <x v="2"/>
    <n v="1680"/>
    <n v="151.2"/>
    <n v="1528.8"/>
  </r>
  <r>
    <x v="401"/>
    <x v="7"/>
    <x v="1"/>
    <x v="2"/>
    <n v="13"/>
    <n v="40"/>
    <n v="0.02"/>
    <x v="3"/>
    <n v="520"/>
    <n v="10.4"/>
    <n v="509.6"/>
  </r>
  <r>
    <x v="402"/>
    <x v="7"/>
    <x v="0"/>
    <x v="2"/>
    <n v="23"/>
    <n v="80"/>
    <n v="0.05"/>
    <x v="4"/>
    <n v="1840"/>
    <n v="92"/>
    <n v="1748"/>
  </r>
  <r>
    <x v="403"/>
    <x v="7"/>
    <x v="4"/>
    <x v="3"/>
    <n v="15"/>
    <n v="150"/>
    <n v="0.05"/>
    <x v="5"/>
    <n v="2250"/>
    <n v="112.5"/>
    <n v="2137.5"/>
  </r>
  <r>
    <x v="404"/>
    <x v="7"/>
    <x v="1"/>
    <x v="0"/>
    <n v="5"/>
    <n v="40"/>
    <n v="0.09"/>
    <x v="6"/>
    <n v="200"/>
    <n v="18"/>
    <n v="182"/>
  </r>
  <r>
    <x v="405"/>
    <x v="7"/>
    <x v="3"/>
    <x v="3"/>
    <n v="10"/>
    <n v="16"/>
    <n v="0.01"/>
    <x v="7"/>
    <n v="160"/>
    <n v="1.6"/>
    <n v="158.4"/>
  </r>
  <r>
    <x v="406"/>
    <x v="7"/>
    <x v="2"/>
    <x v="2"/>
    <n v="2"/>
    <n v="230"/>
    <n v="0.09"/>
    <x v="8"/>
    <n v="460"/>
    <n v="41.4"/>
    <n v="418.6"/>
  </r>
  <r>
    <x v="407"/>
    <x v="7"/>
    <x v="0"/>
    <x v="3"/>
    <n v="7"/>
    <n v="80"/>
    <n v="0.02"/>
    <x v="9"/>
    <n v="560"/>
    <n v="11.2"/>
    <n v="548.8"/>
  </r>
  <r>
    <x v="408"/>
    <x v="7"/>
    <x v="4"/>
    <x v="3"/>
    <n v="22"/>
    <n v="150"/>
    <n v="0.05"/>
    <x v="10"/>
    <n v="3300"/>
    <n v="165"/>
    <n v="3135"/>
  </r>
  <r>
    <x v="409"/>
    <x v="7"/>
    <x v="1"/>
    <x v="4"/>
    <n v="17"/>
    <n v="40"/>
    <n v="0.02"/>
    <x v="11"/>
    <n v="680"/>
    <n v="13.6"/>
    <n v="666.4"/>
  </r>
  <r>
    <x v="410"/>
    <x v="7"/>
    <x v="3"/>
    <x v="0"/>
    <n v="22"/>
    <n v="16"/>
    <n v="0.06"/>
    <x v="0"/>
    <n v="352"/>
    <n v="21.12"/>
    <n v="330.88"/>
  </r>
  <r>
    <x v="411"/>
    <x v="7"/>
    <x v="3"/>
    <x v="4"/>
    <n v="3"/>
    <n v="16"/>
    <n v="0.03"/>
    <x v="1"/>
    <n v="48"/>
    <n v="1.44"/>
    <n v="46.56"/>
  </r>
  <r>
    <x v="412"/>
    <x v="7"/>
    <x v="2"/>
    <x v="4"/>
    <n v="2"/>
    <n v="230"/>
    <n v="0.08"/>
    <x v="2"/>
    <n v="460"/>
    <n v="36.8"/>
    <n v="423.2"/>
  </r>
  <r>
    <x v="413"/>
    <x v="7"/>
    <x v="3"/>
    <x v="0"/>
    <n v="21"/>
    <n v="16"/>
    <n v="0.09"/>
    <x v="3"/>
    <n v="336"/>
    <n v="30.24"/>
    <n v="305.76"/>
  </r>
  <r>
    <x v="414"/>
    <x v="7"/>
    <x v="0"/>
    <x v="3"/>
    <n v="7"/>
    <n v="80"/>
    <n v="0.07"/>
    <x v="4"/>
    <n v="560"/>
    <n v="39.2"/>
    <n v="520.8"/>
  </r>
  <r>
    <x v="415"/>
    <x v="7"/>
    <x v="4"/>
    <x v="1"/>
    <n v="23"/>
    <n v="150"/>
    <n v="0.11"/>
    <x v="5"/>
    <n v="3450"/>
    <n v="379.5"/>
    <n v="3070.5"/>
  </r>
  <r>
    <x v="416"/>
    <x v="8"/>
    <x v="4"/>
    <x v="0"/>
    <n v="11"/>
    <n v="150"/>
    <n v="0.05"/>
    <x v="6"/>
    <n v="1650"/>
    <n v="82.5"/>
    <n v="1567.5"/>
  </r>
  <r>
    <x v="417"/>
    <x v="8"/>
    <x v="0"/>
    <x v="4"/>
    <n v="16"/>
    <n v="80"/>
    <n v="0.05"/>
    <x v="7"/>
    <n v="1280"/>
    <n v="64"/>
    <n v="1216"/>
  </r>
  <r>
    <x v="418"/>
    <x v="8"/>
    <x v="2"/>
    <x v="2"/>
    <n v="5"/>
    <n v="230"/>
    <n v="0.1"/>
    <x v="8"/>
    <n v="1150"/>
    <n v="115"/>
    <n v="1035"/>
  </r>
  <r>
    <x v="419"/>
    <x v="8"/>
    <x v="3"/>
    <x v="0"/>
    <n v="22"/>
    <n v="16"/>
    <n v="0.01"/>
    <x v="9"/>
    <n v="352"/>
    <n v="3.52"/>
    <n v="348.48"/>
  </r>
  <r>
    <x v="420"/>
    <x v="8"/>
    <x v="1"/>
    <x v="4"/>
    <n v="7"/>
    <n v="40"/>
    <n v="0.12"/>
    <x v="0"/>
    <n v="280"/>
    <n v="33.6"/>
    <n v="246.4"/>
  </r>
  <r>
    <x v="421"/>
    <x v="8"/>
    <x v="0"/>
    <x v="1"/>
    <n v="2"/>
    <n v="80"/>
    <n v="0.04"/>
    <x v="1"/>
    <n v="160"/>
    <n v="6.4"/>
    <n v="153.6"/>
  </r>
  <r>
    <x v="422"/>
    <x v="8"/>
    <x v="1"/>
    <x v="3"/>
    <n v="6"/>
    <n v="40"/>
    <n v="0.07"/>
    <x v="2"/>
    <n v="240"/>
    <n v="16.8"/>
    <n v="223.2"/>
  </r>
  <r>
    <x v="423"/>
    <x v="8"/>
    <x v="0"/>
    <x v="2"/>
    <n v="6"/>
    <n v="80"/>
    <n v="0.01"/>
    <x v="3"/>
    <n v="480"/>
    <n v="4.8"/>
    <n v="475.2"/>
  </r>
  <r>
    <x v="424"/>
    <x v="8"/>
    <x v="3"/>
    <x v="1"/>
    <n v="22"/>
    <n v="16"/>
    <n v="0.01"/>
    <x v="4"/>
    <n v="352"/>
    <n v="3.52"/>
    <n v="348.48"/>
  </r>
  <r>
    <x v="425"/>
    <x v="8"/>
    <x v="2"/>
    <x v="3"/>
    <n v="7"/>
    <n v="230"/>
    <n v="0.06"/>
    <x v="5"/>
    <n v="1610"/>
    <n v="96.6"/>
    <n v="1513.4"/>
  </r>
  <r>
    <x v="426"/>
    <x v="9"/>
    <x v="3"/>
    <x v="3"/>
    <n v="22"/>
    <n v="16"/>
    <n v="0.03"/>
    <x v="6"/>
    <n v="352"/>
    <n v="10.56"/>
    <n v="341.44"/>
  </r>
  <r>
    <x v="427"/>
    <x v="9"/>
    <x v="1"/>
    <x v="4"/>
    <n v="20"/>
    <n v="40"/>
    <n v="0.05"/>
    <x v="7"/>
    <n v="800"/>
    <n v="40"/>
    <n v="760"/>
  </r>
  <r>
    <x v="428"/>
    <x v="9"/>
    <x v="1"/>
    <x v="1"/>
    <n v="19"/>
    <n v="40"/>
    <n v="0.1"/>
    <x v="8"/>
    <n v="760"/>
    <n v="76"/>
    <n v="684"/>
  </r>
  <r>
    <x v="429"/>
    <x v="9"/>
    <x v="3"/>
    <x v="0"/>
    <n v="18"/>
    <n v="16"/>
    <n v="0.05"/>
    <x v="9"/>
    <n v="288"/>
    <n v="14.4"/>
    <n v="273.6"/>
  </r>
  <r>
    <x v="430"/>
    <x v="9"/>
    <x v="1"/>
    <x v="2"/>
    <n v="2"/>
    <n v="40"/>
    <n v="0.02"/>
    <x v="10"/>
    <n v="80"/>
    <n v="1.6"/>
    <n v="78.4"/>
  </r>
  <r>
    <x v="431"/>
    <x v="9"/>
    <x v="1"/>
    <x v="3"/>
    <n v="7"/>
    <n v="40"/>
    <n v="0.07"/>
    <x v="11"/>
    <n v="280"/>
    <n v="19.6"/>
    <n v="260.4"/>
  </r>
  <r>
    <x v="432"/>
    <x v="9"/>
    <x v="4"/>
    <x v="2"/>
    <n v="11"/>
    <n v="150"/>
    <n v="0.05"/>
    <x v="0"/>
    <n v="1650"/>
    <n v="82.5"/>
    <n v="1567.5"/>
  </r>
  <r>
    <x v="433"/>
    <x v="9"/>
    <x v="0"/>
    <x v="1"/>
    <n v="14"/>
    <n v="80"/>
    <n v="0.11"/>
    <x v="1"/>
    <n v="1120"/>
    <n v="123.2"/>
    <n v="996.8"/>
  </r>
  <r>
    <x v="434"/>
    <x v="9"/>
    <x v="1"/>
    <x v="4"/>
    <n v="7"/>
    <n v="40"/>
    <n v="0.04"/>
    <x v="2"/>
    <n v="280"/>
    <n v="11.2"/>
    <n v="268.8"/>
  </r>
  <r>
    <x v="435"/>
    <x v="9"/>
    <x v="0"/>
    <x v="3"/>
    <n v="14"/>
    <n v="80"/>
    <n v="0.05"/>
    <x v="3"/>
    <n v="1120"/>
    <n v="56"/>
    <n v="1064"/>
  </r>
  <r>
    <x v="436"/>
    <x v="10"/>
    <x v="3"/>
    <x v="2"/>
    <n v="12"/>
    <n v="16"/>
    <n v="0.11"/>
    <x v="4"/>
    <n v="192"/>
    <n v="21.12"/>
    <n v="170.88"/>
  </r>
  <r>
    <x v="437"/>
    <x v="10"/>
    <x v="1"/>
    <x v="4"/>
    <n v="11"/>
    <n v="40"/>
    <n v="0.05"/>
    <x v="5"/>
    <n v="440"/>
    <n v="22"/>
    <n v="418"/>
  </r>
  <r>
    <x v="438"/>
    <x v="10"/>
    <x v="3"/>
    <x v="2"/>
    <n v="14"/>
    <n v="16"/>
    <n v="0.01"/>
    <x v="6"/>
    <n v="224"/>
    <n v="2.24"/>
    <n v="221.76"/>
  </r>
  <r>
    <x v="439"/>
    <x v="10"/>
    <x v="2"/>
    <x v="3"/>
    <n v="2"/>
    <n v="230"/>
    <n v="0.08"/>
    <x v="7"/>
    <n v="460"/>
    <n v="36.8"/>
    <n v="423.2"/>
  </r>
  <r>
    <x v="440"/>
    <x v="10"/>
    <x v="3"/>
    <x v="0"/>
    <n v="20"/>
    <n v="16"/>
    <n v="0.11"/>
    <x v="8"/>
    <n v="320"/>
    <n v="35.2"/>
    <n v="284.8"/>
  </r>
  <r>
    <x v="441"/>
    <x v="10"/>
    <x v="3"/>
    <x v="2"/>
    <n v="6"/>
    <n v="16"/>
    <n v="0.06"/>
    <x v="9"/>
    <n v="96"/>
    <n v="5.76"/>
    <n v="90.24"/>
  </r>
  <r>
    <x v="442"/>
    <x v="10"/>
    <x v="0"/>
    <x v="3"/>
    <n v="17"/>
    <n v="80"/>
    <n v="0.05"/>
    <x v="10"/>
    <n v="1360"/>
    <n v="68"/>
    <n v="1292"/>
  </r>
  <r>
    <x v="443"/>
    <x v="10"/>
    <x v="1"/>
    <x v="0"/>
    <n v="2"/>
    <n v="40"/>
    <n v="0.12"/>
    <x v="11"/>
    <n v="80"/>
    <n v="9.6"/>
    <n v="70.4"/>
  </r>
  <r>
    <x v="444"/>
    <x v="10"/>
    <x v="3"/>
    <x v="0"/>
    <n v="7"/>
    <n v="16"/>
    <n v="0.12"/>
    <x v="0"/>
    <n v="112"/>
    <n v="13.44"/>
    <n v="98.56"/>
  </r>
  <r>
    <x v="445"/>
    <x v="10"/>
    <x v="4"/>
    <x v="0"/>
    <n v="7"/>
    <n v="150"/>
    <n v="0.02"/>
    <x v="1"/>
    <n v="1050"/>
    <n v="21"/>
    <n v="1029"/>
  </r>
  <r>
    <x v="446"/>
    <x v="10"/>
    <x v="0"/>
    <x v="0"/>
    <n v="20"/>
    <n v="80"/>
    <n v="0.01"/>
    <x v="2"/>
    <n v="1600"/>
    <n v="16"/>
    <n v="1584"/>
  </r>
  <r>
    <x v="447"/>
    <x v="10"/>
    <x v="0"/>
    <x v="3"/>
    <n v="11"/>
    <n v="80"/>
    <n v="0.01"/>
    <x v="3"/>
    <n v="880"/>
    <n v="8.8"/>
    <n v="871.2"/>
  </r>
  <r>
    <x v="448"/>
    <x v="10"/>
    <x v="0"/>
    <x v="2"/>
    <n v="10"/>
    <n v="80"/>
    <n v="0.08"/>
    <x v="4"/>
    <n v="800"/>
    <n v="64"/>
    <n v="736"/>
  </r>
  <r>
    <x v="449"/>
    <x v="11"/>
    <x v="0"/>
    <x v="1"/>
    <n v="5"/>
    <n v="80"/>
    <n v="0.04"/>
    <x v="5"/>
    <n v="400"/>
    <n v="16"/>
    <n v="384"/>
  </r>
  <r>
    <x v="450"/>
    <x v="11"/>
    <x v="0"/>
    <x v="3"/>
    <n v="4"/>
    <n v="80"/>
    <n v="0.11"/>
    <x v="6"/>
    <n v="320"/>
    <n v="35.2"/>
    <n v="284.8"/>
  </r>
  <r>
    <x v="451"/>
    <x v="11"/>
    <x v="3"/>
    <x v="2"/>
    <n v="3"/>
    <n v="16"/>
    <n v="0.05"/>
    <x v="7"/>
    <n v="48"/>
    <n v="2.4"/>
    <n v="45.6"/>
  </r>
  <r>
    <x v="452"/>
    <x v="11"/>
    <x v="0"/>
    <x v="0"/>
    <n v="9"/>
    <n v="80"/>
    <n v="0.04"/>
    <x v="8"/>
    <n v="720"/>
    <n v="28.8"/>
    <n v="691.2"/>
  </r>
  <r>
    <x v="453"/>
    <x v="11"/>
    <x v="0"/>
    <x v="4"/>
    <n v="16"/>
    <n v="80"/>
    <n v="0.09"/>
    <x v="9"/>
    <n v="1280"/>
    <n v="115.2"/>
    <n v="1164.8"/>
  </r>
  <r>
    <x v="454"/>
    <x v="12"/>
    <x v="3"/>
    <x v="1"/>
    <n v="7"/>
    <n v="16"/>
    <n v="0.08"/>
    <x v="10"/>
    <n v="112"/>
    <n v="8.96"/>
    <n v="103.04"/>
  </r>
  <r>
    <x v="455"/>
    <x v="12"/>
    <x v="4"/>
    <x v="1"/>
    <n v="16"/>
    <n v="150"/>
    <n v="0.05"/>
    <x v="11"/>
    <n v="2400"/>
    <n v="120"/>
    <n v="2280"/>
  </r>
  <r>
    <x v="456"/>
    <x v="12"/>
    <x v="3"/>
    <x v="3"/>
    <n v="10"/>
    <n v="16"/>
    <n v="0.04"/>
    <x v="0"/>
    <n v="160"/>
    <n v="6.4"/>
    <n v="153.6"/>
  </r>
  <r>
    <x v="457"/>
    <x v="12"/>
    <x v="1"/>
    <x v="1"/>
    <n v="4"/>
    <n v="40"/>
    <n v="0.03"/>
    <x v="1"/>
    <n v="160"/>
    <n v="4.8"/>
    <n v="155.2"/>
  </r>
  <r>
    <x v="458"/>
    <x v="12"/>
    <x v="1"/>
    <x v="1"/>
    <n v="15"/>
    <n v="40"/>
    <n v="0.02"/>
    <x v="2"/>
    <n v="600"/>
    <n v="12"/>
    <n v="588"/>
  </r>
  <r>
    <x v="459"/>
    <x v="12"/>
    <x v="0"/>
    <x v="2"/>
    <n v="6"/>
    <n v="80"/>
    <n v="0.09"/>
    <x v="3"/>
    <n v="480"/>
    <n v="43.2"/>
    <n v="436.8"/>
  </r>
  <r>
    <x v="460"/>
    <x v="12"/>
    <x v="4"/>
    <x v="0"/>
    <n v="20"/>
    <n v="150"/>
    <n v="0.01"/>
    <x v="4"/>
    <n v="3000"/>
    <n v="30"/>
    <n v="2970"/>
  </r>
  <r>
    <x v="461"/>
    <x v="12"/>
    <x v="3"/>
    <x v="0"/>
    <n v="7"/>
    <n v="16"/>
    <n v="0.08"/>
    <x v="5"/>
    <n v="112"/>
    <n v="8.96"/>
    <n v="103.04"/>
  </r>
  <r>
    <x v="462"/>
    <x v="12"/>
    <x v="0"/>
    <x v="1"/>
    <n v="2"/>
    <n v="80"/>
    <n v="0.07"/>
    <x v="6"/>
    <n v="160"/>
    <n v="11.2"/>
    <n v="148.8"/>
  </r>
  <r>
    <x v="463"/>
    <x v="12"/>
    <x v="1"/>
    <x v="1"/>
    <n v="23"/>
    <n v="40"/>
    <n v="0.06"/>
    <x v="7"/>
    <n v="920"/>
    <n v="55.2"/>
    <n v="864.8"/>
  </r>
  <r>
    <x v="464"/>
    <x v="12"/>
    <x v="3"/>
    <x v="0"/>
    <n v="12"/>
    <n v="16"/>
    <n v="0.11"/>
    <x v="8"/>
    <n v="192"/>
    <n v="21.12"/>
    <n v="170.88"/>
  </r>
  <r>
    <x v="465"/>
    <x v="12"/>
    <x v="2"/>
    <x v="3"/>
    <n v="2"/>
    <n v="230"/>
    <n v="0.09"/>
    <x v="9"/>
    <n v="460"/>
    <n v="41.4"/>
    <n v="418.6"/>
  </r>
  <r>
    <x v="466"/>
    <x v="12"/>
    <x v="4"/>
    <x v="0"/>
    <n v="4"/>
    <n v="150"/>
    <n v="0.06"/>
    <x v="10"/>
    <n v="600"/>
    <n v="36"/>
    <n v="564"/>
  </r>
  <r>
    <x v="467"/>
    <x v="12"/>
    <x v="1"/>
    <x v="0"/>
    <n v="23"/>
    <n v="40"/>
    <n v="0.07"/>
    <x v="11"/>
    <n v="920"/>
    <n v="64.4"/>
    <n v="855.6"/>
  </r>
  <r>
    <x v="468"/>
    <x v="12"/>
    <x v="3"/>
    <x v="4"/>
    <n v="2"/>
    <n v="16"/>
    <n v="0.04"/>
    <x v="0"/>
    <n v="32"/>
    <n v="1.28"/>
    <n v="30.72"/>
  </r>
  <r>
    <x v="469"/>
    <x v="12"/>
    <x v="4"/>
    <x v="3"/>
    <n v="7"/>
    <n v="150"/>
    <n v="0.05"/>
    <x v="1"/>
    <n v="1050"/>
    <n v="52.5"/>
    <n v="997.5"/>
  </r>
  <r>
    <x v="470"/>
    <x v="13"/>
    <x v="1"/>
    <x v="0"/>
    <n v="15"/>
    <n v="40"/>
    <n v="0.06"/>
    <x v="2"/>
    <n v="600"/>
    <n v="36"/>
    <n v="564"/>
  </r>
  <r>
    <x v="471"/>
    <x v="13"/>
    <x v="0"/>
    <x v="3"/>
    <n v="16"/>
    <n v="80"/>
    <n v="0.05"/>
    <x v="3"/>
    <n v="1280"/>
    <n v="64"/>
    <n v="1216"/>
  </r>
  <r>
    <x v="472"/>
    <x v="13"/>
    <x v="1"/>
    <x v="4"/>
    <n v="16"/>
    <n v="40"/>
    <n v="0.11"/>
    <x v="4"/>
    <n v="640"/>
    <n v="70.4"/>
    <n v="569.6"/>
  </r>
  <r>
    <x v="473"/>
    <x v="13"/>
    <x v="3"/>
    <x v="4"/>
    <n v="23"/>
    <n v="16"/>
    <n v="0.01"/>
    <x v="5"/>
    <n v="368"/>
    <n v="3.68"/>
    <n v="364.32"/>
  </r>
  <r>
    <x v="474"/>
    <x v="13"/>
    <x v="2"/>
    <x v="1"/>
    <n v="12"/>
    <n v="230"/>
    <n v="0.03"/>
    <x v="6"/>
    <n v="2760"/>
    <n v="82.8"/>
    <n v="2677.2"/>
  </r>
  <r>
    <x v="475"/>
    <x v="13"/>
    <x v="3"/>
    <x v="0"/>
    <n v="4"/>
    <n v="16"/>
    <n v="0.12"/>
    <x v="7"/>
    <n v="64"/>
    <n v="7.68"/>
    <n v="56.32"/>
  </r>
  <r>
    <x v="476"/>
    <x v="13"/>
    <x v="4"/>
    <x v="3"/>
    <n v="3"/>
    <n v="150"/>
    <n v="0.01"/>
    <x v="8"/>
    <n v="450"/>
    <n v="4.5"/>
    <n v="445.5"/>
  </r>
  <r>
    <x v="477"/>
    <x v="13"/>
    <x v="4"/>
    <x v="1"/>
    <n v="10"/>
    <n v="150"/>
    <n v="0.01"/>
    <x v="9"/>
    <n v="1500"/>
    <n v="15"/>
    <n v="1485"/>
  </r>
  <r>
    <x v="478"/>
    <x v="13"/>
    <x v="0"/>
    <x v="1"/>
    <n v="13"/>
    <n v="80"/>
    <n v="0.06"/>
    <x v="10"/>
    <n v="1040"/>
    <n v="62.4"/>
    <n v="977.6"/>
  </r>
  <r>
    <x v="479"/>
    <x v="13"/>
    <x v="2"/>
    <x v="2"/>
    <n v="15"/>
    <n v="230"/>
    <n v="0.04"/>
    <x v="11"/>
    <n v="3450"/>
    <n v="138"/>
    <n v="3312"/>
  </r>
  <r>
    <x v="480"/>
    <x v="13"/>
    <x v="4"/>
    <x v="0"/>
    <n v="23"/>
    <n v="150"/>
    <n v="0.1"/>
    <x v="0"/>
    <n v="3450"/>
    <n v="345"/>
    <n v="3105"/>
  </r>
  <r>
    <x v="481"/>
    <x v="13"/>
    <x v="4"/>
    <x v="1"/>
    <n v="15"/>
    <n v="150"/>
    <n v="0.12"/>
    <x v="1"/>
    <n v="2250"/>
    <n v="270"/>
    <n v="1980"/>
  </r>
  <r>
    <x v="482"/>
    <x v="13"/>
    <x v="4"/>
    <x v="2"/>
    <n v="20"/>
    <n v="150"/>
    <n v="0.12"/>
    <x v="2"/>
    <n v="3000"/>
    <n v="360"/>
    <n v="2640"/>
  </r>
  <r>
    <x v="483"/>
    <x v="13"/>
    <x v="1"/>
    <x v="3"/>
    <n v="13"/>
    <n v="40"/>
    <n v="0.09"/>
    <x v="3"/>
    <n v="520"/>
    <n v="46.8"/>
    <n v="473.2"/>
  </r>
  <r>
    <x v="484"/>
    <x v="14"/>
    <x v="3"/>
    <x v="2"/>
    <n v="11"/>
    <n v="16"/>
    <n v="0.04"/>
    <x v="4"/>
    <n v="176"/>
    <n v="7.04"/>
    <n v="168.96"/>
  </r>
  <r>
    <x v="485"/>
    <x v="14"/>
    <x v="4"/>
    <x v="2"/>
    <n v="20"/>
    <n v="150"/>
    <n v="0.04"/>
    <x v="5"/>
    <n v="3000"/>
    <n v="120"/>
    <n v="2880"/>
  </r>
  <r>
    <x v="486"/>
    <x v="14"/>
    <x v="1"/>
    <x v="0"/>
    <n v="18"/>
    <n v="40"/>
    <n v="0.11"/>
    <x v="6"/>
    <n v="720"/>
    <n v="79.2"/>
    <n v="640.8"/>
  </r>
  <r>
    <x v="487"/>
    <x v="14"/>
    <x v="1"/>
    <x v="2"/>
    <n v="2"/>
    <n v="40"/>
    <n v="0.03"/>
    <x v="7"/>
    <n v="80"/>
    <n v="2.4"/>
    <n v="77.6"/>
  </r>
  <r>
    <x v="488"/>
    <x v="14"/>
    <x v="3"/>
    <x v="3"/>
    <n v="15"/>
    <n v="16"/>
    <n v="0.12"/>
    <x v="8"/>
    <n v="240"/>
    <n v="28.8"/>
    <n v="211.2"/>
  </r>
  <r>
    <x v="489"/>
    <x v="14"/>
    <x v="3"/>
    <x v="2"/>
    <n v="9"/>
    <n v="16"/>
    <n v="0.05"/>
    <x v="9"/>
    <n v="144"/>
    <n v="7.2"/>
    <n v="136.8"/>
  </r>
  <r>
    <x v="490"/>
    <x v="14"/>
    <x v="1"/>
    <x v="4"/>
    <n v="7"/>
    <n v="40"/>
    <n v="0.05"/>
    <x v="0"/>
    <n v="280"/>
    <n v="14"/>
    <n v="266"/>
  </r>
  <r>
    <x v="491"/>
    <x v="14"/>
    <x v="4"/>
    <x v="4"/>
    <n v="4"/>
    <n v="150"/>
    <n v="0.05"/>
    <x v="1"/>
    <n v="600"/>
    <n v="30"/>
    <n v="570"/>
  </r>
  <r>
    <x v="492"/>
    <x v="14"/>
    <x v="2"/>
    <x v="0"/>
    <n v="15"/>
    <n v="230"/>
    <n v="0.05"/>
    <x v="2"/>
    <n v="3450"/>
    <n v="172.5"/>
    <n v="3277.5"/>
  </r>
  <r>
    <x v="493"/>
    <x v="15"/>
    <x v="1"/>
    <x v="1"/>
    <n v="12"/>
    <n v="40"/>
    <n v="0.1"/>
    <x v="3"/>
    <n v="480"/>
    <n v="48"/>
    <n v="432"/>
  </r>
  <r>
    <x v="494"/>
    <x v="15"/>
    <x v="2"/>
    <x v="3"/>
    <n v="23"/>
    <n v="230"/>
    <n v="0.06"/>
    <x v="4"/>
    <n v="5290"/>
    <n v="317.4"/>
    <n v="4972.6"/>
  </r>
  <r>
    <x v="495"/>
    <x v="15"/>
    <x v="3"/>
    <x v="0"/>
    <n v="11"/>
    <n v="16"/>
    <n v="0.09"/>
    <x v="5"/>
    <n v="176"/>
    <n v="15.84"/>
    <n v="160.16"/>
  </r>
  <r>
    <x v="496"/>
    <x v="15"/>
    <x v="4"/>
    <x v="0"/>
    <n v="9"/>
    <n v="150"/>
    <n v="0.1"/>
    <x v="6"/>
    <n v="1350"/>
    <n v="135"/>
    <n v="1215"/>
  </r>
  <r>
    <x v="497"/>
    <x v="15"/>
    <x v="0"/>
    <x v="0"/>
    <n v="18"/>
    <n v="80"/>
    <n v="0.02"/>
    <x v="7"/>
    <n v="1440"/>
    <n v="28.8"/>
    <n v="1411.2"/>
  </r>
  <r>
    <x v="498"/>
    <x v="15"/>
    <x v="1"/>
    <x v="4"/>
    <n v="23"/>
    <n v="40"/>
    <n v="0.04"/>
    <x v="8"/>
    <n v="920"/>
    <n v="36.8"/>
    <n v="883.2"/>
  </r>
  <r>
    <x v="499"/>
    <x v="15"/>
    <x v="3"/>
    <x v="4"/>
    <n v="17"/>
    <n v="16"/>
    <n v="0.1"/>
    <x v="9"/>
    <n v="272"/>
    <n v="27.2"/>
    <n v="244.8"/>
  </r>
  <r>
    <x v="500"/>
    <x v="15"/>
    <x v="4"/>
    <x v="4"/>
    <n v="17"/>
    <n v="150"/>
    <n v="0.02"/>
    <x v="10"/>
    <n v="2550"/>
    <n v="51"/>
    <n v="2499"/>
  </r>
  <r>
    <x v="501"/>
    <x v="15"/>
    <x v="0"/>
    <x v="3"/>
    <n v="21"/>
    <n v="80"/>
    <n v="0.02"/>
    <x v="11"/>
    <n v="1680"/>
    <n v="33.6"/>
    <n v="1646.4"/>
  </r>
  <r>
    <x v="502"/>
    <x v="15"/>
    <x v="1"/>
    <x v="3"/>
    <n v="11"/>
    <n v="40"/>
    <n v="0.06"/>
    <x v="0"/>
    <n v="440"/>
    <n v="26.4"/>
    <n v="413.6"/>
  </r>
  <r>
    <x v="503"/>
    <x v="15"/>
    <x v="1"/>
    <x v="0"/>
    <n v="19"/>
    <n v="40"/>
    <n v="0.04"/>
    <x v="1"/>
    <n v="760"/>
    <n v="30.4"/>
    <n v="729.6"/>
  </r>
  <r>
    <x v="504"/>
    <x v="15"/>
    <x v="1"/>
    <x v="0"/>
    <n v="23"/>
    <n v="40"/>
    <n v="0.03"/>
    <x v="2"/>
    <n v="920"/>
    <n v="27.6"/>
    <n v="892.4"/>
  </r>
  <r>
    <x v="505"/>
    <x v="15"/>
    <x v="2"/>
    <x v="1"/>
    <n v="14"/>
    <n v="230"/>
    <n v="0.05"/>
    <x v="3"/>
    <n v="3220"/>
    <n v="161"/>
    <n v="3059"/>
  </r>
  <r>
    <x v="506"/>
    <x v="15"/>
    <x v="1"/>
    <x v="2"/>
    <n v="18"/>
    <n v="40"/>
    <n v="0.03"/>
    <x v="4"/>
    <n v="720"/>
    <n v="21.6"/>
    <n v="698.4"/>
  </r>
  <r>
    <x v="507"/>
    <x v="15"/>
    <x v="4"/>
    <x v="1"/>
    <n v="2"/>
    <n v="150"/>
    <n v="0.09"/>
    <x v="5"/>
    <n v="300"/>
    <n v="27"/>
    <n v="273"/>
  </r>
  <r>
    <x v="508"/>
    <x v="15"/>
    <x v="2"/>
    <x v="1"/>
    <n v="7"/>
    <n v="230"/>
    <n v="0.05"/>
    <x v="6"/>
    <n v="1610"/>
    <n v="80.5"/>
    <n v="1529.5"/>
  </r>
  <r>
    <x v="509"/>
    <x v="16"/>
    <x v="4"/>
    <x v="2"/>
    <n v="9"/>
    <n v="150"/>
    <n v="0.02"/>
    <x v="7"/>
    <n v="1350"/>
    <n v="27"/>
    <n v="1323"/>
  </r>
  <r>
    <x v="510"/>
    <x v="16"/>
    <x v="1"/>
    <x v="4"/>
    <n v="3"/>
    <n v="40"/>
    <n v="0.03"/>
    <x v="8"/>
    <n v="120"/>
    <n v="3.6"/>
    <n v="116.4"/>
  </r>
  <r>
    <x v="511"/>
    <x v="16"/>
    <x v="0"/>
    <x v="3"/>
    <n v="2"/>
    <n v="80"/>
    <n v="0.08"/>
    <x v="9"/>
    <n v="160"/>
    <n v="12.8"/>
    <n v="147.2"/>
  </r>
  <r>
    <x v="512"/>
    <x v="16"/>
    <x v="3"/>
    <x v="4"/>
    <n v="19"/>
    <n v="16"/>
    <n v="0.02"/>
    <x v="10"/>
    <n v="304"/>
    <n v="6.08"/>
    <n v="297.92"/>
  </r>
  <r>
    <x v="513"/>
    <x v="16"/>
    <x v="3"/>
    <x v="1"/>
    <n v="21"/>
    <n v="16"/>
    <n v="0.02"/>
    <x v="11"/>
    <n v="336"/>
    <n v="6.72"/>
    <n v="329.28"/>
  </r>
  <r>
    <x v="514"/>
    <x v="16"/>
    <x v="0"/>
    <x v="3"/>
    <n v="21"/>
    <n v="80"/>
    <n v="0.05"/>
    <x v="0"/>
    <n v="1680"/>
    <n v="84"/>
    <n v="1596"/>
  </r>
  <r>
    <x v="515"/>
    <x v="16"/>
    <x v="2"/>
    <x v="4"/>
    <n v="3"/>
    <n v="230"/>
    <n v="0.1"/>
    <x v="1"/>
    <n v="690"/>
    <n v="69"/>
    <n v="621"/>
  </r>
  <r>
    <x v="516"/>
    <x v="16"/>
    <x v="1"/>
    <x v="2"/>
    <n v="4"/>
    <n v="40"/>
    <n v="0.11"/>
    <x v="2"/>
    <n v="160"/>
    <n v="17.6"/>
    <n v="142.4"/>
  </r>
  <r>
    <x v="517"/>
    <x v="16"/>
    <x v="4"/>
    <x v="4"/>
    <n v="7"/>
    <n v="150"/>
    <n v="0.03"/>
    <x v="3"/>
    <n v="1050"/>
    <n v="31.5"/>
    <n v="1018.5"/>
  </r>
  <r>
    <x v="518"/>
    <x v="16"/>
    <x v="3"/>
    <x v="2"/>
    <n v="11"/>
    <n v="16"/>
    <n v="0.12"/>
    <x v="4"/>
    <n v="176"/>
    <n v="21.12"/>
    <n v="154.88"/>
  </r>
  <r>
    <x v="519"/>
    <x v="16"/>
    <x v="0"/>
    <x v="0"/>
    <n v="17"/>
    <n v="80"/>
    <n v="0.07"/>
    <x v="5"/>
    <n v="1360"/>
    <n v="95.2"/>
    <n v="1264.8"/>
  </r>
  <r>
    <x v="520"/>
    <x v="16"/>
    <x v="3"/>
    <x v="3"/>
    <n v="5"/>
    <n v="16"/>
    <n v="0.09"/>
    <x v="6"/>
    <n v="80"/>
    <n v="7.2"/>
    <n v="72.8"/>
  </r>
  <r>
    <x v="521"/>
    <x v="16"/>
    <x v="3"/>
    <x v="4"/>
    <n v="13"/>
    <n v="16"/>
    <n v="0.07"/>
    <x v="7"/>
    <n v="208"/>
    <n v="14.56"/>
    <n v="193.44"/>
  </r>
  <r>
    <x v="522"/>
    <x v="16"/>
    <x v="0"/>
    <x v="4"/>
    <n v="9"/>
    <n v="80"/>
    <n v="0.02"/>
    <x v="8"/>
    <n v="720"/>
    <n v="14.4"/>
    <n v="705.6"/>
  </r>
  <r>
    <x v="523"/>
    <x v="17"/>
    <x v="0"/>
    <x v="4"/>
    <n v="9"/>
    <n v="80"/>
    <n v="0.02"/>
    <x v="9"/>
    <n v="720"/>
    <n v="14.4"/>
    <n v="705.6"/>
  </r>
  <r>
    <x v="524"/>
    <x v="17"/>
    <x v="0"/>
    <x v="3"/>
    <n v="22"/>
    <n v="80"/>
    <n v="0.03"/>
    <x v="10"/>
    <n v="1760"/>
    <n v="52.8"/>
    <n v="1707.2"/>
  </r>
  <r>
    <x v="525"/>
    <x v="17"/>
    <x v="4"/>
    <x v="0"/>
    <n v="13"/>
    <n v="150"/>
    <n v="0.05"/>
    <x v="11"/>
    <n v="1950"/>
    <n v="97.5"/>
    <n v="1852.5"/>
  </r>
  <r>
    <x v="526"/>
    <x v="17"/>
    <x v="0"/>
    <x v="0"/>
    <n v="14"/>
    <n v="80"/>
    <n v="0.08"/>
    <x v="0"/>
    <n v="1120"/>
    <n v="89.6"/>
    <n v="1030.4"/>
  </r>
  <r>
    <x v="527"/>
    <x v="17"/>
    <x v="0"/>
    <x v="0"/>
    <n v="6"/>
    <n v="80"/>
    <n v="0.07"/>
    <x v="1"/>
    <n v="480"/>
    <n v="33.6"/>
    <n v="446.4"/>
  </r>
  <r>
    <x v="528"/>
    <x v="17"/>
    <x v="0"/>
    <x v="0"/>
    <n v="16"/>
    <n v="80"/>
    <n v="0.03"/>
    <x v="2"/>
    <n v="1280"/>
    <n v="38.4"/>
    <n v="1241.6"/>
  </r>
  <r>
    <x v="529"/>
    <x v="17"/>
    <x v="4"/>
    <x v="2"/>
    <n v="22"/>
    <n v="150"/>
    <n v="0.09"/>
    <x v="3"/>
    <n v="3300"/>
    <n v="297"/>
    <n v="3003"/>
  </r>
  <r>
    <x v="530"/>
    <x v="17"/>
    <x v="4"/>
    <x v="3"/>
    <n v="4"/>
    <n v="150"/>
    <n v="0.12"/>
    <x v="4"/>
    <n v="600"/>
    <n v="72"/>
    <n v="528"/>
  </r>
  <r>
    <x v="531"/>
    <x v="17"/>
    <x v="2"/>
    <x v="4"/>
    <n v="7"/>
    <n v="230"/>
    <n v="0.05"/>
    <x v="5"/>
    <n v="1610"/>
    <n v="80.5"/>
    <n v="1529.5"/>
  </r>
  <r>
    <x v="532"/>
    <x v="17"/>
    <x v="4"/>
    <x v="3"/>
    <n v="20"/>
    <n v="150"/>
    <n v="0.1"/>
    <x v="6"/>
    <n v="3000"/>
    <n v="300"/>
    <n v="2700"/>
  </r>
  <r>
    <x v="533"/>
    <x v="17"/>
    <x v="2"/>
    <x v="3"/>
    <n v="8"/>
    <n v="230"/>
    <n v="0.05"/>
    <x v="7"/>
    <n v="1840"/>
    <n v="92"/>
    <n v="1748"/>
  </r>
  <r>
    <x v="534"/>
    <x v="18"/>
    <x v="1"/>
    <x v="3"/>
    <n v="9"/>
    <n v="40"/>
    <n v="0.06"/>
    <x v="8"/>
    <n v="360"/>
    <n v="21.6"/>
    <n v="338.4"/>
  </r>
  <r>
    <x v="535"/>
    <x v="18"/>
    <x v="2"/>
    <x v="3"/>
    <n v="19"/>
    <n v="230"/>
    <n v="0.06"/>
    <x v="9"/>
    <n v="4370"/>
    <n v="262.2"/>
    <n v="4107.8"/>
  </r>
  <r>
    <x v="536"/>
    <x v="18"/>
    <x v="1"/>
    <x v="3"/>
    <n v="22"/>
    <n v="40"/>
    <n v="0.01"/>
    <x v="10"/>
    <n v="880"/>
    <n v="8.8"/>
    <n v="871.2"/>
  </r>
  <r>
    <x v="537"/>
    <x v="18"/>
    <x v="1"/>
    <x v="0"/>
    <n v="22"/>
    <n v="40"/>
    <n v="0.02"/>
    <x v="11"/>
    <n v="880"/>
    <n v="17.6"/>
    <n v="862.4"/>
  </r>
  <r>
    <x v="538"/>
    <x v="18"/>
    <x v="0"/>
    <x v="4"/>
    <n v="10"/>
    <n v="80"/>
    <n v="0.06"/>
    <x v="0"/>
    <n v="800"/>
    <n v="48"/>
    <n v="752"/>
  </r>
  <r>
    <x v="539"/>
    <x v="18"/>
    <x v="1"/>
    <x v="3"/>
    <n v="7"/>
    <n v="40"/>
    <n v="0.11"/>
    <x v="1"/>
    <n v="280"/>
    <n v="30.8"/>
    <n v="249.2"/>
  </r>
  <r>
    <x v="540"/>
    <x v="18"/>
    <x v="2"/>
    <x v="0"/>
    <n v="7"/>
    <n v="230"/>
    <n v="0.08"/>
    <x v="2"/>
    <n v="1610"/>
    <n v="128.8"/>
    <n v="1481.2"/>
  </r>
  <r>
    <x v="541"/>
    <x v="18"/>
    <x v="3"/>
    <x v="0"/>
    <n v="18"/>
    <n v="16"/>
    <n v="0.11"/>
    <x v="3"/>
    <n v="288"/>
    <n v="31.68"/>
    <n v="256.32"/>
  </r>
  <r>
    <x v="542"/>
    <x v="18"/>
    <x v="2"/>
    <x v="2"/>
    <n v="14"/>
    <n v="230"/>
    <n v="0.12"/>
    <x v="4"/>
    <n v="3220"/>
    <n v="386.4"/>
    <n v="2833.6"/>
  </r>
  <r>
    <x v="543"/>
    <x v="18"/>
    <x v="1"/>
    <x v="1"/>
    <n v="21"/>
    <n v="40"/>
    <n v="0.03"/>
    <x v="5"/>
    <n v="840"/>
    <n v="25.2"/>
    <n v="814.8"/>
  </r>
  <r>
    <x v="544"/>
    <x v="18"/>
    <x v="4"/>
    <x v="0"/>
    <n v="3"/>
    <n v="150"/>
    <n v="0.03"/>
    <x v="6"/>
    <n v="450"/>
    <n v="13.5"/>
    <n v="436.5"/>
  </r>
  <r>
    <x v="545"/>
    <x v="18"/>
    <x v="0"/>
    <x v="0"/>
    <n v="12"/>
    <n v="80"/>
    <n v="0.04"/>
    <x v="7"/>
    <n v="960"/>
    <n v="38.4"/>
    <n v="921.6"/>
  </r>
  <r>
    <x v="546"/>
    <x v="19"/>
    <x v="4"/>
    <x v="3"/>
    <n v="6"/>
    <n v="150"/>
    <n v="0.03"/>
    <x v="8"/>
    <n v="900"/>
    <n v="27"/>
    <n v="873"/>
  </r>
  <r>
    <x v="547"/>
    <x v="19"/>
    <x v="1"/>
    <x v="2"/>
    <n v="20"/>
    <n v="40"/>
    <n v="0.01"/>
    <x v="9"/>
    <n v="800"/>
    <n v="8"/>
    <n v="792"/>
  </r>
  <r>
    <x v="548"/>
    <x v="19"/>
    <x v="2"/>
    <x v="0"/>
    <n v="3"/>
    <n v="230"/>
    <n v="0.06"/>
    <x v="6"/>
    <n v="690"/>
    <n v="41.4"/>
    <n v="648.6"/>
  </r>
  <r>
    <x v="549"/>
    <x v="19"/>
    <x v="2"/>
    <x v="3"/>
    <n v="3"/>
    <n v="230"/>
    <n v="0.01"/>
    <x v="7"/>
    <n v="690"/>
    <n v="6.9"/>
    <n v="683.1"/>
  </r>
  <r>
    <x v="550"/>
    <x v="19"/>
    <x v="1"/>
    <x v="0"/>
    <n v="20"/>
    <n v="40"/>
    <n v="0.04"/>
    <x v="8"/>
    <n v="800"/>
    <n v="32"/>
    <n v="768"/>
  </r>
  <r>
    <x v="551"/>
    <x v="19"/>
    <x v="0"/>
    <x v="2"/>
    <n v="16"/>
    <n v="80"/>
    <n v="0.02"/>
    <x v="9"/>
    <n v="1280"/>
    <n v="25.6"/>
    <n v="1254.4"/>
  </r>
  <r>
    <x v="552"/>
    <x v="19"/>
    <x v="4"/>
    <x v="0"/>
    <n v="8"/>
    <n v="150"/>
    <n v="0.09"/>
    <x v="6"/>
    <n v="1200"/>
    <n v="108"/>
    <n v="1092"/>
  </r>
  <r>
    <x v="553"/>
    <x v="20"/>
    <x v="2"/>
    <x v="1"/>
    <n v="7"/>
    <n v="230"/>
    <n v="0.01"/>
    <x v="7"/>
    <n v="1610"/>
    <n v="16.1"/>
    <n v="1593.9"/>
  </r>
  <r>
    <x v="554"/>
    <x v="20"/>
    <x v="4"/>
    <x v="1"/>
    <n v="23"/>
    <n v="150"/>
    <n v="0.11"/>
    <x v="8"/>
    <n v="3450"/>
    <n v="379.5"/>
    <n v="3070.5"/>
  </r>
  <r>
    <x v="555"/>
    <x v="20"/>
    <x v="1"/>
    <x v="4"/>
    <n v="16"/>
    <n v="40"/>
    <n v="0.09"/>
    <x v="9"/>
    <n v="640"/>
    <n v="57.6"/>
    <n v="582.4"/>
  </r>
  <r>
    <x v="556"/>
    <x v="20"/>
    <x v="1"/>
    <x v="4"/>
    <n v="20"/>
    <n v="40"/>
    <n v="0.1"/>
    <x v="6"/>
    <n v="800"/>
    <n v="80"/>
    <n v="720"/>
  </r>
  <r>
    <x v="557"/>
    <x v="20"/>
    <x v="1"/>
    <x v="1"/>
    <n v="18"/>
    <n v="40"/>
    <n v="0.08"/>
    <x v="7"/>
    <n v="720"/>
    <n v="57.6"/>
    <n v="662.4"/>
  </r>
  <r>
    <x v="558"/>
    <x v="20"/>
    <x v="0"/>
    <x v="4"/>
    <n v="22"/>
    <n v="80"/>
    <n v="0.09"/>
    <x v="8"/>
    <n v="1760"/>
    <n v="158.4"/>
    <n v="1601.6"/>
  </r>
  <r>
    <x v="559"/>
    <x v="20"/>
    <x v="4"/>
    <x v="1"/>
    <n v="22"/>
    <n v="150"/>
    <n v="0.02"/>
    <x v="9"/>
    <n v="3300"/>
    <n v="66"/>
    <n v="3234"/>
  </r>
  <r>
    <x v="560"/>
    <x v="20"/>
    <x v="4"/>
    <x v="1"/>
    <n v="20"/>
    <n v="150"/>
    <n v="0.09"/>
    <x v="6"/>
    <n v="3000"/>
    <n v="270"/>
    <n v="2730"/>
  </r>
  <r>
    <x v="561"/>
    <x v="20"/>
    <x v="3"/>
    <x v="0"/>
    <n v="10"/>
    <n v="16"/>
    <n v="0.08"/>
    <x v="7"/>
    <n v="160"/>
    <n v="12.8"/>
    <n v="147.2"/>
  </r>
  <r>
    <x v="562"/>
    <x v="20"/>
    <x v="1"/>
    <x v="2"/>
    <n v="12"/>
    <n v="40"/>
    <n v="0.02"/>
    <x v="8"/>
    <n v="480"/>
    <n v="9.6"/>
    <n v="470.4"/>
  </r>
  <r>
    <x v="563"/>
    <x v="20"/>
    <x v="4"/>
    <x v="0"/>
    <n v="4"/>
    <n v="150"/>
    <n v="0.1"/>
    <x v="9"/>
    <n v="600"/>
    <n v="60"/>
    <n v="540"/>
  </r>
  <r>
    <x v="564"/>
    <x v="20"/>
    <x v="0"/>
    <x v="2"/>
    <n v="5"/>
    <n v="80"/>
    <n v="0.09"/>
    <x v="6"/>
    <n v="400"/>
    <n v="36"/>
    <n v="364"/>
  </r>
  <r>
    <x v="565"/>
    <x v="20"/>
    <x v="1"/>
    <x v="0"/>
    <n v="11"/>
    <n v="40"/>
    <n v="0.04"/>
    <x v="7"/>
    <n v="440"/>
    <n v="17.6"/>
    <n v="422.4"/>
  </r>
  <r>
    <x v="566"/>
    <x v="20"/>
    <x v="4"/>
    <x v="1"/>
    <n v="13"/>
    <n v="150"/>
    <n v="0.08"/>
    <x v="8"/>
    <n v="1950"/>
    <n v="156"/>
    <n v="1794"/>
  </r>
  <r>
    <x v="567"/>
    <x v="20"/>
    <x v="0"/>
    <x v="3"/>
    <n v="19"/>
    <n v="80"/>
    <n v="0.02"/>
    <x v="9"/>
    <n v="1520"/>
    <n v="30.4"/>
    <n v="1489.6"/>
  </r>
  <r>
    <x v="568"/>
    <x v="20"/>
    <x v="2"/>
    <x v="1"/>
    <n v="7"/>
    <n v="230"/>
    <n v="0.01"/>
    <x v="6"/>
    <n v="1610"/>
    <n v="16.1"/>
    <n v="1593.9"/>
  </r>
  <r>
    <x v="569"/>
    <x v="21"/>
    <x v="0"/>
    <x v="4"/>
    <n v="16"/>
    <n v="80"/>
    <n v="0.09"/>
    <x v="7"/>
    <n v="1280"/>
    <n v="115.2"/>
    <n v="1164.8"/>
  </r>
  <r>
    <x v="570"/>
    <x v="21"/>
    <x v="2"/>
    <x v="0"/>
    <n v="7"/>
    <n v="230"/>
    <n v="0.02"/>
    <x v="8"/>
    <n v="1610"/>
    <n v="32.2"/>
    <n v="1577.8"/>
  </r>
  <r>
    <x v="571"/>
    <x v="21"/>
    <x v="1"/>
    <x v="0"/>
    <n v="5"/>
    <n v="40"/>
    <n v="0.06"/>
    <x v="9"/>
    <n v="200"/>
    <n v="12"/>
    <n v="188"/>
  </r>
  <r>
    <x v="572"/>
    <x v="21"/>
    <x v="4"/>
    <x v="2"/>
    <n v="9"/>
    <n v="150"/>
    <n v="0.06"/>
    <x v="6"/>
    <n v="1350"/>
    <n v="81"/>
    <n v="1269"/>
  </r>
  <r>
    <x v="573"/>
    <x v="21"/>
    <x v="1"/>
    <x v="4"/>
    <n v="20"/>
    <n v="40"/>
    <n v="0.07"/>
    <x v="7"/>
    <n v="800"/>
    <n v="56"/>
    <n v="744"/>
  </r>
  <r>
    <x v="574"/>
    <x v="21"/>
    <x v="3"/>
    <x v="1"/>
    <n v="20"/>
    <n v="16"/>
    <n v="0.06"/>
    <x v="8"/>
    <n v="320"/>
    <n v="19.2"/>
    <n v="300.8"/>
  </r>
  <r>
    <x v="575"/>
    <x v="21"/>
    <x v="1"/>
    <x v="4"/>
    <n v="5"/>
    <n v="40"/>
    <n v="0.03"/>
    <x v="9"/>
    <n v="200"/>
    <n v="6"/>
    <n v="194"/>
  </r>
  <r>
    <x v="576"/>
    <x v="22"/>
    <x v="0"/>
    <x v="3"/>
    <n v="7"/>
    <n v="80"/>
    <n v="0.07"/>
    <x v="6"/>
    <n v="560"/>
    <n v="39.2"/>
    <n v="520.8"/>
  </r>
  <r>
    <x v="577"/>
    <x v="22"/>
    <x v="3"/>
    <x v="4"/>
    <n v="22"/>
    <n v="16"/>
    <n v="0.12"/>
    <x v="7"/>
    <n v="352"/>
    <n v="42.24"/>
    <n v="309.76"/>
  </r>
  <r>
    <x v="578"/>
    <x v="22"/>
    <x v="3"/>
    <x v="4"/>
    <n v="11"/>
    <n v="16"/>
    <n v="0.12"/>
    <x v="8"/>
    <n v="176"/>
    <n v="21.12"/>
    <n v="154.88"/>
  </r>
  <r>
    <x v="579"/>
    <x v="22"/>
    <x v="2"/>
    <x v="3"/>
    <n v="17"/>
    <n v="230"/>
    <n v="0.12"/>
    <x v="9"/>
    <n v="3910"/>
    <n v="469.2"/>
    <n v="3440.8"/>
  </r>
  <r>
    <x v="580"/>
    <x v="22"/>
    <x v="0"/>
    <x v="0"/>
    <n v="7"/>
    <n v="80"/>
    <n v="0.02"/>
    <x v="6"/>
    <n v="560"/>
    <n v="11.2"/>
    <n v="548.8"/>
  </r>
  <r>
    <x v="581"/>
    <x v="22"/>
    <x v="3"/>
    <x v="1"/>
    <n v="5"/>
    <n v="16"/>
    <n v="0.11"/>
    <x v="7"/>
    <n v="80"/>
    <n v="8.8"/>
    <n v="71.2"/>
  </r>
  <r>
    <x v="582"/>
    <x v="22"/>
    <x v="4"/>
    <x v="4"/>
    <n v="18"/>
    <n v="150"/>
    <n v="0.12"/>
    <x v="8"/>
    <n v="2700"/>
    <n v="324"/>
    <n v="2376"/>
  </r>
  <r>
    <x v="583"/>
    <x v="22"/>
    <x v="1"/>
    <x v="4"/>
    <n v="10"/>
    <n v="40"/>
    <n v="0.03"/>
    <x v="9"/>
    <n v="400"/>
    <n v="12"/>
    <n v="388"/>
  </r>
  <r>
    <x v="584"/>
    <x v="22"/>
    <x v="1"/>
    <x v="4"/>
    <n v="14"/>
    <n v="40"/>
    <n v="0.11"/>
    <x v="6"/>
    <n v="560"/>
    <n v="61.6"/>
    <n v="498.4"/>
  </r>
  <r>
    <x v="585"/>
    <x v="22"/>
    <x v="1"/>
    <x v="4"/>
    <n v="16"/>
    <n v="40"/>
    <n v="0.09"/>
    <x v="7"/>
    <n v="640"/>
    <n v="57.6"/>
    <n v="582.4"/>
  </r>
  <r>
    <x v="586"/>
    <x v="23"/>
    <x v="1"/>
    <x v="3"/>
    <n v="23"/>
    <n v="40"/>
    <n v="0.06"/>
    <x v="8"/>
    <n v="920"/>
    <n v="55.2"/>
    <n v="864.8"/>
  </r>
  <r>
    <x v="587"/>
    <x v="23"/>
    <x v="2"/>
    <x v="3"/>
    <n v="8"/>
    <n v="230"/>
    <n v="0.05"/>
    <x v="9"/>
    <n v="1840"/>
    <n v="92"/>
    <n v="1748"/>
  </r>
  <r>
    <x v="588"/>
    <x v="23"/>
    <x v="3"/>
    <x v="3"/>
    <n v="14"/>
    <n v="16"/>
    <n v="0.12"/>
    <x v="6"/>
    <n v="224"/>
    <n v="26.88"/>
    <n v="197.12"/>
  </r>
  <r>
    <x v="589"/>
    <x v="23"/>
    <x v="0"/>
    <x v="0"/>
    <n v="17"/>
    <n v="80"/>
    <n v="0.09"/>
    <x v="7"/>
    <n v="1360"/>
    <n v="122.4"/>
    <n v="1237.6"/>
  </r>
  <r>
    <x v="590"/>
    <x v="23"/>
    <x v="4"/>
    <x v="2"/>
    <n v="11"/>
    <n v="150"/>
    <n v="0.11"/>
    <x v="8"/>
    <n v="1650"/>
    <n v="181.5"/>
    <n v="1468.5"/>
  </r>
  <r>
    <x v="591"/>
    <x v="23"/>
    <x v="1"/>
    <x v="3"/>
    <n v="15"/>
    <n v="40"/>
    <n v="0.03"/>
    <x v="9"/>
    <n v="600"/>
    <n v="18"/>
    <n v="582"/>
  </r>
  <r>
    <x v="592"/>
    <x v="23"/>
    <x v="0"/>
    <x v="4"/>
    <n v="9"/>
    <n v="80"/>
    <n v="0.07"/>
    <x v="6"/>
    <n v="720"/>
    <n v="50.4"/>
    <n v="669.6"/>
  </r>
  <r>
    <x v="593"/>
    <x v="23"/>
    <x v="2"/>
    <x v="1"/>
    <n v="22"/>
    <n v="230"/>
    <n v="0.04"/>
    <x v="7"/>
    <n v="5060"/>
    <n v="202.4"/>
    <n v="4857.6"/>
  </r>
  <r>
    <x v="594"/>
    <x v="23"/>
    <x v="2"/>
    <x v="1"/>
    <n v="11"/>
    <n v="230"/>
    <n v="0.1"/>
    <x v="8"/>
    <n v="2530"/>
    <n v="253"/>
    <n v="2277"/>
  </r>
  <r>
    <x v="595"/>
    <x v="23"/>
    <x v="1"/>
    <x v="2"/>
    <n v="11"/>
    <n v="40"/>
    <n v="0.12"/>
    <x v="9"/>
    <n v="440"/>
    <n v="52.8"/>
    <n v="387.2"/>
  </r>
  <r>
    <x v="596"/>
    <x v="23"/>
    <x v="1"/>
    <x v="3"/>
    <n v="9"/>
    <n v="40"/>
    <n v="0.06"/>
    <x v="6"/>
    <n v="360"/>
    <n v="21.6"/>
    <n v="338.4"/>
  </r>
  <r>
    <x v="597"/>
    <x v="24"/>
    <x v="1"/>
    <x v="3"/>
    <n v="13"/>
    <n v="40"/>
    <n v="0.09"/>
    <x v="7"/>
    <n v="520"/>
    <n v="46.8"/>
    <n v="473.2"/>
  </r>
  <r>
    <x v="598"/>
    <x v="24"/>
    <x v="1"/>
    <x v="1"/>
    <n v="4"/>
    <n v="40"/>
    <n v="0.12"/>
    <x v="8"/>
    <n v="160"/>
    <n v="19.2"/>
    <n v="140.8"/>
  </r>
  <r>
    <x v="599"/>
    <x v="24"/>
    <x v="4"/>
    <x v="0"/>
    <n v="22"/>
    <n v="150"/>
    <n v="0.05"/>
    <x v="9"/>
    <n v="3300"/>
    <n v="165"/>
    <n v="3135"/>
  </r>
  <r>
    <x v="600"/>
    <x v="24"/>
    <x v="1"/>
    <x v="4"/>
    <n v="21"/>
    <n v="40"/>
    <n v="0.01"/>
    <x v="6"/>
    <n v="840"/>
    <n v="8.4"/>
    <n v="831.6"/>
  </r>
  <r>
    <x v="601"/>
    <x v="24"/>
    <x v="3"/>
    <x v="0"/>
    <n v="16"/>
    <n v="16"/>
    <n v="0.03"/>
    <x v="7"/>
    <n v="256"/>
    <n v="7.68"/>
    <n v="248.32"/>
  </r>
  <r>
    <x v="602"/>
    <x v="24"/>
    <x v="0"/>
    <x v="3"/>
    <n v="16"/>
    <n v="80"/>
    <n v="0.07"/>
    <x v="8"/>
    <n v="1280"/>
    <n v="89.6"/>
    <n v="1190.4"/>
  </r>
  <r>
    <x v="603"/>
    <x v="24"/>
    <x v="0"/>
    <x v="1"/>
    <n v="15"/>
    <n v="80"/>
    <n v="0.12"/>
    <x v="9"/>
    <n v="1200"/>
    <n v="144"/>
    <n v="1056"/>
  </r>
  <r>
    <x v="604"/>
    <x v="24"/>
    <x v="4"/>
    <x v="0"/>
    <n v="20"/>
    <n v="150"/>
    <n v="0.03"/>
    <x v="6"/>
    <n v="3000"/>
    <n v="90"/>
    <n v="2910"/>
  </r>
  <r>
    <x v="605"/>
    <x v="24"/>
    <x v="1"/>
    <x v="3"/>
    <n v="13"/>
    <n v="40"/>
    <n v="0.06"/>
    <x v="7"/>
    <n v="520"/>
    <n v="31.2"/>
    <n v="488.8"/>
  </r>
  <r>
    <x v="606"/>
    <x v="24"/>
    <x v="3"/>
    <x v="4"/>
    <n v="3"/>
    <n v="16"/>
    <n v="0.06"/>
    <x v="8"/>
    <n v="48"/>
    <n v="2.88"/>
    <n v="45.12"/>
  </r>
  <r>
    <x v="607"/>
    <x v="24"/>
    <x v="3"/>
    <x v="2"/>
    <n v="11"/>
    <n v="16"/>
    <n v="0.04"/>
    <x v="9"/>
    <n v="176"/>
    <n v="7.04"/>
    <n v="168.96"/>
  </r>
  <r>
    <x v="608"/>
    <x v="25"/>
    <x v="1"/>
    <x v="4"/>
    <n v="16"/>
    <n v="40"/>
    <n v="0.09"/>
    <x v="6"/>
    <n v="640"/>
    <n v="57.6"/>
    <n v="582.4"/>
  </r>
  <r>
    <x v="609"/>
    <x v="25"/>
    <x v="1"/>
    <x v="2"/>
    <n v="4"/>
    <n v="40"/>
    <n v="0.06"/>
    <x v="7"/>
    <n v="160"/>
    <n v="9.6"/>
    <n v="150.4"/>
  </r>
  <r>
    <x v="610"/>
    <x v="25"/>
    <x v="1"/>
    <x v="2"/>
    <n v="20"/>
    <n v="40"/>
    <n v="0.01"/>
    <x v="8"/>
    <n v="800"/>
    <n v="8"/>
    <n v="792"/>
  </r>
  <r>
    <x v="611"/>
    <x v="25"/>
    <x v="1"/>
    <x v="2"/>
    <n v="4"/>
    <n v="40"/>
    <n v="0.1"/>
    <x v="9"/>
    <n v="160"/>
    <n v="16"/>
    <n v="144"/>
  </r>
  <r>
    <x v="612"/>
    <x v="25"/>
    <x v="0"/>
    <x v="1"/>
    <n v="14"/>
    <n v="80"/>
    <n v="0.06"/>
    <x v="6"/>
    <n v="1120"/>
    <n v="67.2"/>
    <n v="1052.8"/>
  </r>
  <r>
    <x v="613"/>
    <x v="25"/>
    <x v="4"/>
    <x v="1"/>
    <n v="15"/>
    <n v="150"/>
    <n v="0.02"/>
    <x v="7"/>
    <n v="2250"/>
    <n v="45"/>
    <n v="2205"/>
  </r>
  <r>
    <x v="614"/>
    <x v="25"/>
    <x v="0"/>
    <x v="2"/>
    <n v="14"/>
    <n v="80"/>
    <n v="0.1"/>
    <x v="8"/>
    <n v="1120"/>
    <n v="112"/>
    <n v="1008"/>
  </r>
  <r>
    <x v="615"/>
    <x v="25"/>
    <x v="4"/>
    <x v="0"/>
    <n v="20"/>
    <n v="150"/>
    <n v="0.04"/>
    <x v="9"/>
    <n v="3000"/>
    <n v="120"/>
    <n v="2880"/>
  </r>
  <r>
    <x v="616"/>
    <x v="25"/>
    <x v="0"/>
    <x v="4"/>
    <n v="22"/>
    <n v="80"/>
    <n v="0.1"/>
    <x v="6"/>
    <n v="1760"/>
    <n v="176"/>
    <n v="1584"/>
  </r>
  <r>
    <x v="617"/>
    <x v="25"/>
    <x v="2"/>
    <x v="4"/>
    <n v="20"/>
    <n v="230"/>
    <n v="0.09"/>
    <x v="7"/>
    <n v="4600"/>
    <n v="414"/>
    <n v="4186"/>
  </r>
  <r>
    <x v="618"/>
    <x v="25"/>
    <x v="2"/>
    <x v="2"/>
    <n v="12"/>
    <n v="230"/>
    <n v="0.03"/>
    <x v="8"/>
    <n v="2760"/>
    <n v="82.8"/>
    <n v="2677.2"/>
  </r>
  <r>
    <x v="619"/>
    <x v="26"/>
    <x v="0"/>
    <x v="0"/>
    <n v="21"/>
    <n v="80"/>
    <n v="0.04"/>
    <x v="9"/>
    <n v="1680"/>
    <n v="67.2"/>
    <n v="1612.8"/>
  </r>
  <r>
    <x v="620"/>
    <x v="26"/>
    <x v="1"/>
    <x v="1"/>
    <n v="15"/>
    <n v="40"/>
    <n v="0.04"/>
    <x v="6"/>
    <n v="600"/>
    <n v="24"/>
    <n v="576"/>
  </r>
  <r>
    <x v="621"/>
    <x v="26"/>
    <x v="0"/>
    <x v="3"/>
    <n v="16"/>
    <n v="80"/>
    <n v="0.1"/>
    <x v="7"/>
    <n v="1280"/>
    <n v="128"/>
    <n v="1152"/>
  </r>
  <r>
    <x v="622"/>
    <x v="26"/>
    <x v="2"/>
    <x v="4"/>
    <n v="17"/>
    <n v="230"/>
    <n v="0.11"/>
    <x v="8"/>
    <n v="3910"/>
    <n v="430.1"/>
    <n v="3479.9"/>
  </r>
  <r>
    <x v="623"/>
    <x v="26"/>
    <x v="2"/>
    <x v="4"/>
    <n v="5"/>
    <n v="230"/>
    <n v="0.12"/>
    <x v="9"/>
    <n v="1150"/>
    <n v="138"/>
    <n v="1012"/>
  </r>
  <r>
    <x v="624"/>
    <x v="26"/>
    <x v="3"/>
    <x v="0"/>
    <n v="20"/>
    <n v="16"/>
    <n v="0.01"/>
    <x v="6"/>
    <n v="320"/>
    <n v="3.2"/>
    <n v="316.8"/>
  </r>
  <r>
    <x v="625"/>
    <x v="26"/>
    <x v="2"/>
    <x v="0"/>
    <n v="5"/>
    <n v="230"/>
    <n v="0.1"/>
    <x v="7"/>
    <n v="1150"/>
    <n v="115"/>
    <n v="1035"/>
  </r>
  <r>
    <x v="626"/>
    <x v="26"/>
    <x v="1"/>
    <x v="1"/>
    <n v="8"/>
    <n v="40"/>
    <n v="0.09"/>
    <x v="8"/>
    <n v="320"/>
    <n v="28.8"/>
    <n v="291.2"/>
  </r>
  <r>
    <x v="627"/>
    <x v="26"/>
    <x v="3"/>
    <x v="0"/>
    <n v="7"/>
    <n v="16"/>
    <n v="0.02"/>
    <x v="9"/>
    <n v="112"/>
    <n v="2.24"/>
    <n v="109.76"/>
  </r>
  <r>
    <x v="628"/>
    <x v="26"/>
    <x v="4"/>
    <x v="3"/>
    <n v="15"/>
    <n v="150"/>
    <n v="0.08"/>
    <x v="6"/>
    <n v="2250"/>
    <n v="180"/>
    <n v="2070"/>
  </r>
  <r>
    <x v="629"/>
    <x v="26"/>
    <x v="2"/>
    <x v="4"/>
    <n v="20"/>
    <n v="230"/>
    <n v="0.11"/>
    <x v="7"/>
    <n v="4600"/>
    <n v="506"/>
    <n v="4094"/>
  </r>
  <r>
    <x v="630"/>
    <x v="26"/>
    <x v="3"/>
    <x v="1"/>
    <n v="4"/>
    <n v="16"/>
    <n v="0.09"/>
    <x v="8"/>
    <n v="64"/>
    <n v="5.76"/>
    <n v="58.24"/>
  </r>
  <r>
    <x v="631"/>
    <x v="26"/>
    <x v="1"/>
    <x v="3"/>
    <n v="11"/>
    <n v="40"/>
    <n v="0.09"/>
    <x v="9"/>
    <n v="440"/>
    <n v="39.6"/>
    <n v="400.4"/>
  </r>
  <r>
    <x v="632"/>
    <x v="26"/>
    <x v="4"/>
    <x v="2"/>
    <n v="15"/>
    <n v="150"/>
    <n v="0.05"/>
    <x v="6"/>
    <n v="2250"/>
    <n v="112.5"/>
    <n v="2137.5"/>
  </r>
  <r>
    <x v="633"/>
    <x v="26"/>
    <x v="2"/>
    <x v="2"/>
    <n v="5"/>
    <n v="230"/>
    <n v="0.01"/>
    <x v="7"/>
    <n v="1150"/>
    <n v="11.5"/>
    <n v="1138.5"/>
  </r>
  <r>
    <x v="634"/>
    <x v="26"/>
    <x v="2"/>
    <x v="2"/>
    <n v="14"/>
    <n v="230"/>
    <n v="0.03"/>
    <x v="8"/>
    <n v="3220"/>
    <n v="96.6"/>
    <n v="3123.4"/>
  </r>
  <r>
    <x v="635"/>
    <x v="26"/>
    <x v="1"/>
    <x v="4"/>
    <n v="23"/>
    <n v="40"/>
    <n v="0.05"/>
    <x v="9"/>
    <n v="920"/>
    <n v="46"/>
    <n v="874"/>
  </r>
  <r>
    <x v="636"/>
    <x v="26"/>
    <x v="0"/>
    <x v="3"/>
    <n v="22"/>
    <n v="80"/>
    <n v="0.03"/>
    <x v="6"/>
    <n v="1760"/>
    <n v="52.8"/>
    <n v="1707.2"/>
  </r>
  <r>
    <x v="637"/>
    <x v="27"/>
    <x v="2"/>
    <x v="2"/>
    <n v="20"/>
    <n v="230"/>
    <n v="0.06"/>
    <x v="7"/>
    <n v="4600"/>
    <n v="276"/>
    <n v="4324"/>
  </r>
  <r>
    <x v="638"/>
    <x v="27"/>
    <x v="2"/>
    <x v="1"/>
    <n v="15"/>
    <n v="230"/>
    <n v="0.09"/>
    <x v="8"/>
    <n v="3450"/>
    <n v="310.5"/>
    <n v="3139.5"/>
  </r>
  <r>
    <x v="639"/>
    <x v="27"/>
    <x v="4"/>
    <x v="2"/>
    <n v="18"/>
    <n v="150"/>
    <n v="0.06"/>
    <x v="9"/>
    <n v="2700"/>
    <n v="162"/>
    <n v="2538"/>
  </r>
  <r>
    <x v="640"/>
    <x v="27"/>
    <x v="2"/>
    <x v="0"/>
    <n v="3"/>
    <n v="230"/>
    <n v="0.11"/>
    <x v="6"/>
    <n v="690"/>
    <n v="75.9"/>
    <n v="614.1"/>
  </r>
  <r>
    <x v="641"/>
    <x v="27"/>
    <x v="4"/>
    <x v="4"/>
    <n v="11"/>
    <n v="150"/>
    <n v="0.09"/>
    <x v="7"/>
    <n v="1650"/>
    <n v="148.5"/>
    <n v="1501.5"/>
  </r>
  <r>
    <x v="642"/>
    <x v="27"/>
    <x v="2"/>
    <x v="0"/>
    <n v="11"/>
    <n v="230"/>
    <n v="0.02"/>
    <x v="8"/>
    <n v="2530"/>
    <n v="50.6"/>
    <n v="2479.4"/>
  </r>
  <r>
    <x v="643"/>
    <x v="27"/>
    <x v="2"/>
    <x v="4"/>
    <n v="13"/>
    <n v="230"/>
    <n v="0.06"/>
    <x v="9"/>
    <n v="2990"/>
    <n v="179.4"/>
    <n v="2810.6"/>
  </r>
  <r>
    <x v="644"/>
    <x v="28"/>
    <x v="0"/>
    <x v="3"/>
    <n v="11"/>
    <n v="80"/>
    <n v="0.01"/>
    <x v="6"/>
    <n v="880"/>
    <n v="8.8"/>
    <n v="871.2"/>
  </r>
  <r>
    <x v="645"/>
    <x v="28"/>
    <x v="0"/>
    <x v="4"/>
    <n v="17"/>
    <n v="80"/>
    <n v="0.07"/>
    <x v="7"/>
    <n v="1360"/>
    <n v="95.2"/>
    <n v="1264.8"/>
  </r>
  <r>
    <x v="646"/>
    <x v="28"/>
    <x v="4"/>
    <x v="4"/>
    <n v="15"/>
    <n v="150"/>
    <n v="0.07"/>
    <x v="8"/>
    <n v="2250"/>
    <n v="157.5"/>
    <n v="2092.5"/>
  </r>
  <r>
    <x v="647"/>
    <x v="28"/>
    <x v="3"/>
    <x v="4"/>
    <n v="14"/>
    <n v="16"/>
    <n v="0.06"/>
    <x v="9"/>
    <n v="224"/>
    <n v="13.44"/>
    <n v="210.56"/>
  </r>
  <r>
    <x v="648"/>
    <x v="28"/>
    <x v="3"/>
    <x v="1"/>
    <n v="4"/>
    <n v="16"/>
    <n v="0.07"/>
    <x v="6"/>
    <n v="64"/>
    <n v="4.48"/>
    <n v="59.52"/>
  </r>
  <r>
    <x v="649"/>
    <x v="28"/>
    <x v="4"/>
    <x v="4"/>
    <n v="23"/>
    <n v="150"/>
    <n v="0.08"/>
    <x v="7"/>
    <n v="3450"/>
    <n v="276"/>
    <n v="3174"/>
  </r>
  <r>
    <x v="650"/>
    <x v="28"/>
    <x v="0"/>
    <x v="2"/>
    <n v="10"/>
    <n v="80"/>
    <n v="0.11"/>
    <x v="8"/>
    <n v="800"/>
    <n v="88"/>
    <n v="712"/>
  </r>
  <r>
    <x v="651"/>
    <x v="28"/>
    <x v="2"/>
    <x v="2"/>
    <n v="7"/>
    <n v="230"/>
    <n v="0.01"/>
    <x v="9"/>
    <n v="1610"/>
    <n v="16.1"/>
    <n v="1593.9"/>
  </r>
  <r>
    <x v="652"/>
    <x v="28"/>
    <x v="2"/>
    <x v="0"/>
    <n v="16"/>
    <n v="230"/>
    <n v="0.07"/>
    <x v="6"/>
    <n v="3680"/>
    <n v="257.6"/>
    <n v="3422.4"/>
  </r>
  <r>
    <x v="653"/>
    <x v="28"/>
    <x v="3"/>
    <x v="4"/>
    <n v="17"/>
    <n v="16"/>
    <n v="0.08"/>
    <x v="7"/>
    <n v="272"/>
    <n v="21.76"/>
    <n v="250.24"/>
  </r>
  <r>
    <x v="654"/>
    <x v="29"/>
    <x v="0"/>
    <x v="4"/>
    <n v="6"/>
    <n v="80"/>
    <n v="0.09"/>
    <x v="8"/>
    <n v="480"/>
    <n v="43.2"/>
    <n v="436.8"/>
  </r>
  <r>
    <x v="655"/>
    <x v="29"/>
    <x v="4"/>
    <x v="2"/>
    <n v="22"/>
    <n v="150"/>
    <n v="0.04"/>
    <x v="9"/>
    <n v="3300"/>
    <n v="132"/>
    <n v="3168"/>
  </r>
  <r>
    <x v="656"/>
    <x v="29"/>
    <x v="1"/>
    <x v="4"/>
    <n v="20"/>
    <n v="40"/>
    <n v="0.03"/>
    <x v="6"/>
    <n v="800"/>
    <n v="24"/>
    <n v="776"/>
  </r>
  <r>
    <x v="657"/>
    <x v="29"/>
    <x v="4"/>
    <x v="1"/>
    <n v="16"/>
    <n v="150"/>
    <n v="0.08"/>
    <x v="7"/>
    <n v="2400"/>
    <n v="192"/>
    <n v="2208"/>
  </r>
  <r>
    <x v="658"/>
    <x v="29"/>
    <x v="0"/>
    <x v="1"/>
    <n v="5"/>
    <n v="80"/>
    <n v="0.07"/>
    <x v="8"/>
    <n v="400"/>
    <n v="28"/>
    <n v="372"/>
  </r>
  <r>
    <x v="659"/>
    <x v="29"/>
    <x v="4"/>
    <x v="3"/>
    <n v="6"/>
    <n v="150"/>
    <n v="0.03"/>
    <x v="9"/>
    <n v="900"/>
    <n v="27"/>
    <n v="873"/>
  </r>
  <r>
    <x v="660"/>
    <x v="30"/>
    <x v="0"/>
    <x v="1"/>
    <n v="9"/>
    <n v="80"/>
    <n v="0.03"/>
    <x v="6"/>
    <n v="720"/>
    <n v="21.6"/>
    <n v="698.4"/>
  </r>
  <r>
    <x v="661"/>
    <x v="30"/>
    <x v="0"/>
    <x v="0"/>
    <n v="8"/>
    <n v="80"/>
    <n v="0.08"/>
    <x v="7"/>
    <n v="640"/>
    <n v="51.2"/>
    <n v="588.8"/>
  </r>
  <r>
    <x v="662"/>
    <x v="30"/>
    <x v="2"/>
    <x v="3"/>
    <n v="8"/>
    <n v="230"/>
    <n v="0.01"/>
    <x v="8"/>
    <n v="1840"/>
    <n v="18.4"/>
    <n v="1821.6"/>
  </r>
  <r>
    <x v="663"/>
    <x v="30"/>
    <x v="3"/>
    <x v="4"/>
    <n v="12"/>
    <n v="16"/>
    <n v="0.04"/>
    <x v="9"/>
    <n v="192"/>
    <n v="7.68"/>
    <n v="184.32"/>
  </r>
  <r>
    <x v="664"/>
    <x v="30"/>
    <x v="3"/>
    <x v="3"/>
    <n v="18"/>
    <n v="16"/>
    <n v="0.04"/>
    <x v="6"/>
    <n v="288"/>
    <n v="11.52"/>
    <n v="276.48"/>
  </r>
  <r>
    <x v="665"/>
    <x v="0"/>
    <x v="3"/>
    <x v="3"/>
    <n v="10"/>
    <n v="16"/>
    <n v="0.01"/>
    <x v="7"/>
    <n v="160"/>
    <n v="1.6"/>
    <n v="158.4"/>
  </r>
  <r>
    <x v="666"/>
    <x v="0"/>
    <x v="3"/>
    <x v="3"/>
    <n v="14"/>
    <n v="16"/>
    <n v="0.12"/>
    <x v="8"/>
    <n v="224"/>
    <n v="26.88"/>
    <n v="197.12"/>
  </r>
  <r>
    <x v="667"/>
    <x v="0"/>
    <x v="1"/>
    <x v="2"/>
    <n v="6"/>
    <n v="40"/>
    <n v="0.06"/>
    <x v="9"/>
    <n v="240"/>
    <n v="14.4"/>
    <n v="225.6"/>
  </r>
  <r>
    <x v="668"/>
    <x v="0"/>
    <x v="1"/>
    <x v="3"/>
    <n v="13"/>
    <n v="40"/>
    <n v="0.09"/>
    <x v="6"/>
    <n v="520"/>
    <n v="46.8"/>
    <n v="473.2"/>
  </r>
  <r>
    <x v="669"/>
    <x v="0"/>
    <x v="3"/>
    <x v="3"/>
    <n v="10"/>
    <n v="16"/>
    <n v="0.04"/>
    <x v="7"/>
    <n v="160"/>
    <n v="6.4"/>
    <n v="153.6"/>
  </r>
  <r>
    <x v="670"/>
    <x v="0"/>
    <x v="0"/>
    <x v="1"/>
    <n v="14"/>
    <n v="80"/>
    <n v="0.11"/>
    <x v="8"/>
    <n v="1120"/>
    <n v="123.2"/>
    <n v="996.8"/>
  </r>
  <r>
    <x v="671"/>
    <x v="0"/>
    <x v="1"/>
    <x v="1"/>
    <n v="4"/>
    <n v="40"/>
    <n v="0.06"/>
    <x v="9"/>
    <n v="160"/>
    <n v="9.6"/>
    <n v="150.4"/>
  </r>
  <r>
    <x v="672"/>
    <x v="0"/>
    <x v="1"/>
    <x v="2"/>
    <n v="11"/>
    <n v="40"/>
    <n v="0.05"/>
    <x v="6"/>
    <n v="440"/>
    <n v="22"/>
    <n v="418"/>
  </r>
  <r>
    <x v="673"/>
    <x v="0"/>
    <x v="3"/>
    <x v="2"/>
    <n v="14"/>
    <n v="16"/>
    <n v="0.01"/>
    <x v="7"/>
    <n v="224"/>
    <n v="2.24"/>
    <n v="221.76"/>
  </r>
  <r>
    <x v="674"/>
    <x v="0"/>
    <x v="4"/>
    <x v="0"/>
    <n v="20"/>
    <n v="150"/>
    <n v="0.04"/>
    <x v="8"/>
    <n v="3000"/>
    <n v="120"/>
    <n v="2880"/>
  </r>
  <r>
    <x v="675"/>
    <x v="0"/>
    <x v="1"/>
    <x v="3"/>
    <n v="9"/>
    <n v="40"/>
    <n v="0.06"/>
    <x v="9"/>
    <n v="360"/>
    <n v="21.6"/>
    <n v="338.4"/>
  </r>
  <r>
    <x v="676"/>
    <x v="0"/>
    <x v="4"/>
    <x v="2"/>
    <n v="18"/>
    <n v="150"/>
    <n v="0.06"/>
    <x v="6"/>
    <n v="2700"/>
    <n v="162"/>
    <n v="2538"/>
  </r>
  <r>
    <x v="677"/>
    <x v="0"/>
    <x v="2"/>
    <x v="4"/>
    <n v="17"/>
    <n v="230"/>
    <n v="0.11"/>
    <x v="7"/>
    <n v="3910"/>
    <n v="430.1"/>
    <n v="3479.9"/>
  </r>
  <r>
    <x v="678"/>
    <x v="1"/>
    <x v="1"/>
    <x v="0"/>
    <n v="20"/>
    <n v="40"/>
    <n v="0.04"/>
    <x v="8"/>
    <n v="800"/>
    <n v="32"/>
    <n v="768"/>
  </r>
  <r>
    <x v="679"/>
    <x v="1"/>
    <x v="1"/>
    <x v="0"/>
    <n v="23"/>
    <n v="40"/>
    <n v="0.03"/>
    <x v="9"/>
    <n v="920"/>
    <n v="27.6"/>
    <n v="892.4"/>
  </r>
  <r>
    <x v="680"/>
    <x v="1"/>
    <x v="2"/>
    <x v="4"/>
    <n v="21"/>
    <n v="230"/>
    <n v="0.05"/>
    <x v="6"/>
    <n v="4830"/>
    <n v="241.5"/>
    <n v="4588.5"/>
  </r>
  <r>
    <x v="681"/>
    <x v="1"/>
    <x v="0"/>
    <x v="2"/>
    <n v="6"/>
    <n v="80"/>
    <n v="0.09"/>
    <x v="7"/>
    <n v="480"/>
    <n v="43.2"/>
    <n v="436.8"/>
  </r>
  <r>
    <x v="682"/>
    <x v="1"/>
    <x v="3"/>
    <x v="0"/>
    <n v="20"/>
    <n v="16"/>
    <n v="0.01"/>
    <x v="8"/>
    <n v="320"/>
    <n v="3.2"/>
    <n v="316.8"/>
  </r>
  <r>
    <x v="683"/>
    <x v="1"/>
    <x v="1"/>
    <x v="1"/>
    <n v="8"/>
    <n v="40"/>
    <n v="0.09"/>
    <x v="9"/>
    <n v="320"/>
    <n v="28.8"/>
    <n v="291.2"/>
  </r>
  <r>
    <x v="684"/>
    <x v="1"/>
    <x v="2"/>
    <x v="1"/>
    <n v="15"/>
    <n v="230"/>
    <n v="0.09"/>
    <x v="6"/>
    <n v="3450"/>
    <n v="310.5"/>
    <n v="3139.5"/>
  </r>
  <r>
    <x v="685"/>
    <x v="2"/>
    <x v="0"/>
    <x v="3"/>
    <n v="21"/>
    <n v="80"/>
    <n v="0.02"/>
    <x v="7"/>
    <n v="1680"/>
    <n v="33.6"/>
    <n v="1646.4"/>
  </r>
  <r>
    <x v="686"/>
    <x v="2"/>
    <x v="0"/>
    <x v="3"/>
    <n v="19"/>
    <n v="80"/>
    <n v="0.02"/>
    <x v="8"/>
    <n v="1520"/>
    <n v="30.4"/>
    <n v="1489.6"/>
  </r>
  <r>
    <x v="687"/>
    <x v="2"/>
    <x v="3"/>
    <x v="0"/>
    <n v="7"/>
    <n v="16"/>
    <n v="0.08"/>
    <x v="9"/>
    <n v="112"/>
    <n v="8.96"/>
    <n v="103.04"/>
  </r>
  <r>
    <x v="688"/>
    <x v="2"/>
    <x v="1"/>
    <x v="4"/>
    <n v="11"/>
    <n v="40"/>
    <n v="0.05"/>
    <x v="6"/>
    <n v="440"/>
    <n v="22"/>
    <n v="418"/>
  </r>
  <r>
    <x v="689"/>
    <x v="2"/>
    <x v="2"/>
    <x v="3"/>
    <n v="8"/>
    <n v="230"/>
    <n v="0.05"/>
    <x v="7"/>
    <n v="1840"/>
    <n v="92"/>
    <n v="1748"/>
  </r>
  <r>
    <x v="690"/>
    <x v="2"/>
    <x v="0"/>
    <x v="0"/>
    <n v="18"/>
    <n v="80"/>
    <n v="0.02"/>
    <x v="8"/>
    <n v="1440"/>
    <n v="28.8"/>
    <n v="1411.2"/>
  </r>
  <r>
    <x v="691"/>
    <x v="2"/>
    <x v="1"/>
    <x v="0"/>
    <n v="7"/>
    <n v="40"/>
    <n v="0.1"/>
    <x v="9"/>
    <n v="280"/>
    <n v="28"/>
    <n v="252"/>
  </r>
  <r>
    <x v="692"/>
    <x v="3"/>
    <x v="3"/>
    <x v="0"/>
    <n v="16"/>
    <n v="16"/>
    <n v="0.03"/>
    <x v="6"/>
    <n v="256"/>
    <n v="7.68"/>
    <n v="248.32"/>
  </r>
  <r>
    <x v="693"/>
    <x v="3"/>
    <x v="0"/>
    <x v="0"/>
    <n v="8"/>
    <n v="80"/>
    <n v="0.08"/>
    <x v="7"/>
    <n v="640"/>
    <n v="51.2"/>
    <n v="588.8"/>
  </r>
  <r>
    <x v="694"/>
    <x v="3"/>
    <x v="2"/>
    <x v="4"/>
    <n v="22"/>
    <n v="230"/>
    <n v="0.1"/>
    <x v="8"/>
    <n v="5060"/>
    <n v="506"/>
    <n v="4554"/>
  </r>
  <r>
    <x v="695"/>
    <x v="3"/>
    <x v="2"/>
    <x v="4"/>
    <n v="3"/>
    <n v="230"/>
    <n v="0.1"/>
    <x v="9"/>
    <n v="690"/>
    <n v="69"/>
    <n v="621"/>
  </r>
  <r>
    <x v="696"/>
    <x v="3"/>
    <x v="2"/>
    <x v="4"/>
    <n v="20"/>
    <n v="230"/>
    <n v="0.11"/>
    <x v="6"/>
    <n v="4600"/>
    <n v="506"/>
    <n v="4094"/>
  </r>
  <r>
    <x v="697"/>
    <x v="3"/>
    <x v="3"/>
    <x v="2"/>
    <n v="12"/>
    <n v="16"/>
    <n v="0.03"/>
    <x v="7"/>
    <n v="192"/>
    <n v="5.76"/>
    <n v="186.24"/>
  </r>
  <r>
    <x v="698"/>
    <x v="3"/>
    <x v="1"/>
    <x v="4"/>
    <n v="20"/>
    <n v="40"/>
    <n v="0.07"/>
    <x v="8"/>
    <n v="800"/>
    <n v="56"/>
    <n v="744"/>
  </r>
  <r>
    <x v="699"/>
    <x v="3"/>
    <x v="2"/>
    <x v="0"/>
    <n v="3"/>
    <n v="230"/>
    <n v="0.06"/>
    <x v="9"/>
    <n v="690"/>
    <n v="41.4"/>
    <n v="648.6"/>
  </r>
  <r>
    <x v="700"/>
    <x v="3"/>
    <x v="0"/>
    <x v="3"/>
    <n v="16"/>
    <n v="80"/>
    <n v="0.07"/>
    <x v="6"/>
    <n v="1280"/>
    <n v="89.6"/>
    <n v="1190.4"/>
  </r>
  <r>
    <x v="701"/>
    <x v="4"/>
    <x v="1"/>
    <x v="4"/>
    <n v="3"/>
    <n v="40"/>
    <n v="0.03"/>
    <x v="7"/>
    <n v="120"/>
    <n v="3.6"/>
    <n v="116.4"/>
  </r>
  <r>
    <x v="702"/>
    <x v="4"/>
    <x v="2"/>
    <x v="2"/>
    <n v="12"/>
    <n v="230"/>
    <n v="0.03"/>
    <x v="8"/>
    <n v="2760"/>
    <n v="82.8"/>
    <n v="2677.2"/>
  </r>
  <r>
    <x v="703"/>
    <x v="4"/>
    <x v="1"/>
    <x v="3"/>
    <n v="22"/>
    <n v="40"/>
    <n v="0.01"/>
    <x v="9"/>
    <n v="880"/>
    <n v="8.8"/>
    <n v="871.2"/>
  </r>
  <r>
    <x v="704"/>
    <x v="4"/>
    <x v="1"/>
    <x v="1"/>
    <n v="19"/>
    <n v="40"/>
    <n v="0.1"/>
    <x v="6"/>
    <n v="760"/>
    <n v="76"/>
    <n v="684"/>
  </r>
  <r>
    <x v="705"/>
    <x v="4"/>
    <x v="0"/>
    <x v="1"/>
    <n v="21"/>
    <n v="80"/>
    <n v="0.04"/>
    <x v="7"/>
    <n v="1680"/>
    <n v="67.2"/>
    <n v="1612.8"/>
  </r>
  <r>
    <x v="706"/>
    <x v="4"/>
    <x v="0"/>
    <x v="1"/>
    <n v="2"/>
    <n v="80"/>
    <n v="0.04"/>
    <x v="8"/>
    <n v="160"/>
    <n v="6.4"/>
    <n v="153.6"/>
  </r>
  <r>
    <x v="707"/>
    <x v="4"/>
    <x v="4"/>
    <x v="1"/>
    <n v="15"/>
    <n v="150"/>
    <n v="0.02"/>
    <x v="9"/>
    <n v="2250"/>
    <n v="45"/>
    <n v="2205"/>
  </r>
  <r>
    <x v="708"/>
    <x v="5"/>
    <x v="1"/>
    <x v="1"/>
    <n v="14"/>
    <n v="40"/>
    <n v="0.06"/>
    <x v="6"/>
    <n v="560"/>
    <n v="33.6"/>
    <n v="526.4"/>
  </r>
  <r>
    <x v="709"/>
    <x v="5"/>
    <x v="0"/>
    <x v="3"/>
    <n v="7"/>
    <n v="80"/>
    <n v="0.07"/>
    <x v="7"/>
    <n v="560"/>
    <n v="39.2"/>
    <n v="520.8"/>
  </r>
  <r>
    <x v="710"/>
    <x v="5"/>
    <x v="0"/>
    <x v="2"/>
    <n v="7"/>
    <n v="80"/>
    <n v="0.05"/>
    <x v="8"/>
    <n v="560"/>
    <n v="28"/>
    <n v="532"/>
  </r>
  <r>
    <x v="711"/>
    <x v="5"/>
    <x v="4"/>
    <x v="1"/>
    <n v="10"/>
    <n v="150"/>
    <n v="0.01"/>
    <x v="9"/>
    <n v="1500"/>
    <n v="15"/>
    <n v="1485"/>
  </r>
  <r>
    <x v="712"/>
    <x v="5"/>
    <x v="0"/>
    <x v="2"/>
    <n v="10"/>
    <n v="80"/>
    <n v="0.08"/>
    <x v="6"/>
    <n v="800"/>
    <n v="64"/>
    <n v="736"/>
  </r>
  <r>
    <x v="713"/>
    <x v="5"/>
    <x v="0"/>
    <x v="3"/>
    <n v="15"/>
    <n v="80"/>
    <n v="0.08"/>
    <x v="7"/>
    <n v="1200"/>
    <n v="96"/>
    <n v="1104"/>
  </r>
  <r>
    <x v="714"/>
    <x v="5"/>
    <x v="2"/>
    <x v="3"/>
    <n v="18"/>
    <n v="230"/>
    <n v="0.01"/>
    <x v="8"/>
    <n v="4140"/>
    <n v="41.4"/>
    <n v="4098.6"/>
  </r>
  <r>
    <x v="715"/>
    <x v="5"/>
    <x v="0"/>
    <x v="0"/>
    <n v="8"/>
    <n v="80"/>
    <n v="0.09"/>
    <x v="9"/>
    <n v="640"/>
    <n v="57.6"/>
    <n v="582.4"/>
  </r>
  <r>
    <x v="716"/>
    <x v="5"/>
    <x v="3"/>
    <x v="2"/>
    <n v="6"/>
    <n v="16"/>
    <n v="0.01"/>
    <x v="6"/>
    <n v="96"/>
    <n v="0.96"/>
    <n v="95.04"/>
  </r>
  <r>
    <x v="717"/>
    <x v="5"/>
    <x v="2"/>
    <x v="1"/>
    <n v="9"/>
    <n v="230"/>
    <n v="0.03"/>
    <x v="7"/>
    <n v="2070"/>
    <n v="62.1"/>
    <n v="2007.9"/>
  </r>
  <r>
    <x v="718"/>
    <x v="6"/>
    <x v="1"/>
    <x v="3"/>
    <n v="15"/>
    <n v="40"/>
    <n v="0.03"/>
    <x v="8"/>
    <n v="600"/>
    <n v="18"/>
    <n v="582"/>
  </r>
  <r>
    <x v="719"/>
    <x v="6"/>
    <x v="1"/>
    <x v="1"/>
    <n v="15"/>
    <n v="40"/>
    <n v="0.04"/>
    <x v="9"/>
    <n v="600"/>
    <n v="24"/>
    <n v="576"/>
  </r>
  <r>
    <x v="720"/>
    <x v="6"/>
    <x v="3"/>
    <x v="4"/>
    <n v="11"/>
    <n v="16"/>
    <n v="0.12"/>
    <x v="6"/>
    <n v="176"/>
    <n v="21.12"/>
    <n v="154.88"/>
  </r>
  <r>
    <x v="721"/>
    <x v="6"/>
    <x v="3"/>
    <x v="0"/>
    <n v="12"/>
    <n v="16"/>
    <n v="0.11"/>
    <x v="2"/>
    <n v="192"/>
    <n v="21.12"/>
    <n v="170.88"/>
  </r>
  <r>
    <x v="722"/>
    <x v="6"/>
    <x v="3"/>
    <x v="3"/>
    <n v="18"/>
    <n v="16"/>
    <n v="0.04"/>
    <x v="8"/>
    <n v="288"/>
    <n v="11.52"/>
    <n v="276.48"/>
  </r>
  <r>
    <x v="723"/>
    <x v="6"/>
    <x v="1"/>
    <x v="2"/>
    <n v="20"/>
    <n v="40"/>
    <n v="0.01"/>
    <x v="2"/>
    <n v="800"/>
    <n v="8"/>
    <n v="792"/>
  </r>
  <r>
    <x v="724"/>
    <x v="6"/>
    <x v="4"/>
    <x v="4"/>
    <n v="7"/>
    <n v="150"/>
    <n v="0.03"/>
    <x v="8"/>
    <n v="1050"/>
    <n v="31.5"/>
    <n v="1018.5"/>
  </r>
  <r>
    <x v="725"/>
    <x v="6"/>
    <x v="1"/>
    <x v="3"/>
    <n v="23"/>
    <n v="40"/>
    <n v="0.06"/>
    <x v="2"/>
    <n v="920"/>
    <n v="55.2"/>
    <n v="864.8"/>
  </r>
  <r>
    <x v="726"/>
    <x v="6"/>
    <x v="0"/>
    <x v="0"/>
    <n v="7"/>
    <n v="80"/>
    <n v="0.02"/>
    <x v="8"/>
    <n v="560"/>
    <n v="11.2"/>
    <n v="548.8"/>
  </r>
  <r>
    <x v="727"/>
    <x v="6"/>
    <x v="4"/>
    <x v="1"/>
    <n v="16"/>
    <n v="150"/>
    <n v="0.05"/>
    <x v="2"/>
    <n v="2400"/>
    <n v="120"/>
    <n v="2280"/>
  </r>
  <r>
    <x v="728"/>
    <x v="6"/>
    <x v="2"/>
    <x v="1"/>
    <n v="6"/>
    <n v="230"/>
    <n v="0.1"/>
    <x v="8"/>
    <n v="1380"/>
    <n v="138"/>
    <n v="1242"/>
  </r>
  <r>
    <x v="729"/>
    <x v="7"/>
    <x v="1"/>
    <x v="4"/>
    <n v="7"/>
    <n v="40"/>
    <n v="0.12"/>
    <x v="2"/>
    <n v="280"/>
    <n v="33.6"/>
    <n v="246.4"/>
  </r>
  <r>
    <x v="730"/>
    <x v="7"/>
    <x v="0"/>
    <x v="2"/>
    <n v="23"/>
    <n v="80"/>
    <n v="0.05"/>
    <x v="8"/>
    <n v="1840"/>
    <n v="92"/>
    <n v="1748"/>
  </r>
  <r>
    <x v="731"/>
    <x v="7"/>
    <x v="0"/>
    <x v="3"/>
    <n v="16"/>
    <n v="80"/>
    <n v="0.1"/>
    <x v="2"/>
    <n v="1280"/>
    <n v="128"/>
    <n v="1152"/>
  </r>
  <r>
    <x v="732"/>
    <x v="7"/>
    <x v="0"/>
    <x v="0"/>
    <n v="16"/>
    <n v="80"/>
    <n v="0.03"/>
    <x v="8"/>
    <n v="1280"/>
    <n v="38.4"/>
    <n v="1241.6"/>
  </r>
  <r>
    <x v="733"/>
    <x v="7"/>
    <x v="0"/>
    <x v="4"/>
    <n v="22"/>
    <n v="80"/>
    <n v="0.09"/>
    <x v="2"/>
    <n v="1760"/>
    <n v="158.4"/>
    <n v="1601.6"/>
  </r>
  <r>
    <x v="734"/>
    <x v="7"/>
    <x v="3"/>
    <x v="0"/>
    <n v="18"/>
    <n v="16"/>
    <n v="0.05"/>
    <x v="8"/>
    <n v="288"/>
    <n v="14.4"/>
    <n v="273.6"/>
  </r>
  <r>
    <x v="735"/>
    <x v="7"/>
    <x v="2"/>
    <x v="4"/>
    <n v="5"/>
    <n v="230"/>
    <n v="0.12"/>
    <x v="2"/>
    <n v="1150"/>
    <n v="138"/>
    <n v="1012"/>
  </r>
  <r>
    <x v="736"/>
    <x v="7"/>
    <x v="4"/>
    <x v="4"/>
    <n v="7"/>
    <n v="150"/>
    <n v="0.02"/>
    <x v="8"/>
    <n v="1050"/>
    <n v="21"/>
    <n v="1029"/>
  </r>
  <r>
    <x v="737"/>
    <x v="7"/>
    <x v="1"/>
    <x v="2"/>
    <n v="2"/>
    <n v="40"/>
    <n v="0.03"/>
    <x v="2"/>
    <n v="80"/>
    <n v="2.4"/>
    <n v="77.6"/>
  </r>
  <r>
    <x v="738"/>
    <x v="7"/>
    <x v="1"/>
    <x v="3"/>
    <n v="11"/>
    <n v="40"/>
    <n v="0.06"/>
    <x v="8"/>
    <n v="440"/>
    <n v="26.4"/>
    <n v="413.6"/>
  </r>
  <r>
    <x v="739"/>
    <x v="7"/>
    <x v="0"/>
    <x v="3"/>
    <n v="7"/>
    <n v="80"/>
    <n v="0.02"/>
    <x v="2"/>
    <n v="560"/>
    <n v="11.2"/>
    <n v="548.8"/>
  </r>
  <r>
    <x v="740"/>
    <x v="8"/>
    <x v="1"/>
    <x v="2"/>
    <n v="4"/>
    <n v="40"/>
    <n v="0.11"/>
    <x v="8"/>
    <n v="160"/>
    <n v="17.6"/>
    <n v="142.4"/>
  </r>
  <r>
    <x v="741"/>
    <x v="8"/>
    <x v="1"/>
    <x v="2"/>
    <n v="2"/>
    <n v="40"/>
    <n v="0.02"/>
    <x v="2"/>
    <n v="80"/>
    <n v="1.6"/>
    <n v="78.4"/>
  </r>
  <r>
    <x v="742"/>
    <x v="8"/>
    <x v="2"/>
    <x v="3"/>
    <n v="23"/>
    <n v="230"/>
    <n v="0.06"/>
    <x v="8"/>
    <n v="5290"/>
    <n v="317.4"/>
    <n v="4972.6"/>
  </r>
  <r>
    <x v="743"/>
    <x v="8"/>
    <x v="0"/>
    <x v="4"/>
    <n v="21"/>
    <n v="80"/>
    <n v="0.09"/>
    <x v="2"/>
    <n v="1680"/>
    <n v="151.2"/>
    <n v="1528.8"/>
  </r>
  <r>
    <x v="744"/>
    <x v="8"/>
    <x v="0"/>
    <x v="4"/>
    <n v="9"/>
    <n v="80"/>
    <n v="0.06"/>
    <x v="8"/>
    <n v="720"/>
    <n v="43.2"/>
    <n v="676.8"/>
  </r>
  <r>
    <x v="745"/>
    <x v="8"/>
    <x v="0"/>
    <x v="4"/>
    <n v="22"/>
    <n v="80"/>
    <n v="0.11"/>
    <x v="2"/>
    <n v="1760"/>
    <n v="193.6"/>
    <n v="1566.4"/>
  </r>
  <r>
    <x v="746"/>
    <x v="9"/>
    <x v="2"/>
    <x v="2"/>
    <n v="15"/>
    <n v="230"/>
    <n v="0.11"/>
    <x v="8"/>
    <n v="3450"/>
    <n v="379.5"/>
    <n v="3070.5"/>
  </r>
  <r>
    <x v="747"/>
    <x v="9"/>
    <x v="1"/>
    <x v="1"/>
    <n v="7"/>
    <n v="40"/>
    <n v="0.01"/>
    <x v="2"/>
    <n v="280"/>
    <n v="2.8"/>
    <n v="277.2"/>
  </r>
  <r>
    <x v="748"/>
    <x v="9"/>
    <x v="4"/>
    <x v="4"/>
    <n v="17"/>
    <n v="150"/>
    <n v="0.02"/>
    <x v="8"/>
    <n v="2550"/>
    <n v="51"/>
    <n v="2499"/>
  </r>
  <r>
    <x v="749"/>
    <x v="9"/>
    <x v="4"/>
    <x v="1"/>
    <n v="22"/>
    <n v="150"/>
    <n v="0.02"/>
    <x v="2"/>
    <n v="3300"/>
    <n v="66"/>
    <n v="3234"/>
  </r>
  <r>
    <x v="750"/>
    <x v="9"/>
    <x v="2"/>
    <x v="2"/>
    <n v="10"/>
    <n v="230"/>
    <n v="0.02"/>
    <x v="8"/>
    <n v="2300"/>
    <n v="46"/>
    <n v="2254"/>
  </r>
  <r>
    <x v="751"/>
    <x v="9"/>
    <x v="1"/>
    <x v="4"/>
    <n v="21"/>
    <n v="40"/>
    <n v="0.01"/>
    <x v="2"/>
    <n v="840"/>
    <n v="8.4"/>
    <n v="831.6"/>
  </r>
  <r>
    <x v="752"/>
    <x v="9"/>
    <x v="2"/>
    <x v="2"/>
    <n v="5"/>
    <n v="230"/>
    <n v="0.1"/>
    <x v="8"/>
    <n v="1150"/>
    <n v="115"/>
    <n v="1035"/>
  </r>
  <r>
    <x v="753"/>
    <x v="9"/>
    <x v="2"/>
    <x v="4"/>
    <n v="13"/>
    <n v="230"/>
    <n v="0.06"/>
    <x v="2"/>
    <n v="2990"/>
    <n v="179.4"/>
    <n v="2810.6"/>
  </r>
  <r>
    <x v="754"/>
    <x v="9"/>
    <x v="4"/>
    <x v="0"/>
    <n v="23"/>
    <n v="150"/>
    <n v="0.1"/>
    <x v="8"/>
    <n v="3450"/>
    <n v="345"/>
    <n v="3105"/>
  </r>
  <r>
    <x v="755"/>
    <x v="9"/>
    <x v="4"/>
    <x v="0"/>
    <n v="20"/>
    <n v="150"/>
    <n v="0.03"/>
    <x v="2"/>
    <n v="3000"/>
    <n v="90"/>
    <n v="2910"/>
  </r>
  <r>
    <x v="756"/>
    <x v="10"/>
    <x v="2"/>
    <x v="0"/>
    <n v="3"/>
    <n v="230"/>
    <n v="0.11"/>
    <x v="8"/>
    <n v="690"/>
    <n v="75.9"/>
    <n v="614.1"/>
  </r>
  <r>
    <x v="757"/>
    <x v="10"/>
    <x v="4"/>
    <x v="1"/>
    <n v="16"/>
    <n v="150"/>
    <n v="0.08"/>
    <x v="2"/>
    <n v="2400"/>
    <n v="192"/>
    <n v="2208"/>
  </r>
  <r>
    <x v="758"/>
    <x v="10"/>
    <x v="3"/>
    <x v="4"/>
    <n v="14"/>
    <n v="16"/>
    <n v="0.06"/>
    <x v="8"/>
    <n v="224"/>
    <n v="13.44"/>
    <n v="210.56"/>
  </r>
  <r>
    <x v="759"/>
    <x v="10"/>
    <x v="4"/>
    <x v="1"/>
    <n v="16"/>
    <n v="150"/>
    <n v="0.03"/>
    <x v="2"/>
    <n v="2400"/>
    <n v="72"/>
    <n v="2328"/>
  </r>
  <r>
    <x v="760"/>
    <x v="10"/>
    <x v="3"/>
    <x v="4"/>
    <n v="19"/>
    <n v="16"/>
    <n v="0.02"/>
    <x v="8"/>
    <n v="304"/>
    <n v="6.08"/>
    <n v="297.92"/>
  </r>
  <r>
    <x v="761"/>
    <x v="10"/>
    <x v="0"/>
    <x v="4"/>
    <n v="6"/>
    <n v="80"/>
    <n v="0.09"/>
    <x v="2"/>
    <n v="480"/>
    <n v="43.2"/>
    <n v="436.8"/>
  </r>
  <r>
    <x v="762"/>
    <x v="10"/>
    <x v="0"/>
    <x v="4"/>
    <n v="9"/>
    <n v="80"/>
    <n v="0.07"/>
    <x v="8"/>
    <n v="720"/>
    <n v="50.4"/>
    <n v="669.6"/>
  </r>
  <r>
    <x v="763"/>
    <x v="10"/>
    <x v="4"/>
    <x v="1"/>
    <n v="20"/>
    <n v="150"/>
    <n v="0.09"/>
    <x v="2"/>
    <n v="3000"/>
    <n v="270"/>
    <n v="2730"/>
  </r>
  <r>
    <x v="764"/>
    <x v="10"/>
    <x v="0"/>
    <x v="2"/>
    <n v="10"/>
    <n v="80"/>
    <n v="0.11"/>
    <x v="8"/>
    <n v="800"/>
    <n v="88"/>
    <n v="712"/>
  </r>
  <r>
    <x v="765"/>
    <x v="10"/>
    <x v="3"/>
    <x v="0"/>
    <n v="4"/>
    <n v="16"/>
    <n v="0.12"/>
    <x v="2"/>
    <n v="64"/>
    <n v="7.68"/>
    <n v="56.32"/>
  </r>
  <r>
    <x v="766"/>
    <x v="10"/>
    <x v="1"/>
    <x v="4"/>
    <n v="16"/>
    <n v="40"/>
    <n v="0.11"/>
    <x v="8"/>
    <n v="640"/>
    <n v="70.4"/>
    <n v="569.6"/>
  </r>
  <r>
    <x v="767"/>
    <x v="11"/>
    <x v="0"/>
    <x v="1"/>
    <n v="5"/>
    <n v="80"/>
    <n v="0.04"/>
    <x v="2"/>
    <n v="400"/>
    <n v="16"/>
    <n v="384"/>
  </r>
  <r>
    <x v="768"/>
    <x v="11"/>
    <x v="3"/>
    <x v="2"/>
    <n v="11"/>
    <n v="16"/>
    <n v="0.04"/>
    <x v="8"/>
    <n v="176"/>
    <n v="7.04"/>
    <n v="168.96"/>
  </r>
  <r>
    <x v="769"/>
    <x v="11"/>
    <x v="4"/>
    <x v="0"/>
    <n v="17"/>
    <n v="150"/>
    <n v="0.12"/>
    <x v="2"/>
    <n v="2550"/>
    <n v="306"/>
    <n v="2244"/>
  </r>
  <r>
    <x v="770"/>
    <x v="11"/>
    <x v="2"/>
    <x v="1"/>
    <n v="19"/>
    <n v="230"/>
    <n v="0.11"/>
    <x v="8"/>
    <n v="4370"/>
    <n v="480.7"/>
    <n v="3889.3"/>
  </r>
  <r>
    <x v="771"/>
    <x v="11"/>
    <x v="0"/>
    <x v="0"/>
    <n v="21"/>
    <n v="80"/>
    <n v="0.04"/>
    <x v="2"/>
    <n v="1680"/>
    <n v="67.2"/>
    <n v="1612.8"/>
  </r>
  <r>
    <x v="772"/>
    <x v="11"/>
    <x v="2"/>
    <x v="1"/>
    <n v="7"/>
    <n v="230"/>
    <n v="0.01"/>
    <x v="8"/>
    <n v="1610"/>
    <n v="16.1"/>
    <n v="1593.9"/>
  </r>
  <r>
    <x v="773"/>
    <x v="11"/>
    <x v="1"/>
    <x v="2"/>
    <n v="2"/>
    <n v="40"/>
    <n v="0.03"/>
    <x v="2"/>
    <n v="80"/>
    <n v="2.4"/>
    <n v="77.6"/>
  </r>
  <r>
    <x v="774"/>
    <x v="11"/>
    <x v="4"/>
    <x v="0"/>
    <n v="7"/>
    <n v="150"/>
    <n v="0.02"/>
    <x v="8"/>
    <n v="1050"/>
    <n v="21"/>
    <n v="1029"/>
  </r>
  <r>
    <x v="775"/>
    <x v="12"/>
    <x v="0"/>
    <x v="2"/>
    <n v="16"/>
    <n v="80"/>
    <n v="0.04"/>
    <x v="2"/>
    <n v="1280"/>
    <n v="51.2"/>
    <n v="1228.8"/>
  </r>
  <r>
    <x v="776"/>
    <x v="12"/>
    <x v="1"/>
    <x v="1"/>
    <n v="4"/>
    <n v="40"/>
    <n v="0.12"/>
    <x v="8"/>
    <n v="160"/>
    <n v="19.2"/>
    <n v="140.8"/>
  </r>
  <r>
    <x v="777"/>
    <x v="12"/>
    <x v="3"/>
    <x v="0"/>
    <n v="22"/>
    <n v="16"/>
    <n v="0.01"/>
    <x v="2"/>
    <n v="352"/>
    <n v="3.52"/>
    <n v="348.48"/>
  </r>
  <r>
    <x v="778"/>
    <x v="12"/>
    <x v="1"/>
    <x v="3"/>
    <n v="18"/>
    <n v="40"/>
    <n v="0.06"/>
    <x v="8"/>
    <n v="720"/>
    <n v="43.2"/>
    <n v="676.8"/>
  </r>
  <r>
    <x v="779"/>
    <x v="12"/>
    <x v="0"/>
    <x v="2"/>
    <n v="6"/>
    <n v="80"/>
    <n v="0.01"/>
    <x v="2"/>
    <n v="480"/>
    <n v="4.8"/>
    <n v="475.2"/>
  </r>
  <r>
    <x v="780"/>
    <x v="12"/>
    <x v="2"/>
    <x v="2"/>
    <n v="2"/>
    <n v="230"/>
    <n v="0.09"/>
    <x v="8"/>
    <n v="460"/>
    <n v="41.4"/>
    <n v="418.6"/>
  </r>
  <r>
    <x v="781"/>
    <x v="13"/>
    <x v="4"/>
    <x v="4"/>
    <n v="11"/>
    <n v="150"/>
    <n v="0.09"/>
    <x v="2"/>
    <n v="1650"/>
    <n v="148.5"/>
    <n v="1501.5"/>
  </r>
  <r>
    <x v="782"/>
    <x v="13"/>
    <x v="4"/>
    <x v="3"/>
    <n v="15"/>
    <n v="150"/>
    <n v="0.08"/>
    <x v="8"/>
    <n v="2250"/>
    <n v="180"/>
    <n v="2070"/>
  </r>
  <r>
    <x v="783"/>
    <x v="13"/>
    <x v="0"/>
    <x v="0"/>
    <n v="17"/>
    <n v="80"/>
    <n v="0.09"/>
    <x v="2"/>
    <n v="1360"/>
    <n v="122.4"/>
    <n v="1237.6"/>
  </r>
  <r>
    <x v="784"/>
    <x v="13"/>
    <x v="4"/>
    <x v="4"/>
    <n v="13"/>
    <n v="150"/>
    <n v="0.11"/>
    <x v="8"/>
    <n v="1950"/>
    <n v="214.5"/>
    <n v="1735.5"/>
  </r>
  <r>
    <x v="785"/>
    <x v="13"/>
    <x v="1"/>
    <x v="3"/>
    <n v="7"/>
    <n v="40"/>
    <n v="0.07"/>
    <x v="2"/>
    <n v="280"/>
    <n v="19.6"/>
    <n v="260.4"/>
  </r>
  <r>
    <x v="786"/>
    <x v="13"/>
    <x v="2"/>
    <x v="3"/>
    <n v="3"/>
    <n v="230"/>
    <n v="0.01"/>
    <x v="8"/>
    <n v="690"/>
    <n v="6.9"/>
    <n v="683.1"/>
  </r>
  <r>
    <x v="787"/>
    <x v="13"/>
    <x v="1"/>
    <x v="2"/>
    <n v="12"/>
    <n v="40"/>
    <n v="0.02"/>
    <x v="2"/>
    <n v="480"/>
    <n v="9.6"/>
    <n v="470.4"/>
  </r>
  <r>
    <x v="788"/>
    <x v="13"/>
    <x v="4"/>
    <x v="2"/>
    <n v="11"/>
    <n v="150"/>
    <n v="0.11"/>
    <x v="8"/>
    <n v="1650"/>
    <n v="181.5"/>
    <n v="1468.5"/>
  </r>
  <r>
    <x v="789"/>
    <x v="13"/>
    <x v="1"/>
    <x v="1"/>
    <n v="21"/>
    <n v="40"/>
    <n v="0.03"/>
    <x v="2"/>
    <n v="840"/>
    <n v="25.2"/>
    <n v="814.8"/>
  </r>
  <r>
    <x v="790"/>
    <x v="13"/>
    <x v="4"/>
    <x v="0"/>
    <n v="22"/>
    <n v="150"/>
    <n v="0.07"/>
    <x v="8"/>
    <n v="3300"/>
    <n v="231"/>
    <n v="3069"/>
  </r>
  <r>
    <x v="791"/>
    <x v="13"/>
    <x v="1"/>
    <x v="2"/>
    <n v="20"/>
    <n v="40"/>
    <n v="0.01"/>
    <x v="2"/>
    <n v="800"/>
    <n v="8"/>
    <n v="792"/>
  </r>
  <r>
    <x v="792"/>
    <x v="14"/>
    <x v="3"/>
    <x v="4"/>
    <n v="22"/>
    <n v="16"/>
    <n v="0.12"/>
    <x v="8"/>
    <n v="352"/>
    <n v="42.24"/>
    <n v="309.76"/>
  </r>
  <r>
    <x v="793"/>
    <x v="14"/>
    <x v="1"/>
    <x v="2"/>
    <n v="4"/>
    <n v="40"/>
    <n v="0.1"/>
    <x v="2"/>
    <n v="160"/>
    <n v="16"/>
    <n v="144"/>
  </r>
  <r>
    <x v="794"/>
    <x v="14"/>
    <x v="2"/>
    <x v="3"/>
    <n v="2"/>
    <n v="230"/>
    <n v="0.09"/>
    <x v="8"/>
    <n v="460"/>
    <n v="41.4"/>
    <n v="418.6"/>
  </r>
  <r>
    <x v="795"/>
    <x v="14"/>
    <x v="1"/>
    <x v="0"/>
    <n v="22"/>
    <n v="40"/>
    <n v="0.02"/>
    <x v="2"/>
    <n v="880"/>
    <n v="17.6"/>
    <n v="862.4"/>
  </r>
  <r>
    <x v="796"/>
    <x v="14"/>
    <x v="1"/>
    <x v="1"/>
    <n v="4"/>
    <n v="40"/>
    <n v="0.03"/>
    <x v="8"/>
    <n v="160"/>
    <n v="4.8"/>
    <n v="155.2"/>
  </r>
  <r>
    <x v="797"/>
    <x v="14"/>
    <x v="3"/>
    <x v="1"/>
    <n v="5"/>
    <n v="16"/>
    <n v="0.11"/>
    <x v="2"/>
    <n v="80"/>
    <n v="8.8"/>
    <n v="71.2"/>
  </r>
  <r>
    <x v="798"/>
    <x v="14"/>
    <x v="0"/>
    <x v="3"/>
    <n v="2"/>
    <n v="80"/>
    <n v="0.08"/>
    <x v="8"/>
    <n v="160"/>
    <n v="12.8"/>
    <n v="147.2"/>
  </r>
  <r>
    <x v="799"/>
    <x v="14"/>
    <x v="3"/>
    <x v="2"/>
    <n v="9"/>
    <n v="16"/>
    <n v="0.05"/>
    <x v="2"/>
    <n v="144"/>
    <n v="7.2"/>
    <n v="136.8"/>
  </r>
  <r>
    <x v="800"/>
    <x v="14"/>
    <x v="2"/>
    <x v="2"/>
    <n v="6"/>
    <n v="230"/>
    <n v="0.05"/>
    <x v="8"/>
    <n v="1380"/>
    <n v="69"/>
    <n v="1311"/>
  </r>
  <r>
    <x v="801"/>
    <x v="14"/>
    <x v="4"/>
    <x v="3"/>
    <n v="22"/>
    <n v="150"/>
    <n v="0.05"/>
    <x v="2"/>
    <n v="3300"/>
    <n v="165"/>
    <n v="3135"/>
  </r>
  <r>
    <x v="802"/>
    <x v="15"/>
    <x v="2"/>
    <x v="3"/>
    <n v="8"/>
    <n v="230"/>
    <n v="0.01"/>
    <x v="8"/>
    <n v="1840"/>
    <n v="18.4"/>
    <n v="1821.6"/>
  </r>
  <r>
    <x v="803"/>
    <x v="15"/>
    <x v="4"/>
    <x v="0"/>
    <n v="22"/>
    <n v="150"/>
    <n v="0.05"/>
    <x v="2"/>
    <n v="3300"/>
    <n v="165"/>
    <n v="3135"/>
  </r>
  <r>
    <x v="804"/>
    <x v="15"/>
    <x v="1"/>
    <x v="0"/>
    <n v="5"/>
    <n v="40"/>
    <n v="0.06"/>
    <x v="8"/>
    <n v="200"/>
    <n v="12"/>
    <n v="188"/>
  </r>
  <r>
    <x v="805"/>
    <x v="15"/>
    <x v="4"/>
    <x v="3"/>
    <n v="20"/>
    <n v="150"/>
    <n v="0.1"/>
    <x v="2"/>
    <n v="3000"/>
    <n v="300"/>
    <n v="2700"/>
  </r>
  <r>
    <x v="806"/>
    <x v="15"/>
    <x v="0"/>
    <x v="3"/>
    <n v="22"/>
    <n v="80"/>
    <n v="0.03"/>
    <x v="8"/>
    <n v="1760"/>
    <n v="52.8"/>
    <n v="1707.2"/>
  </r>
  <r>
    <x v="807"/>
    <x v="15"/>
    <x v="3"/>
    <x v="0"/>
    <n v="11"/>
    <n v="16"/>
    <n v="0.09"/>
    <x v="2"/>
    <n v="176"/>
    <n v="15.84"/>
    <n v="160.16"/>
  </r>
  <r>
    <x v="808"/>
    <x v="15"/>
    <x v="3"/>
    <x v="1"/>
    <n v="22"/>
    <n v="16"/>
    <n v="0.01"/>
    <x v="8"/>
    <n v="352"/>
    <n v="3.52"/>
    <n v="348.48"/>
  </r>
  <r>
    <x v="809"/>
    <x v="15"/>
    <x v="1"/>
    <x v="1"/>
    <n v="23"/>
    <n v="40"/>
    <n v="0.06"/>
    <x v="2"/>
    <n v="920"/>
    <n v="55.2"/>
    <n v="864.8"/>
  </r>
  <r>
    <x v="810"/>
    <x v="15"/>
    <x v="0"/>
    <x v="2"/>
    <n v="14"/>
    <n v="80"/>
    <n v="0.1"/>
    <x v="8"/>
    <n v="1120"/>
    <n v="112"/>
    <n v="1008"/>
  </r>
  <r>
    <x v="811"/>
    <x v="15"/>
    <x v="1"/>
    <x v="0"/>
    <n v="18"/>
    <n v="40"/>
    <n v="0.06"/>
    <x v="2"/>
    <n v="720"/>
    <n v="43.2"/>
    <n v="676.8"/>
  </r>
  <r>
    <x v="812"/>
    <x v="16"/>
    <x v="4"/>
    <x v="3"/>
    <n v="7"/>
    <n v="150"/>
    <n v="0.05"/>
    <x v="1"/>
    <n v="1050"/>
    <n v="52.5"/>
    <n v="997.5"/>
  </r>
  <r>
    <x v="813"/>
    <x v="16"/>
    <x v="1"/>
    <x v="3"/>
    <n v="15"/>
    <n v="40"/>
    <n v="0.03"/>
    <x v="2"/>
    <n v="600"/>
    <n v="18"/>
    <n v="582"/>
  </r>
  <r>
    <x v="814"/>
    <x v="16"/>
    <x v="3"/>
    <x v="0"/>
    <n v="7"/>
    <n v="16"/>
    <n v="0.02"/>
    <x v="3"/>
    <n v="112"/>
    <n v="2.24"/>
    <n v="109.76"/>
  </r>
  <r>
    <x v="815"/>
    <x v="16"/>
    <x v="3"/>
    <x v="3"/>
    <n v="15"/>
    <n v="16"/>
    <n v="0.12"/>
    <x v="4"/>
    <n v="240"/>
    <n v="28.8"/>
    <n v="211.2"/>
  </r>
  <r>
    <x v="816"/>
    <x v="16"/>
    <x v="1"/>
    <x v="0"/>
    <n v="5"/>
    <n v="40"/>
    <n v="0.09"/>
    <x v="5"/>
    <n v="200"/>
    <n v="18"/>
    <n v="182"/>
  </r>
  <r>
    <x v="817"/>
    <x v="16"/>
    <x v="1"/>
    <x v="4"/>
    <n v="20"/>
    <n v="40"/>
    <n v="0.03"/>
    <x v="6"/>
    <n v="800"/>
    <n v="24"/>
    <n v="776"/>
  </r>
  <r>
    <x v="818"/>
    <x v="16"/>
    <x v="2"/>
    <x v="3"/>
    <n v="11"/>
    <n v="230"/>
    <n v="0.12"/>
    <x v="7"/>
    <n v="2530"/>
    <n v="303.6"/>
    <n v="2226.4"/>
  </r>
  <r>
    <x v="819"/>
    <x v="16"/>
    <x v="3"/>
    <x v="4"/>
    <n v="17"/>
    <n v="16"/>
    <n v="0.08"/>
    <x v="8"/>
    <n v="272"/>
    <n v="21.76"/>
    <n v="250.24"/>
  </r>
  <r>
    <x v="820"/>
    <x v="17"/>
    <x v="3"/>
    <x v="0"/>
    <n v="18"/>
    <n v="16"/>
    <n v="0.11"/>
    <x v="9"/>
    <n v="288"/>
    <n v="31.68"/>
    <n v="256.32"/>
  </r>
  <r>
    <x v="821"/>
    <x v="17"/>
    <x v="2"/>
    <x v="3"/>
    <n v="2"/>
    <n v="230"/>
    <n v="0.08"/>
    <x v="10"/>
    <n v="460"/>
    <n v="36.8"/>
    <n v="423.2"/>
  </r>
  <r>
    <x v="822"/>
    <x v="17"/>
    <x v="3"/>
    <x v="2"/>
    <n v="17"/>
    <n v="16"/>
    <n v="0.05"/>
    <x v="11"/>
    <n v="272"/>
    <n v="13.6"/>
    <n v="258.4"/>
  </r>
  <r>
    <x v="823"/>
    <x v="17"/>
    <x v="0"/>
    <x v="3"/>
    <n v="16"/>
    <n v="80"/>
    <n v="0.05"/>
    <x v="0"/>
    <n v="1280"/>
    <n v="64"/>
    <n v="1216"/>
  </r>
  <r>
    <x v="824"/>
    <x v="17"/>
    <x v="2"/>
    <x v="1"/>
    <n v="14"/>
    <n v="230"/>
    <n v="0.05"/>
    <x v="1"/>
    <n v="3220"/>
    <n v="161"/>
    <n v="3059"/>
  </r>
  <r>
    <x v="825"/>
    <x v="17"/>
    <x v="1"/>
    <x v="2"/>
    <n v="13"/>
    <n v="40"/>
    <n v="0.02"/>
    <x v="2"/>
    <n v="520"/>
    <n v="10.4"/>
    <n v="509.6"/>
  </r>
  <r>
    <x v="826"/>
    <x v="17"/>
    <x v="2"/>
    <x v="1"/>
    <n v="7"/>
    <n v="230"/>
    <n v="0.08"/>
    <x v="3"/>
    <n v="1610"/>
    <n v="128.8"/>
    <n v="1481.2"/>
  </r>
  <r>
    <x v="827"/>
    <x v="17"/>
    <x v="1"/>
    <x v="3"/>
    <n v="7"/>
    <n v="40"/>
    <n v="0.11"/>
    <x v="4"/>
    <n v="280"/>
    <n v="30.8"/>
    <n v="249.2"/>
  </r>
  <r>
    <x v="828"/>
    <x v="17"/>
    <x v="2"/>
    <x v="2"/>
    <n v="12"/>
    <n v="230"/>
    <n v="0.06"/>
    <x v="5"/>
    <n v="2760"/>
    <n v="165.6"/>
    <n v="2594.4"/>
  </r>
  <r>
    <x v="829"/>
    <x v="17"/>
    <x v="1"/>
    <x v="0"/>
    <n v="19"/>
    <n v="40"/>
    <n v="0.04"/>
    <x v="1"/>
    <n v="760"/>
    <n v="30.4"/>
    <n v="729.6"/>
  </r>
  <r>
    <x v="830"/>
    <x v="18"/>
    <x v="2"/>
    <x v="2"/>
    <n v="20"/>
    <n v="230"/>
    <n v="0.06"/>
    <x v="2"/>
    <n v="4600"/>
    <n v="276"/>
    <n v="4324"/>
  </r>
  <r>
    <x v="831"/>
    <x v="18"/>
    <x v="1"/>
    <x v="4"/>
    <n v="23"/>
    <n v="40"/>
    <n v="0.04"/>
    <x v="3"/>
    <n v="920"/>
    <n v="36.8"/>
    <n v="883.2"/>
  </r>
  <r>
    <x v="832"/>
    <x v="18"/>
    <x v="0"/>
    <x v="4"/>
    <n v="16"/>
    <n v="80"/>
    <n v="0.05"/>
    <x v="4"/>
    <n v="1280"/>
    <n v="64"/>
    <n v="1216"/>
  </r>
  <r>
    <x v="833"/>
    <x v="18"/>
    <x v="4"/>
    <x v="1"/>
    <n v="23"/>
    <n v="150"/>
    <n v="0.11"/>
    <x v="5"/>
    <n v="3450"/>
    <n v="379.5"/>
    <n v="3070.5"/>
  </r>
  <r>
    <x v="834"/>
    <x v="18"/>
    <x v="3"/>
    <x v="1"/>
    <n v="4"/>
    <n v="16"/>
    <n v="0.07"/>
    <x v="6"/>
    <n v="64"/>
    <n v="4.48"/>
    <n v="59.52"/>
  </r>
  <r>
    <x v="835"/>
    <x v="18"/>
    <x v="2"/>
    <x v="0"/>
    <n v="8"/>
    <n v="230"/>
    <n v="0.03"/>
    <x v="7"/>
    <n v="1840"/>
    <n v="55.2"/>
    <n v="1784.8"/>
  </r>
  <r>
    <x v="836"/>
    <x v="18"/>
    <x v="0"/>
    <x v="1"/>
    <n v="17"/>
    <n v="80"/>
    <n v="0.03"/>
    <x v="8"/>
    <n v="1360"/>
    <n v="40.8"/>
    <n v="1319.2"/>
  </r>
  <r>
    <x v="837"/>
    <x v="18"/>
    <x v="0"/>
    <x v="3"/>
    <n v="10"/>
    <n v="80"/>
    <n v="0.1"/>
    <x v="9"/>
    <n v="800"/>
    <n v="80"/>
    <n v="720"/>
  </r>
  <r>
    <x v="838"/>
    <x v="18"/>
    <x v="3"/>
    <x v="0"/>
    <n v="20"/>
    <n v="16"/>
    <n v="0.11"/>
    <x v="10"/>
    <n v="320"/>
    <n v="35.2"/>
    <n v="284.8"/>
  </r>
  <r>
    <x v="839"/>
    <x v="19"/>
    <x v="2"/>
    <x v="3"/>
    <n v="19"/>
    <n v="230"/>
    <n v="0.06"/>
    <x v="11"/>
    <n v="4370"/>
    <n v="262.2"/>
    <n v="4107.8"/>
  </r>
  <r>
    <x v="840"/>
    <x v="19"/>
    <x v="1"/>
    <x v="2"/>
    <n v="18"/>
    <n v="40"/>
    <n v="0.03"/>
    <x v="0"/>
    <n v="720"/>
    <n v="21.6"/>
    <n v="698.4"/>
  </r>
  <r>
    <x v="841"/>
    <x v="19"/>
    <x v="0"/>
    <x v="1"/>
    <n v="16"/>
    <n v="80"/>
    <n v="0.04"/>
    <x v="1"/>
    <n v="1280"/>
    <n v="51.2"/>
    <n v="1228.8"/>
  </r>
  <r>
    <x v="842"/>
    <x v="19"/>
    <x v="0"/>
    <x v="3"/>
    <n v="8"/>
    <n v="80"/>
    <n v="0.06"/>
    <x v="2"/>
    <n v="640"/>
    <n v="38.4"/>
    <n v="601.6"/>
  </r>
  <r>
    <x v="843"/>
    <x v="19"/>
    <x v="4"/>
    <x v="3"/>
    <n v="4"/>
    <n v="150"/>
    <n v="0.12"/>
    <x v="3"/>
    <n v="600"/>
    <n v="72"/>
    <n v="528"/>
  </r>
  <r>
    <x v="844"/>
    <x v="19"/>
    <x v="2"/>
    <x v="2"/>
    <n v="15"/>
    <n v="230"/>
    <n v="0.04"/>
    <x v="4"/>
    <n v="3450"/>
    <n v="138"/>
    <n v="3312"/>
  </r>
  <r>
    <x v="845"/>
    <x v="20"/>
    <x v="3"/>
    <x v="1"/>
    <n v="7"/>
    <n v="16"/>
    <n v="0.08"/>
    <x v="5"/>
    <n v="112"/>
    <n v="8.96"/>
    <n v="103.04"/>
  </r>
  <r>
    <x v="846"/>
    <x v="20"/>
    <x v="1"/>
    <x v="0"/>
    <n v="18"/>
    <n v="40"/>
    <n v="0.11"/>
    <x v="1"/>
    <n v="720"/>
    <n v="79.2"/>
    <n v="640.8"/>
  </r>
  <r>
    <x v="847"/>
    <x v="20"/>
    <x v="1"/>
    <x v="2"/>
    <n v="4"/>
    <n v="40"/>
    <n v="0.06"/>
    <x v="2"/>
    <n v="160"/>
    <n v="9.6"/>
    <n v="150.4"/>
  </r>
  <r>
    <x v="848"/>
    <x v="20"/>
    <x v="1"/>
    <x v="4"/>
    <n v="16"/>
    <n v="40"/>
    <n v="0.09"/>
    <x v="3"/>
    <n v="640"/>
    <n v="57.6"/>
    <n v="582.4"/>
  </r>
  <r>
    <x v="849"/>
    <x v="20"/>
    <x v="1"/>
    <x v="1"/>
    <n v="18"/>
    <n v="40"/>
    <n v="0.08"/>
    <x v="4"/>
    <n v="720"/>
    <n v="57.6"/>
    <n v="662.4"/>
  </r>
  <r>
    <x v="850"/>
    <x v="20"/>
    <x v="1"/>
    <x v="0"/>
    <n v="9"/>
    <n v="40"/>
    <n v="0.01"/>
    <x v="5"/>
    <n v="360"/>
    <n v="3.6"/>
    <n v="356.4"/>
  </r>
  <r>
    <x v="851"/>
    <x v="20"/>
    <x v="2"/>
    <x v="3"/>
    <n v="16"/>
    <n v="230"/>
    <n v="0.11"/>
    <x v="6"/>
    <n v="3680"/>
    <n v="404.8"/>
    <n v="3275.2"/>
  </r>
  <r>
    <x v="852"/>
    <x v="20"/>
    <x v="3"/>
    <x v="2"/>
    <n v="12"/>
    <n v="16"/>
    <n v="0.11"/>
    <x v="7"/>
    <n v="192"/>
    <n v="21.12"/>
    <n v="170.88"/>
  </r>
  <r>
    <x v="853"/>
    <x v="20"/>
    <x v="0"/>
    <x v="1"/>
    <n v="2"/>
    <n v="80"/>
    <n v="0.07"/>
    <x v="8"/>
    <n v="160"/>
    <n v="11.2"/>
    <n v="148.8"/>
  </r>
  <r>
    <x v="854"/>
    <x v="20"/>
    <x v="1"/>
    <x v="0"/>
    <n v="2"/>
    <n v="40"/>
    <n v="0.12"/>
    <x v="9"/>
    <n v="80"/>
    <n v="9.6"/>
    <n v="70.4"/>
  </r>
  <r>
    <x v="855"/>
    <x v="21"/>
    <x v="4"/>
    <x v="0"/>
    <n v="13"/>
    <n v="150"/>
    <n v="0.05"/>
    <x v="10"/>
    <n v="1950"/>
    <n v="97.5"/>
    <n v="1852.5"/>
  </r>
  <r>
    <x v="856"/>
    <x v="21"/>
    <x v="0"/>
    <x v="0"/>
    <n v="14"/>
    <n v="80"/>
    <n v="0.08"/>
    <x v="11"/>
    <n v="1120"/>
    <n v="89.6"/>
    <n v="1030.4"/>
  </r>
  <r>
    <x v="857"/>
    <x v="21"/>
    <x v="4"/>
    <x v="3"/>
    <n v="6"/>
    <n v="150"/>
    <n v="0.03"/>
    <x v="0"/>
    <n v="900"/>
    <n v="27"/>
    <n v="873"/>
  </r>
  <r>
    <x v="858"/>
    <x v="21"/>
    <x v="0"/>
    <x v="3"/>
    <n v="23"/>
    <n v="80"/>
    <n v="0.11"/>
    <x v="1"/>
    <n v="1840"/>
    <n v="202.4"/>
    <n v="1637.6"/>
  </r>
  <r>
    <x v="859"/>
    <x v="21"/>
    <x v="0"/>
    <x v="3"/>
    <n v="21"/>
    <n v="80"/>
    <n v="0.05"/>
    <x v="2"/>
    <n v="1680"/>
    <n v="84"/>
    <n v="1596"/>
  </r>
  <r>
    <x v="860"/>
    <x v="21"/>
    <x v="3"/>
    <x v="2"/>
    <n v="3"/>
    <n v="16"/>
    <n v="0.05"/>
    <x v="3"/>
    <n v="48"/>
    <n v="2.4"/>
    <n v="45.6"/>
  </r>
  <r>
    <x v="861"/>
    <x v="21"/>
    <x v="3"/>
    <x v="1"/>
    <n v="21"/>
    <n v="16"/>
    <n v="0.02"/>
    <x v="4"/>
    <n v="336"/>
    <n v="6.72"/>
    <n v="329.28"/>
  </r>
  <r>
    <x v="862"/>
    <x v="21"/>
    <x v="0"/>
    <x v="3"/>
    <n v="4"/>
    <n v="80"/>
    <n v="0.11"/>
    <x v="5"/>
    <n v="320"/>
    <n v="35.2"/>
    <n v="284.8"/>
  </r>
  <r>
    <x v="863"/>
    <x v="21"/>
    <x v="4"/>
    <x v="4"/>
    <n v="23"/>
    <n v="150"/>
    <n v="0.08"/>
    <x v="1"/>
    <n v="3450"/>
    <n v="276"/>
    <n v="3174"/>
  </r>
  <r>
    <x v="864"/>
    <x v="21"/>
    <x v="3"/>
    <x v="4"/>
    <n v="23"/>
    <n v="16"/>
    <n v="0.01"/>
    <x v="2"/>
    <n v="368"/>
    <n v="3.68"/>
    <n v="364.32"/>
  </r>
  <r>
    <x v="865"/>
    <x v="21"/>
    <x v="1"/>
    <x v="3"/>
    <n v="22"/>
    <n v="40"/>
    <n v="0.01"/>
    <x v="3"/>
    <n v="880"/>
    <n v="8.8"/>
    <n v="871.2"/>
  </r>
  <r>
    <x v="866"/>
    <x v="22"/>
    <x v="4"/>
    <x v="0"/>
    <n v="8"/>
    <n v="150"/>
    <n v="0.09"/>
    <x v="4"/>
    <n v="1200"/>
    <n v="108"/>
    <n v="1092"/>
  </r>
  <r>
    <x v="867"/>
    <x v="22"/>
    <x v="4"/>
    <x v="0"/>
    <n v="20"/>
    <n v="150"/>
    <n v="0.01"/>
    <x v="5"/>
    <n v="3000"/>
    <n v="30"/>
    <n v="2970"/>
  </r>
  <r>
    <x v="868"/>
    <x v="22"/>
    <x v="2"/>
    <x v="1"/>
    <n v="22"/>
    <n v="230"/>
    <n v="0.11"/>
    <x v="6"/>
    <n v="5060"/>
    <n v="556.6"/>
    <n v="4503.4"/>
  </r>
  <r>
    <x v="869"/>
    <x v="22"/>
    <x v="3"/>
    <x v="2"/>
    <n v="23"/>
    <n v="16"/>
    <n v="0.11"/>
    <x v="7"/>
    <n v="368"/>
    <n v="40.48"/>
    <n v="327.52"/>
  </r>
  <r>
    <x v="870"/>
    <x v="22"/>
    <x v="0"/>
    <x v="0"/>
    <n v="6"/>
    <n v="80"/>
    <n v="0.01"/>
    <x v="8"/>
    <n v="480"/>
    <n v="4.8"/>
    <n v="475.2"/>
  </r>
  <r>
    <x v="871"/>
    <x v="22"/>
    <x v="3"/>
    <x v="0"/>
    <n v="7"/>
    <n v="16"/>
    <n v="0.12"/>
    <x v="9"/>
    <n v="112"/>
    <n v="13.44"/>
    <n v="98.56"/>
  </r>
  <r>
    <x v="872"/>
    <x v="22"/>
    <x v="0"/>
    <x v="1"/>
    <n v="10"/>
    <n v="80"/>
    <n v="0.11"/>
    <x v="10"/>
    <n v="800"/>
    <n v="88"/>
    <n v="712"/>
  </r>
  <r>
    <x v="873"/>
    <x v="22"/>
    <x v="2"/>
    <x v="0"/>
    <n v="9"/>
    <n v="230"/>
    <n v="0.07"/>
    <x v="11"/>
    <n v="2070"/>
    <n v="144.9"/>
    <n v="1925.1"/>
  </r>
  <r>
    <x v="874"/>
    <x v="23"/>
    <x v="1"/>
    <x v="1"/>
    <n v="12"/>
    <n v="40"/>
    <n v="0.1"/>
    <x v="0"/>
    <n v="480"/>
    <n v="48"/>
    <n v="432"/>
  </r>
  <r>
    <x v="875"/>
    <x v="23"/>
    <x v="3"/>
    <x v="4"/>
    <n v="17"/>
    <n v="16"/>
    <n v="0.1"/>
    <x v="1"/>
    <n v="272"/>
    <n v="27.2"/>
    <n v="244.8"/>
  </r>
  <r>
    <x v="876"/>
    <x v="23"/>
    <x v="4"/>
    <x v="2"/>
    <n v="22"/>
    <n v="150"/>
    <n v="0.04"/>
    <x v="2"/>
    <n v="3300"/>
    <n v="132"/>
    <n v="3168"/>
  </r>
  <r>
    <x v="877"/>
    <x v="23"/>
    <x v="4"/>
    <x v="2"/>
    <n v="11"/>
    <n v="150"/>
    <n v="0.05"/>
    <x v="3"/>
    <n v="1650"/>
    <n v="82.5"/>
    <n v="1567.5"/>
  </r>
  <r>
    <x v="878"/>
    <x v="23"/>
    <x v="0"/>
    <x v="4"/>
    <n v="9"/>
    <n v="80"/>
    <n v="0.02"/>
    <x v="4"/>
    <n v="720"/>
    <n v="14.4"/>
    <n v="705.6"/>
  </r>
  <r>
    <x v="879"/>
    <x v="23"/>
    <x v="0"/>
    <x v="4"/>
    <n v="13"/>
    <n v="80"/>
    <n v="0.05"/>
    <x v="5"/>
    <n v="1040"/>
    <n v="52"/>
    <n v="988"/>
  </r>
  <r>
    <x v="880"/>
    <x v="23"/>
    <x v="1"/>
    <x v="4"/>
    <n v="20"/>
    <n v="40"/>
    <n v="0.1"/>
    <x v="1"/>
    <n v="800"/>
    <n v="80"/>
    <n v="720"/>
  </r>
  <r>
    <x v="881"/>
    <x v="23"/>
    <x v="1"/>
    <x v="1"/>
    <n v="15"/>
    <n v="40"/>
    <n v="0.02"/>
    <x v="2"/>
    <n v="600"/>
    <n v="12"/>
    <n v="588"/>
  </r>
  <r>
    <x v="882"/>
    <x v="24"/>
    <x v="4"/>
    <x v="4"/>
    <n v="15"/>
    <n v="150"/>
    <n v="0.07"/>
    <x v="3"/>
    <n v="2250"/>
    <n v="157.5"/>
    <n v="2092.5"/>
  </r>
  <r>
    <x v="883"/>
    <x v="24"/>
    <x v="0"/>
    <x v="4"/>
    <n v="16"/>
    <n v="80"/>
    <n v="0.09"/>
    <x v="4"/>
    <n v="1280"/>
    <n v="115.2"/>
    <n v="1164.8"/>
  </r>
  <r>
    <x v="884"/>
    <x v="24"/>
    <x v="2"/>
    <x v="0"/>
    <n v="16"/>
    <n v="230"/>
    <n v="0.07"/>
    <x v="5"/>
    <n v="3680"/>
    <n v="257.6"/>
    <n v="3422.4"/>
  </r>
  <r>
    <x v="885"/>
    <x v="24"/>
    <x v="0"/>
    <x v="1"/>
    <n v="14"/>
    <n v="80"/>
    <n v="0.11"/>
    <x v="6"/>
    <n v="1120"/>
    <n v="123.2"/>
    <n v="996.8"/>
  </r>
  <r>
    <x v="886"/>
    <x v="24"/>
    <x v="0"/>
    <x v="4"/>
    <n v="17"/>
    <n v="80"/>
    <n v="0.07"/>
    <x v="7"/>
    <n v="1360"/>
    <n v="95.2"/>
    <n v="1264.8"/>
  </r>
  <r>
    <x v="887"/>
    <x v="24"/>
    <x v="0"/>
    <x v="2"/>
    <n v="16"/>
    <n v="80"/>
    <n v="0.02"/>
    <x v="8"/>
    <n v="1280"/>
    <n v="25.6"/>
    <n v="1254.4"/>
  </r>
  <r>
    <x v="888"/>
    <x v="24"/>
    <x v="3"/>
    <x v="0"/>
    <n v="21"/>
    <n v="16"/>
    <n v="0.09"/>
    <x v="9"/>
    <n v="336"/>
    <n v="30.24"/>
    <n v="305.76"/>
  </r>
  <r>
    <x v="889"/>
    <x v="24"/>
    <x v="4"/>
    <x v="0"/>
    <n v="9"/>
    <n v="150"/>
    <n v="0.1"/>
    <x v="10"/>
    <n v="1350"/>
    <n v="135"/>
    <n v="1215"/>
  </r>
  <r>
    <x v="890"/>
    <x v="24"/>
    <x v="4"/>
    <x v="3"/>
    <n v="3"/>
    <n v="150"/>
    <n v="0.01"/>
    <x v="11"/>
    <n v="450"/>
    <n v="4.5"/>
    <n v="445.5"/>
  </r>
  <r>
    <x v="891"/>
    <x v="25"/>
    <x v="0"/>
    <x v="1"/>
    <n v="14"/>
    <n v="80"/>
    <n v="0.06"/>
    <x v="0"/>
    <n v="1120"/>
    <n v="67.2"/>
    <n v="1052.8"/>
  </r>
  <r>
    <x v="892"/>
    <x v="25"/>
    <x v="4"/>
    <x v="4"/>
    <n v="4"/>
    <n v="150"/>
    <n v="0.05"/>
    <x v="1"/>
    <n v="600"/>
    <n v="30"/>
    <n v="570"/>
  </r>
  <r>
    <x v="893"/>
    <x v="25"/>
    <x v="3"/>
    <x v="1"/>
    <n v="20"/>
    <n v="16"/>
    <n v="0.06"/>
    <x v="2"/>
    <n v="320"/>
    <n v="19.2"/>
    <n v="300.8"/>
  </r>
  <r>
    <x v="894"/>
    <x v="25"/>
    <x v="2"/>
    <x v="2"/>
    <n v="7"/>
    <n v="230"/>
    <n v="0.01"/>
    <x v="3"/>
    <n v="1610"/>
    <n v="16.1"/>
    <n v="1593.9"/>
  </r>
  <r>
    <x v="895"/>
    <x v="25"/>
    <x v="0"/>
    <x v="1"/>
    <n v="9"/>
    <n v="80"/>
    <n v="0.03"/>
    <x v="4"/>
    <n v="720"/>
    <n v="21.6"/>
    <n v="698.4"/>
  </r>
  <r>
    <x v="896"/>
    <x v="25"/>
    <x v="1"/>
    <x v="3"/>
    <n v="4"/>
    <n v="40"/>
    <n v="0.05"/>
    <x v="5"/>
    <n v="160"/>
    <n v="8"/>
    <n v="152"/>
  </r>
  <r>
    <x v="897"/>
    <x v="25"/>
    <x v="0"/>
    <x v="0"/>
    <n v="6"/>
    <n v="80"/>
    <n v="0.07"/>
    <x v="1"/>
    <n v="480"/>
    <n v="33.6"/>
    <n v="446.4"/>
  </r>
  <r>
    <x v="898"/>
    <x v="25"/>
    <x v="3"/>
    <x v="2"/>
    <n v="8"/>
    <n v="16"/>
    <n v="0.03"/>
    <x v="2"/>
    <n v="128"/>
    <n v="3.84"/>
    <n v="124.16"/>
  </r>
  <r>
    <x v="899"/>
    <x v="25"/>
    <x v="3"/>
    <x v="0"/>
    <n v="10"/>
    <n v="16"/>
    <n v="0.08"/>
    <x v="3"/>
    <n v="160"/>
    <n v="12.8"/>
    <n v="147.2"/>
  </r>
  <r>
    <x v="900"/>
    <x v="25"/>
    <x v="3"/>
    <x v="3"/>
    <n v="22"/>
    <n v="16"/>
    <n v="0.03"/>
    <x v="4"/>
    <n v="352"/>
    <n v="10.56"/>
    <n v="341.44"/>
  </r>
  <r>
    <x v="901"/>
    <x v="25"/>
    <x v="0"/>
    <x v="3"/>
    <n v="11"/>
    <n v="80"/>
    <n v="0.01"/>
    <x v="5"/>
    <n v="880"/>
    <n v="8.8"/>
    <n v="871.2"/>
  </r>
  <r>
    <x v="902"/>
    <x v="25"/>
    <x v="3"/>
    <x v="3"/>
    <n v="7"/>
    <n v="16"/>
    <n v="0.08"/>
    <x v="6"/>
    <n v="112"/>
    <n v="8.96"/>
    <n v="103.04"/>
  </r>
  <r>
    <x v="903"/>
    <x v="26"/>
    <x v="3"/>
    <x v="2"/>
    <n v="11"/>
    <n v="16"/>
    <n v="0.12"/>
    <x v="7"/>
    <n v="176"/>
    <n v="21.12"/>
    <n v="154.88"/>
  </r>
  <r>
    <x v="904"/>
    <x v="26"/>
    <x v="1"/>
    <x v="4"/>
    <n v="7"/>
    <n v="40"/>
    <n v="0.05"/>
    <x v="8"/>
    <n v="280"/>
    <n v="14"/>
    <n v="266"/>
  </r>
  <r>
    <x v="905"/>
    <x v="26"/>
    <x v="4"/>
    <x v="2"/>
    <n v="9"/>
    <n v="150"/>
    <n v="0.06"/>
    <x v="9"/>
    <n v="1350"/>
    <n v="81"/>
    <n v="1269"/>
  </r>
  <r>
    <x v="906"/>
    <x v="26"/>
    <x v="2"/>
    <x v="0"/>
    <n v="20"/>
    <n v="230"/>
    <n v="0.04"/>
    <x v="10"/>
    <n v="4600"/>
    <n v="184"/>
    <n v="4416"/>
  </r>
  <r>
    <x v="907"/>
    <x v="26"/>
    <x v="4"/>
    <x v="2"/>
    <n v="9"/>
    <n v="150"/>
    <n v="0.02"/>
    <x v="11"/>
    <n v="1350"/>
    <n v="27"/>
    <n v="1323"/>
  </r>
  <r>
    <x v="908"/>
    <x v="26"/>
    <x v="0"/>
    <x v="1"/>
    <n v="5"/>
    <n v="80"/>
    <n v="0.07"/>
    <x v="0"/>
    <n v="400"/>
    <n v="28"/>
    <n v="372"/>
  </r>
  <r>
    <x v="909"/>
    <x v="26"/>
    <x v="4"/>
    <x v="2"/>
    <n v="20"/>
    <n v="150"/>
    <n v="0.04"/>
    <x v="1"/>
    <n v="3000"/>
    <n v="120"/>
    <n v="2880"/>
  </r>
  <r>
    <x v="910"/>
    <x v="26"/>
    <x v="4"/>
    <x v="3"/>
    <n v="15"/>
    <n v="150"/>
    <n v="0.05"/>
    <x v="2"/>
    <n v="2250"/>
    <n v="112.5"/>
    <n v="2137.5"/>
  </r>
  <r>
    <x v="911"/>
    <x v="26"/>
    <x v="0"/>
    <x v="0"/>
    <n v="20"/>
    <n v="80"/>
    <n v="0.01"/>
    <x v="3"/>
    <n v="1600"/>
    <n v="16"/>
    <n v="1584"/>
  </r>
  <r>
    <x v="912"/>
    <x v="27"/>
    <x v="2"/>
    <x v="1"/>
    <n v="12"/>
    <n v="230"/>
    <n v="0.03"/>
    <x v="4"/>
    <n v="2760"/>
    <n v="82.8"/>
    <n v="2677.2"/>
  </r>
  <r>
    <x v="913"/>
    <x v="27"/>
    <x v="1"/>
    <x v="4"/>
    <n v="20"/>
    <n v="40"/>
    <n v="0.05"/>
    <x v="5"/>
    <n v="800"/>
    <n v="40"/>
    <n v="760"/>
  </r>
  <r>
    <x v="914"/>
    <x v="27"/>
    <x v="1"/>
    <x v="4"/>
    <n v="4"/>
    <n v="40"/>
    <n v="0.09"/>
    <x v="1"/>
    <n v="160"/>
    <n v="14.4"/>
    <n v="145.6"/>
  </r>
  <r>
    <x v="915"/>
    <x v="27"/>
    <x v="3"/>
    <x v="2"/>
    <n v="6"/>
    <n v="16"/>
    <n v="0.07"/>
    <x v="2"/>
    <n v="96"/>
    <n v="6.72"/>
    <n v="89.28"/>
  </r>
  <r>
    <x v="916"/>
    <x v="27"/>
    <x v="0"/>
    <x v="1"/>
    <n v="13"/>
    <n v="80"/>
    <n v="0.06"/>
    <x v="3"/>
    <n v="1040"/>
    <n v="62.4"/>
    <n v="977.6"/>
  </r>
  <r>
    <x v="917"/>
    <x v="27"/>
    <x v="4"/>
    <x v="0"/>
    <n v="4"/>
    <n v="150"/>
    <n v="0.1"/>
    <x v="4"/>
    <n v="600"/>
    <n v="60"/>
    <n v="540"/>
  </r>
  <r>
    <x v="918"/>
    <x v="27"/>
    <x v="4"/>
    <x v="3"/>
    <n v="9"/>
    <n v="150"/>
    <n v="0.02"/>
    <x v="5"/>
    <n v="1350"/>
    <n v="27"/>
    <n v="1323"/>
  </r>
  <r>
    <x v="919"/>
    <x v="27"/>
    <x v="4"/>
    <x v="0"/>
    <n v="11"/>
    <n v="150"/>
    <n v="0.05"/>
    <x v="6"/>
    <n v="1650"/>
    <n v="82.5"/>
    <n v="1567.5"/>
  </r>
  <r>
    <x v="920"/>
    <x v="27"/>
    <x v="3"/>
    <x v="2"/>
    <n v="6"/>
    <n v="16"/>
    <n v="0.06"/>
    <x v="7"/>
    <n v="96"/>
    <n v="5.76"/>
    <n v="90.24"/>
  </r>
  <r>
    <x v="921"/>
    <x v="28"/>
    <x v="2"/>
    <x v="2"/>
    <n v="14"/>
    <n v="230"/>
    <n v="0.12"/>
    <x v="8"/>
    <n v="3220"/>
    <n v="386.4"/>
    <n v="2833.6"/>
  </r>
  <r>
    <x v="922"/>
    <x v="28"/>
    <x v="0"/>
    <x v="1"/>
    <n v="15"/>
    <n v="80"/>
    <n v="0.12"/>
    <x v="9"/>
    <n v="1200"/>
    <n v="144"/>
    <n v="1056"/>
  </r>
  <r>
    <x v="923"/>
    <x v="28"/>
    <x v="2"/>
    <x v="3"/>
    <n v="17"/>
    <n v="230"/>
    <n v="0.12"/>
    <x v="10"/>
    <n v="3910"/>
    <n v="469.2"/>
    <n v="3440.8"/>
  </r>
  <r>
    <x v="924"/>
    <x v="28"/>
    <x v="4"/>
    <x v="0"/>
    <n v="5"/>
    <n v="150"/>
    <n v="0.11"/>
    <x v="11"/>
    <n v="750"/>
    <n v="82.5"/>
    <n v="667.5"/>
  </r>
  <r>
    <x v="925"/>
    <x v="28"/>
    <x v="0"/>
    <x v="4"/>
    <n v="10"/>
    <n v="80"/>
    <n v="0.06"/>
    <x v="0"/>
    <n v="800"/>
    <n v="48"/>
    <n v="752"/>
  </r>
  <r>
    <x v="926"/>
    <x v="28"/>
    <x v="0"/>
    <x v="0"/>
    <n v="9"/>
    <n v="80"/>
    <n v="0.04"/>
    <x v="1"/>
    <n v="720"/>
    <n v="28.8"/>
    <n v="691.2"/>
  </r>
  <r>
    <x v="927"/>
    <x v="28"/>
    <x v="1"/>
    <x v="4"/>
    <n v="16"/>
    <n v="40"/>
    <n v="0.09"/>
    <x v="2"/>
    <n v="640"/>
    <n v="57.6"/>
    <n v="582.4"/>
  </r>
  <r>
    <x v="928"/>
    <x v="28"/>
    <x v="2"/>
    <x v="0"/>
    <n v="7"/>
    <n v="230"/>
    <n v="0.08"/>
    <x v="3"/>
    <n v="1610"/>
    <n v="128.8"/>
    <n v="1481.2"/>
  </r>
  <r>
    <x v="929"/>
    <x v="28"/>
    <x v="0"/>
    <x v="3"/>
    <n v="17"/>
    <n v="80"/>
    <n v="0.05"/>
    <x v="4"/>
    <n v="1360"/>
    <n v="68"/>
    <n v="1292"/>
  </r>
  <r>
    <x v="930"/>
    <x v="28"/>
    <x v="2"/>
    <x v="0"/>
    <n v="11"/>
    <n v="230"/>
    <n v="0.02"/>
    <x v="5"/>
    <n v="2530"/>
    <n v="50.6"/>
    <n v="2479.4"/>
  </r>
  <r>
    <x v="931"/>
    <x v="29"/>
    <x v="1"/>
    <x v="0"/>
    <n v="15"/>
    <n v="40"/>
    <n v="0.06"/>
    <x v="1"/>
    <n v="600"/>
    <n v="36"/>
    <n v="564"/>
  </r>
  <r>
    <x v="932"/>
    <x v="30"/>
    <x v="2"/>
    <x v="0"/>
    <n v="7"/>
    <n v="230"/>
    <n v="0.02"/>
    <x v="2"/>
    <n v="1610"/>
    <n v="32.2"/>
    <n v="1577.8"/>
  </r>
  <r>
    <x v="933"/>
    <x v="30"/>
    <x v="0"/>
    <x v="2"/>
    <n v="20"/>
    <n v="80"/>
    <n v="0.07"/>
    <x v="3"/>
    <n v="1600"/>
    <n v="112"/>
    <n v="1488"/>
  </r>
  <r>
    <x v="934"/>
    <x v="30"/>
    <x v="0"/>
    <x v="1"/>
    <n v="3"/>
    <n v="80"/>
    <n v="0.02"/>
    <x v="4"/>
    <n v="240"/>
    <n v="4.8"/>
    <n v="235.2"/>
  </r>
  <r>
    <x v="935"/>
    <x v="30"/>
    <x v="4"/>
    <x v="2"/>
    <n v="2"/>
    <n v="150"/>
    <n v="0.02"/>
    <x v="5"/>
    <n v="300"/>
    <n v="6"/>
    <n v="294"/>
  </r>
  <r>
    <x v="936"/>
    <x v="30"/>
    <x v="4"/>
    <x v="2"/>
    <n v="22"/>
    <n v="150"/>
    <n v="0.09"/>
    <x v="6"/>
    <n v="3300"/>
    <n v="297"/>
    <n v="3003"/>
  </r>
  <r>
    <x v="937"/>
    <x v="30"/>
    <x v="2"/>
    <x v="0"/>
    <n v="5"/>
    <n v="230"/>
    <n v="0.1"/>
    <x v="7"/>
    <n v="1150"/>
    <n v="115"/>
    <n v="1035"/>
  </r>
  <r>
    <x v="938"/>
    <x v="30"/>
    <x v="3"/>
    <x v="4"/>
    <n v="12"/>
    <n v="16"/>
    <n v="0.04"/>
    <x v="8"/>
    <n v="192"/>
    <n v="7.68"/>
    <n v="184.32"/>
  </r>
  <r>
    <x v="939"/>
    <x v="30"/>
    <x v="1"/>
    <x v="3"/>
    <n v="6"/>
    <n v="40"/>
    <n v="0.07"/>
    <x v="9"/>
    <n v="240"/>
    <n v="16.8"/>
    <n v="223.2"/>
  </r>
  <r>
    <x v="940"/>
    <x v="30"/>
    <x v="3"/>
    <x v="4"/>
    <n v="15"/>
    <n v="16"/>
    <n v="0.01"/>
    <x v="10"/>
    <n v="240"/>
    <n v="2.4"/>
    <n v="237.6"/>
  </r>
  <r>
    <x v="941"/>
    <x v="0"/>
    <x v="4"/>
    <x v="4"/>
    <n v="13"/>
    <n v="150"/>
    <n v="0.11"/>
    <x v="11"/>
    <n v="1950"/>
    <n v="214.5"/>
    <n v="1735.5"/>
  </r>
  <r>
    <x v="942"/>
    <x v="0"/>
    <x v="1"/>
    <x v="1"/>
    <n v="8"/>
    <n v="40"/>
    <n v="0.09"/>
    <x v="0"/>
    <n v="320"/>
    <n v="28.8"/>
    <n v="291.2"/>
  </r>
  <r>
    <x v="943"/>
    <x v="0"/>
    <x v="1"/>
    <x v="3"/>
    <n v="7"/>
    <n v="40"/>
    <n v="0.07"/>
    <x v="1"/>
    <n v="280"/>
    <n v="19.6"/>
    <n v="260.4"/>
  </r>
  <r>
    <x v="944"/>
    <x v="0"/>
    <x v="1"/>
    <x v="1"/>
    <n v="18"/>
    <n v="40"/>
    <n v="0.08"/>
    <x v="2"/>
    <n v="720"/>
    <n v="57.6"/>
    <n v="662.4"/>
  </r>
  <r>
    <x v="945"/>
    <x v="0"/>
    <x v="2"/>
    <x v="3"/>
    <n v="19"/>
    <n v="230"/>
    <n v="0.06"/>
    <x v="3"/>
    <n v="4370"/>
    <n v="262.2"/>
    <n v="4107.8"/>
  </r>
  <r>
    <x v="946"/>
    <x v="0"/>
    <x v="4"/>
    <x v="0"/>
    <n v="4"/>
    <n v="150"/>
    <n v="0.1"/>
    <x v="4"/>
    <n v="600"/>
    <n v="60"/>
    <n v="540"/>
  </r>
  <r>
    <x v="947"/>
    <x v="1"/>
    <x v="0"/>
    <x v="4"/>
    <n v="9"/>
    <n v="80"/>
    <n v="0.06"/>
    <x v="5"/>
    <n v="720"/>
    <n v="43.2"/>
    <n v="676.8"/>
  </r>
  <r>
    <x v="948"/>
    <x v="1"/>
    <x v="0"/>
    <x v="2"/>
    <n v="16"/>
    <n v="80"/>
    <n v="0.02"/>
    <x v="1"/>
    <n v="1280"/>
    <n v="25.6"/>
    <n v="1254.4"/>
  </r>
  <r>
    <x v="949"/>
    <x v="1"/>
    <x v="2"/>
    <x v="1"/>
    <n v="15"/>
    <n v="230"/>
    <n v="0.09"/>
    <x v="2"/>
    <n v="3450"/>
    <n v="310.5"/>
    <n v="3139.5"/>
  </r>
  <r>
    <x v="950"/>
    <x v="1"/>
    <x v="3"/>
    <x v="4"/>
    <n v="15"/>
    <n v="16"/>
    <n v="0.01"/>
    <x v="3"/>
    <n v="240"/>
    <n v="2.4"/>
    <n v="237.6"/>
  </r>
  <r>
    <x v="951"/>
    <x v="1"/>
    <x v="2"/>
    <x v="0"/>
    <n v="7"/>
    <n v="230"/>
    <n v="0.02"/>
    <x v="4"/>
    <n v="1610"/>
    <n v="32.2"/>
    <n v="1577.8"/>
  </r>
  <r>
    <x v="952"/>
    <x v="1"/>
    <x v="3"/>
    <x v="2"/>
    <n v="23"/>
    <n v="16"/>
    <n v="0.11"/>
    <x v="5"/>
    <n v="368"/>
    <n v="40.48"/>
    <n v="327.52"/>
  </r>
  <r>
    <x v="953"/>
    <x v="1"/>
    <x v="1"/>
    <x v="4"/>
    <n v="20"/>
    <n v="40"/>
    <n v="0.05"/>
    <x v="6"/>
    <n v="800"/>
    <n v="40"/>
    <n v="760"/>
  </r>
  <r>
    <x v="954"/>
    <x v="2"/>
    <x v="2"/>
    <x v="1"/>
    <n v="9"/>
    <n v="230"/>
    <n v="0.03"/>
    <x v="7"/>
    <n v="2070"/>
    <n v="62.1"/>
    <n v="2007.9"/>
  </r>
  <r>
    <x v="955"/>
    <x v="2"/>
    <x v="1"/>
    <x v="3"/>
    <n v="23"/>
    <n v="40"/>
    <n v="0.06"/>
    <x v="8"/>
    <n v="920"/>
    <n v="55.2"/>
    <n v="864.8"/>
  </r>
  <r>
    <x v="956"/>
    <x v="2"/>
    <x v="1"/>
    <x v="3"/>
    <n v="4"/>
    <n v="40"/>
    <n v="0.05"/>
    <x v="9"/>
    <n v="160"/>
    <n v="8"/>
    <n v="152"/>
  </r>
  <r>
    <x v="957"/>
    <x v="2"/>
    <x v="4"/>
    <x v="0"/>
    <n v="13"/>
    <n v="150"/>
    <n v="0.05"/>
    <x v="10"/>
    <n v="1950"/>
    <n v="97.5"/>
    <n v="1852.5"/>
  </r>
  <r>
    <x v="958"/>
    <x v="2"/>
    <x v="2"/>
    <x v="1"/>
    <n v="7"/>
    <n v="230"/>
    <n v="0.01"/>
    <x v="11"/>
    <n v="1610"/>
    <n v="16.1"/>
    <n v="1593.9"/>
  </r>
  <r>
    <x v="959"/>
    <x v="2"/>
    <x v="2"/>
    <x v="1"/>
    <n v="7"/>
    <n v="230"/>
    <n v="0.08"/>
    <x v="0"/>
    <n v="1610"/>
    <n v="128.8"/>
    <n v="1481.2"/>
  </r>
  <r>
    <x v="960"/>
    <x v="2"/>
    <x v="2"/>
    <x v="2"/>
    <n v="15"/>
    <n v="230"/>
    <n v="0.04"/>
    <x v="1"/>
    <n v="3450"/>
    <n v="138"/>
    <n v="3312"/>
  </r>
  <r>
    <x v="961"/>
    <x v="2"/>
    <x v="1"/>
    <x v="3"/>
    <n v="15"/>
    <n v="40"/>
    <n v="0.03"/>
    <x v="2"/>
    <n v="600"/>
    <n v="18"/>
    <n v="582"/>
  </r>
  <r>
    <x v="962"/>
    <x v="2"/>
    <x v="1"/>
    <x v="2"/>
    <n v="2"/>
    <n v="40"/>
    <n v="0.03"/>
    <x v="3"/>
    <n v="80"/>
    <n v="2.4"/>
    <n v="77.6"/>
  </r>
  <r>
    <x v="963"/>
    <x v="2"/>
    <x v="4"/>
    <x v="2"/>
    <n v="2"/>
    <n v="150"/>
    <n v="0.02"/>
    <x v="4"/>
    <n v="300"/>
    <n v="6"/>
    <n v="294"/>
  </r>
  <r>
    <x v="964"/>
    <x v="3"/>
    <x v="2"/>
    <x v="0"/>
    <n v="3"/>
    <n v="230"/>
    <n v="0.11"/>
    <x v="5"/>
    <n v="690"/>
    <n v="75.9"/>
    <n v="614.1"/>
  </r>
  <r>
    <x v="965"/>
    <x v="3"/>
    <x v="1"/>
    <x v="2"/>
    <n v="4"/>
    <n v="40"/>
    <n v="0.06"/>
    <x v="1"/>
    <n v="160"/>
    <n v="9.6"/>
    <n v="150.4"/>
  </r>
  <r>
    <x v="966"/>
    <x v="3"/>
    <x v="1"/>
    <x v="3"/>
    <n v="13"/>
    <n v="40"/>
    <n v="0.06"/>
    <x v="2"/>
    <n v="520"/>
    <n v="31.2"/>
    <n v="488.8"/>
  </r>
  <r>
    <x v="967"/>
    <x v="3"/>
    <x v="3"/>
    <x v="3"/>
    <n v="15"/>
    <n v="16"/>
    <n v="0.12"/>
    <x v="3"/>
    <n v="240"/>
    <n v="28.8"/>
    <n v="211.2"/>
  </r>
  <r>
    <x v="968"/>
    <x v="3"/>
    <x v="0"/>
    <x v="0"/>
    <n v="14"/>
    <n v="80"/>
    <n v="0.08"/>
    <x v="4"/>
    <n v="1120"/>
    <n v="89.6"/>
    <n v="1030.4"/>
  </r>
  <r>
    <x v="969"/>
    <x v="3"/>
    <x v="3"/>
    <x v="0"/>
    <n v="7"/>
    <n v="16"/>
    <n v="0.08"/>
    <x v="5"/>
    <n v="112"/>
    <n v="8.96"/>
    <n v="103.04"/>
  </r>
  <r>
    <x v="970"/>
    <x v="3"/>
    <x v="4"/>
    <x v="1"/>
    <n v="13"/>
    <n v="150"/>
    <n v="0.02"/>
    <x v="6"/>
    <n v="1950"/>
    <n v="39"/>
    <n v="1911"/>
  </r>
  <r>
    <x v="971"/>
    <x v="3"/>
    <x v="4"/>
    <x v="2"/>
    <n v="9"/>
    <n v="150"/>
    <n v="0.02"/>
    <x v="7"/>
    <n v="1350"/>
    <n v="27"/>
    <n v="1323"/>
  </r>
  <r>
    <x v="972"/>
    <x v="3"/>
    <x v="1"/>
    <x v="0"/>
    <n v="9"/>
    <n v="40"/>
    <n v="0.01"/>
    <x v="8"/>
    <n v="360"/>
    <n v="3.6"/>
    <n v="356.4"/>
  </r>
  <r>
    <x v="973"/>
    <x v="4"/>
    <x v="0"/>
    <x v="4"/>
    <n v="9"/>
    <n v="80"/>
    <n v="0.07"/>
    <x v="9"/>
    <n v="720"/>
    <n v="50.4"/>
    <n v="669.6"/>
  </r>
  <r>
    <x v="974"/>
    <x v="4"/>
    <x v="2"/>
    <x v="1"/>
    <n v="22"/>
    <n v="230"/>
    <n v="0.11"/>
    <x v="10"/>
    <n v="5060"/>
    <n v="556.6"/>
    <n v="4503.4"/>
  </r>
  <r>
    <x v="975"/>
    <x v="4"/>
    <x v="4"/>
    <x v="1"/>
    <n v="15"/>
    <n v="150"/>
    <n v="0.02"/>
    <x v="11"/>
    <n v="2250"/>
    <n v="45"/>
    <n v="2205"/>
  </r>
  <r>
    <x v="976"/>
    <x v="4"/>
    <x v="2"/>
    <x v="4"/>
    <n v="5"/>
    <n v="230"/>
    <n v="0.12"/>
    <x v="0"/>
    <n v="1150"/>
    <n v="138"/>
    <n v="1012"/>
  </r>
  <r>
    <x v="977"/>
    <x v="4"/>
    <x v="1"/>
    <x v="2"/>
    <n v="20"/>
    <n v="40"/>
    <n v="0.01"/>
    <x v="1"/>
    <n v="800"/>
    <n v="8"/>
    <n v="792"/>
  </r>
  <r>
    <x v="978"/>
    <x v="4"/>
    <x v="1"/>
    <x v="0"/>
    <n v="23"/>
    <n v="40"/>
    <n v="0.03"/>
    <x v="2"/>
    <n v="920"/>
    <n v="27.6"/>
    <n v="892.4"/>
  </r>
  <r>
    <x v="979"/>
    <x v="4"/>
    <x v="0"/>
    <x v="4"/>
    <n v="16"/>
    <n v="80"/>
    <n v="0.05"/>
    <x v="3"/>
    <n v="1280"/>
    <n v="64"/>
    <n v="1216"/>
  </r>
  <r>
    <x v="980"/>
    <x v="4"/>
    <x v="2"/>
    <x v="2"/>
    <n v="18"/>
    <n v="230"/>
    <n v="0.01"/>
    <x v="4"/>
    <n v="4140"/>
    <n v="41.4"/>
    <n v="4098.6"/>
  </r>
  <r>
    <x v="981"/>
    <x v="4"/>
    <x v="1"/>
    <x v="4"/>
    <n v="23"/>
    <n v="40"/>
    <n v="0.05"/>
    <x v="5"/>
    <n v="920"/>
    <n v="46"/>
    <n v="874"/>
  </r>
  <r>
    <x v="982"/>
    <x v="4"/>
    <x v="3"/>
    <x v="3"/>
    <n v="5"/>
    <n v="16"/>
    <n v="0.09"/>
    <x v="1"/>
    <n v="80"/>
    <n v="7.2"/>
    <n v="72.8"/>
  </r>
  <r>
    <x v="983"/>
    <x v="4"/>
    <x v="1"/>
    <x v="0"/>
    <n v="22"/>
    <n v="40"/>
    <n v="0.02"/>
    <x v="2"/>
    <n v="880"/>
    <n v="17.6"/>
    <n v="862.4"/>
  </r>
  <r>
    <x v="984"/>
    <x v="5"/>
    <x v="4"/>
    <x v="0"/>
    <n v="23"/>
    <n v="150"/>
    <n v="0.1"/>
    <x v="3"/>
    <n v="3450"/>
    <n v="345"/>
    <n v="3105"/>
  </r>
  <r>
    <x v="985"/>
    <x v="5"/>
    <x v="2"/>
    <x v="1"/>
    <n v="22"/>
    <n v="230"/>
    <n v="0.04"/>
    <x v="4"/>
    <n v="5060"/>
    <n v="202.4"/>
    <n v="4857.6"/>
  </r>
  <r>
    <x v="986"/>
    <x v="5"/>
    <x v="0"/>
    <x v="3"/>
    <n v="16"/>
    <n v="80"/>
    <n v="0.07"/>
    <x v="5"/>
    <n v="1280"/>
    <n v="89.6"/>
    <n v="1190.4"/>
  </r>
  <r>
    <x v="987"/>
    <x v="5"/>
    <x v="4"/>
    <x v="2"/>
    <n v="22"/>
    <n v="150"/>
    <n v="0.09"/>
    <x v="6"/>
    <n v="3300"/>
    <n v="297"/>
    <n v="3003"/>
  </r>
  <r>
    <x v="988"/>
    <x v="5"/>
    <x v="0"/>
    <x v="2"/>
    <n v="5"/>
    <n v="80"/>
    <n v="0.09"/>
    <x v="7"/>
    <n v="400"/>
    <n v="36"/>
    <n v="364"/>
  </r>
  <r>
    <x v="989"/>
    <x v="5"/>
    <x v="0"/>
    <x v="3"/>
    <n v="16"/>
    <n v="80"/>
    <n v="0.1"/>
    <x v="8"/>
    <n v="1280"/>
    <n v="128"/>
    <n v="1152"/>
  </r>
  <r>
    <x v="990"/>
    <x v="5"/>
    <x v="4"/>
    <x v="1"/>
    <n v="23"/>
    <n v="150"/>
    <n v="0.11"/>
    <x v="9"/>
    <n v="3450"/>
    <n v="379.5"/>
    <n v="3070.5"/>
  </r>
  <r>
    <x v="991"/>
    <x v="5"/>
    <x v="3"/>
    <x v="1"/>
    <n v="4"/>
    <n v="16"/>
    <n v="0.09"/>
    <x v="10"/>
    <n v="64"/>
    <n v="5.76"/>
    <n v="58.24"/>
  </r>
  <r>
    <x v="992"/>
    <x v="5"/>
    <x v="3"/>
    <x v="1"/>
    <n v="4"/>
    <n v="16"/>
    <n v="0.07"/>
    <x v="11"/>
    <n v="64"/>
    <n v="4.48"/>
    <n v="59.52"/>
  </r>
  <r>
    <x v="993"/>
    <x v="5"/>
    <x v="3"/>
    <x v="0"/>
    <n v="16"/>
    <n v="16"/>
    <n v="0.03"/>
    <x v="0"/>
    <n v="256"/>
    <n v="7.68"/>
    <n v="248.32"/>
  </r>
  <r>
    <x v="994"/>
    <x v="5"/>
    <x v="1"/>
    <x v="3"/>
    <n v="18"/>
    <n v="40"/>
    <n v="0.04"/>
    <x v="1"/>
    <n v="720"/>
    <n v="28.8"/>
    <n v="691.2"/>
  </r>
  <r>
    <x v="995"/>
    <x v="5"/>
    <x v="0"/>
    <x v="3"/>
    <n v="21"/>
    <n v="80"/>
    <n v="0.02"/>
    <x v="2"/>
    <n v="1680"/>
    <n v="33.6"/>
    <n v="1646.4"/>
  </r>
  <r>
    <x v="996"/>
    <x v="5"/>
    <x v="0"/>
    <x v="4"/>
    <n v="10"/>
    <n v="80"/>
    <n v="0.06"/>
    <x v="3"/>
    <n v="800"/>
    <n v="48"/>
    <n v="752"/>
  </r>
  <r>
    <x v="997"/>
    <x v="5"/>
    <x v="2"/>
    <x v="2"/>
    <n v="7"/>
    <n v="230"/>
    <n v="0.01"/>
    <x v="4"/>
    <n v="1610"/>
    <n v="16.1"/>
    <n v="1593.9"/>
  </r>
  <r>
    <x v="998"/>
    <x v="6"/>
    <x v="3"/>
    <x v="4"/>
    <n v="11"/>
    <n v="16"/>
    <n v="0.12"/>
    <x v="5"/>
    <n v="176"/>
    <n v="21.12"/>
    <n v="154.88"/>
  </r>
  <r>
    <x v="999"/>
    <x v="6"/>
    <x v="0"/>
    <x v="3"/>
    <n v="10"/>
    <n v="80"/>
    <n v="0.1"/>
    <x v="1"/>
    <n v="800"/>
    <n v="80"/>
    <n v="720"/>
  </r>
  <r>
    <x v="1000"/>
    <x v="6"/>
    <x v="1"/>
    <x v="1"/>
    <n v="23"/>
    <n v="40"/>
    <n v="0.06"/>
    <x v="2"/>
    <n v="920"/>
    <n v="55.2"/>
    <n v="864.8"/>
  </r>
  <r>
    <x v="1001"/>
    <x v="6"/>
    <x v="4"/>
    <x v="4"/>
    <n v="7"/>
    <n v="150"/>
    <n v="0.02"/>
    <x v="3"/>
    <n v="1050"/>
    <n v="21"/>
    <n v="1029"/>
  </r>
  <r>
    <x v="1002"/>
    <x v="6"/>
    <x v="0"/>
    <x v="0"/>
    <n v="17"/>
    <n v="80"/>
    <n v="0.07"/>
    <x v="4"/>
    <n v="1360"/>
    <n v="95.2"/>
    <n v="1264.8"/>
  </r>
  <r>
    <x v="1003"/>
    <x v="6"/>
    <x v="4"/>
    <x v="1"/>
    <n v="20"/>
    <n v="150"/>
    <n v="0.09"/>
    <x v="5"/>
    <n v="3000"/>
    <n v="270"/>
    <n v="2730"/>
  </r>
  <r>
    <x v="1004"/>
    <x v="6"/>
    <x v="2"/>
    <x v="3"/>
    <n v="23"/>
    <n v="230"/>
    <n v="0.06"/>
    <x v="6"/>
    <n v="5290"/>
    <n v="317.4"/>
    <n v="4972.6"/>
  </r>
  <r>
    <x v="1005"/>
    <x v="6"/>
    <x v="0"/>
    <x v="1"/>
    <n v="16"/>
    <n v="80"/>
    <n v="0.04"/>
    <x v="7"/>
    <n v="1280"/>
    <n v="51.2"/>
    <n v="1228.8"/>
  </r>
  <r>
    <x v="1006"/>
    <x v="6"/>
    <x v="2"/>
    <x v="4"/>
    <n v="22"/>
    <n v="230"/>
    <n v="0.1"/>
    <x v="8"/>
    <n v="5060"/>
    <n v="506"/>
    <n v="4554"/>
  </r>
  <r>
    <x v="1007"/>
    <x v="6"/>
    <x v="2"/>
    <x v="2"/>
    <n v="15"/>
    <n v="230"/>
    <n v="0.11"/>
    <x v="9"/>
    <n v="3450"/>
    <n v="379.5"/>
    <n v="3070.5"/>
  </r>
  <r>
    <x v="1008"/>
    <x v="6"/>
    <x v="1"/>
    <x v="1"/>
    <n v="15"/>
    <n v="40"/>
    <n v="0.04"/>
    <x v="10"/>
    <n v="600"/>
    <n v="24"/>
    <n v="576"/>
  </r>
  <r>
    <x v="1009"/>
    <x v="6"/>
    <x v="0"/>
    <x v="1"/>
    <n v="2"/>
    <n v="80"/>
    <n v="0.07"/>
    <x v="11"/>
    <n v="160"/>
    <n v="11.2"/>
    <n v="148.8"/>
  </r>
  <r>
    <x v="1010"/>
    <x v="7"/>
    <x v="4"/>
    <x v="0"/>
    <n v="22"/>
    <n v="150"/>
    <n v="0.05"/>
    <x v="0"/>
    <n v="3300"/>
    <n v="165"/>
    <n v="3135"/>
  </r>
  <r>
    <x v="1011"/>
    <x v="7"/>
    <x v="1"/>
    <x v="4"/>
    <n v="20"/>
    <n v="40"/>
    <n v="0.07"/>
    <x v="1"/>
    <n v="800"/>
    <n v="56"/>
    <n v="744"/>
  </r>
  <r>
    <x v="1012"/>
    <x v="7"/>
    <x v="2"/>
    <x v="3"/>
    <n v="2"/>
    <n v="230"/>
    <n v="0.09"/>
    <x v="2"/>
    <n v="460"/>
    <n v="41.4"/>
    <n v="418.6"/>
  </r>
  <r>
    <x v="1013"/>
    <x v="7"/>
    <x v="1"/>
    <x v="3"/>
    <n v="7"/>
    <n v="40"/>
    <n v="0.11"/>
    <x v="3"/>
    <n v="280"/>
    <n v="30.8"/>
    <n v="249.2"/>
  </r>
  <r>
    <x v="1014"/>
    <x v="7"/>
    <x v="1"/>
    <x v="3"/>
    <n v="9"/>
    <n v="40"/>
    <n v="0.06"/>
    <x v="5"/>
    <n v="360"/>
    <n v="21.6"/>
    <n v="338.4"/>
  </r>
  <r>
    <x v="1015"/>
    <x v="7"/>
    <x v="1"/>
    <x v="0"/>
    <n v="18"/>
    <n v="40"/>
    <n v="0.11"/>
    <x v="1"/>
    <n v="720"/>
    <n v="79.2"/>
    <n v="640.8"/>
  </r>
  <r>
    <x v="1016"/>
    <x v="7"/>
    <x v="2"/>
    <x v="0"/>
    <n v="20"/>
    <n v="230"/>
    <n v="0.04"/>
    <x v="2"/>
    <n v="4600"/>
    <n v="184"/>
    <n v="4416"/>
  </r>
  <r>
    <x v="1017"/>
    <x v="7"/>
    <x v="0"/>
    <x v="2"/>
    <n v="23"/>
    <n v="80"/>
    <n v="0.05"/>
    <x v="3"/>
    <n v="1840"/>
    <n v="92"/>
    <n v="1748"/>
  </r>
  <r>
    <x v="1018"/>
    <x v="7"/>
    <x v="4"/>
    <x v="4"/>
    <n v="11"/>
    <n v="150"/>
    <n v="0.09"/>
    <x v="4"/>
    <n v="1650"/>
    <n v="148.5"/>
    <n v="1501.5"/>
  </r>
  <r>
    <x v="1019"/>
    <x v="7"/>
    <x v="4"/>
    <x v="0"/>
    <n v="17"/>
    <n v="150"/>
    <n v="0.12"/>
    <x v="5"/>
    <n v="2550"/>
    <n v="306"/>
    <n v="2244"/>
  </r>
  <r>
    <x v="1020"/>
    <x v="7"/>
    <x v="2"/>
    <x v="4"/>
    <n v="2"/>
    <n v="230"/>
    <n v="0.08"/>
    <x v="6"/>
    <n v="460"/>
    <n v="36.8"/>
    <n v="423.2"/>
  </r>
  <r>
    <x v="1021"/>
    <x v="7"/>
    <x v="0"/>
    <x v="2"/>
    <n v="10"/>
    <n v="80"/>
    <n v="0.11"/>
    <x v="7"/>
    <n v="800"/>
    <n v="88"/>
    <n v="712"/>
  </r>
  <r>
    <x v="1022"/>
    <x v="8"/>
    <x v="3"/>
    <x v="3"/>
    <n v="22"/>
    <n v="16"/>
    <n v="0.03"/>
    <x v="8"/>
    <n v="352"/>
    <n v="10.56"/>
    <n v="341.44"/>
  </r>
  <r>
    <x v="1023"/>
    <x v="8"/>
    <x v="3"/>
    <x v="2"/>
    <n v="9"/>
    <n v="16"/>
    <n v="0.05"/>
    <x v="9"/>
    <n v="144"/>
    <n v="7.2"/>
    <n v="136.8"/>
  </r>
  <r>
    <x v="1024"/>
    <x v="8"/>
    <x v="1"/>
    <x v="2"/>
    <n v="4"/>
    <n v="40"/>
    <n v="0.1"/>
    <x v="10"/>
    <n v="160"/>
    <n v="16"/>
    <n v="144"/>
  </r>
  <r>
    <x v="1025"/>
    <x v="8"/>
    <x v="0"/>
    <x v="4"/>
    <n v="9"/>
    <n v="80"/>
    <n v="0.02"/>
    <x v="11"/>
    <n v="720"/>
    <n v="14.4"/>
    <n v="705.6"/>
  </r>
  <r>
    <x v="1026"/>
    <x v="8"/>
    <x v="2"/>
    <x v="2"/>
    <n v="6"/>
    <n v="230"/>
    <n v="0.05"/>
    <x v="0"/>
    <n v="1380"/>
    <n v="69"/>
    <n v="1311"/>
  </r>
  <r>
    <x v="1027"/>
    <x v="8"/>
    <x v="0"/>
    <x v="3"/>
    <n v="14"/>
    <n v="80"/>
    <n v="0.05"/>
    <x v="1"/>
    <n v="1120"/>
    <n v="56"/>
    <n v="1064"/>
  </r>
  <r>
    <x v="1028"/>
    <x v="8"/>
    <x v="3"/>
    <x v="4"/>
    <n v="17"/>
    <n v="16"/>
    <n v="0.08"/>
    <x v="2"/>
    <n v="272"/>
    <n v="21.76"/>
    <n v="250.24"/>
  </r>
  <r>
    <x v="1029"/>
    <x v="8"/>
    <x v="4"/>
    <x v="1"/>
    <n v="22"/>
    <n v="150"/>
    <n v="0.02"/>
    <x v="3"/>
    <n v="3300"/>
    <n v="66"/>
    <n v="3234"/>
  </r>
  <r>
    <x v="1030"/>
    <x v="8"/>
    <x v="1"/>
    <x v="4"/>
    <n v="17"/>
    <n v="40"/>
    <n v="0.02"/>
    <x v="4"/>
    <n v="680"/>
    <n v="13.6"/>
    <n v="666.4"/>
  </r>
  <r>
    <x v="1031"/>
    <x v="8"/>
    <x v="0"/>
    <x v="4"/>
    <n v="17"/>
    <n v="80"/>
    <n v="0.07"/>
    <x v="5"/>
    <n v="1360"/>
    <n v="95.2"/>
    <n v="1264.8"/>
  </r>
  <r>
    <x v="1032"/>
    <x v="8"/>
    <x v="4"/>
    <x v="3"/>
    <n v="4"/>
    <n v="150"/>
    <n v="0.12"/>
    <x v="1"/>
    <n v="600"/>
    <n v="72"/>
    <n v="528"/>
  </r>
  <r>
    <x v="1033"/>
    <x v="8"/>
    <x v="3"/>
    <x v="3"/>
    <n v="14"/>
    <n v="16"/>
    <n v="0.12"/>
    <x v="2"/>
    <n v="224"/>
    <n v="26.88"/>
    <n v="197.12"/>
  </r>
  <r>
    <x v="1034"/>
    <x v="8"/>
    <x v="3"/>
    <x v="0"/>
    <n v="18"/>
    <n v="16"/>
    <n v="0.11"/>
    <x v="3"/>
    <n v="288"/>
    <n v="31.68"/>
    <n v="256.32"/>
  </r>
  <r>
    <x v="1035"/>
    <x v="8"/>
    <x v="0"/>
    <x v="4"/>
    <n v="22"/>
    <n v="80"/>
    <n v="0.09"/>
    <x v="4"/>
    <n v="1760"/>
    <n v="158.4"/>
    <n v="1601.6"/>
  </r>
  <r>
    <x v="1036"/>
    <x v="8"/>
    <x v="2"/>
    <x v="1"/>
    <n v="12"/>
    <n v="230"/>
    <n v="0.03"/>
    <x v="5"/>
    <n v="2760"/>
    <n v="82.8"/>
    <n v="2677.2"/>
  </r>
  <r>
    <x v="1037"/>
    <x v="8"/>
    <x v="1"/>
    <x v="1"/>
    <n v="12"/>
    <n v="40"/>
    <n v="0.1"/>
    <x v="6"/>
    <n v="480"/>
    <n v="48"/>
    <n v="432"/>
  </r>
  <r>
    <x v="1038"/>
    <x v="9"/>
    <x v="1"/>
    <x v="4"/>
    <n v="7"/>
    <n v="40"/>
    <n v="0.12"/>
    <x v="7"/>
    <n v="280"/>
    <n v="33.6"/>
    <n v="246.4"/>
  </r>
  <r>
    <x v="1039"/>
    <x v="9"/>
    <x v="0"/>
    <x v="0"/>
    <n v="12"/>
    <n v="80"/>
    <n v="0.04"/>
    <x v="8"/>
    <n v="960"/>
    <n v="38.4"/>
    <n v="921.6"/>
  </r>
  <r>
    <x v="1040"/>
    <x v="9"/>
    <x v="3"/>
    <x v="4"/>
    <n v="17"/>
    <n v="16"/>
    <n v="0.1"/>
    <x v="9"/>
    <n v="272"/>
    <n v="27.2"/>
    <n v="244.8"/>
  </r>
  <r>
    <x v="1041"/>
    <x v="9"/>
    <x v="2"/>
    <x v="1"/>
    <n v="6"/>
    <n v="230"/>
    <n v="0.1"/>
    <x v="10"/>
    <n v="1380"/>
    <n v="138"/>
    <n v="1242"/>
  </r>
  <r>
    <x v="1042"/>
    <x v="9"/>
    <x v="1"/>
    <x v="0"/>
    <n v="11"/>
    <n v="40"/>
    <n v="0.04"/>
    <x v="11"/>
    <n v="440"/>
    <n v="17.6"/>
    <n v="422.4"/>
  </r>
  <r>
    <x v="1043"/>
    <x v="9"/>
    <x v="3"/>
    <x v="3"/>
    <n v="10"/>
    <n v="16"/>
    <n v="0.04"/>
    <x v="0"/>
    <n v="160"/>
    <n v="6.4"/>
    <n v="153.6"/>
  </r>
  <r>
    <x v="1044"/>
    <x v="9"/>
    <x v="0"/>
    <x v="0"/>
    <n v="6"/>
    <n v="80"/>
    <n v="0.07"/>
    <x v="1"/>
    <n v="480"/>
    <n v="33.6"/>
    <n v="446.4"/>
  </r>
  <r>
    <x v="1045"/>
    <x v="9"/>
    <x v="1"/>
    <x v="3"/>
    <n v="11"/>
    <n v="40"/>
    <n v="0.09"/>
    <x v="2"/>
    <n v="440"/>
    <n v="39.6"/>
    <n v="400.4"/>
  </r>
  <r>
    <x v="1046"/>
    <x v="9"/>
    <x v="0"/>
    <x v="4"/>
    <n v="16"/>
    <n v="80"/>
    <n v="0.09"/>
    <x v="3"/>
    <n v="1280"/>
    <n v="115.2"/>
    <n v="1164.8"/>
  </r>
  <r>
    <x v="1047"/>
    <x v="9"/>
    <x v="1"/>
    <x v="3"/>
    <n v="13"/>
    <n v="40"/>
    <n v="0.09"/>
    <x v="4"/>
    <n v="520"/>
    <n v="46.8"/>
    <n v="473.2"/>
  </r>
  <r>
    <x v="1048"/>
    <x v="9"/>
    <x v="2"/>
    <x v="0"/>
    <n v="5"/>
    <n v="230"/>
    <n v="0.1"/>
    <x v="5"/>
    <n v="1150"/>
    <n v="115"/>
    <n v="1035"/>
  </r>
  <r>
    <x v="1049"/>
    <x v="10"/>
    <x v="1"/>
    <x v="4"/>
    <n v="7"/>
    <n v="40"/>
    <n v="0.05"/>
    <x v="1"/>
    <n v="280"/>
    <n v="14"/>
    <n v="266"/>
  </r>
  <r>
    <x v="1050"/>
    <x v="10"/>
    <x v="0"/>
    <x v="2"/>
    <n v="14"/>
    <n v="80"/>
    <n v="0.1"/>
    <x v="2"/>
    <n v="1120"/>
    <n v="112"/>
    <n v="1008"/>
  </r>
  <r>
    <x v="1051"/>
    <x v="10"/>
    <x v="3"/>
    <x v="4"/>
    <n v="12"/>
    <n v="16"/>
    <n v="0.04"/>
    <x v="3"/>
    <n v="192"/>
    <n v="7.68"/>
    <n v="184.32"/>
  </r>
  <r>
    <x v="1052"/>
    <x v="10"/>
    <x v="2"/>
    <x v="2"/>
    <n v="14"/>
    <n v="230"/>
    <n v="0.03"/>
    <x v="4"/>
    <n v="3220"/>
    <n v="96.6"/>
    <n v="3123.4"/>
  </r>
  <r>
    <x v="1053"/>
    <x v="10"/>
    <x v="0"/>
    <x v="4"/>
    <n v="21"/>
    <n v="80"/>
    <n v="0.09"/>
    <x v="5"/>
    <n v="1680"/>
    <n v="151.2"/>
    <n v="1528.8"/>
  </r>
  <r>
    <x v="1054"/>
    <x v="10"/>
    <x v="2"/>
    <x v="2"/>
    <n v="5"/>
    <n v="230"/>
    <n v="0.1"/>
    <x v="6"/>
    <n v="1150"/>
    <n v="115"/>
    <n v="1035"/>
  </r>
  <r>
    <x v="1055"/>
    <x v="10"/>
    <x v="1"/>
    <x v="4"/>
    <n v="16"/>
    <n v="40"/>
    <n v="0.09"/>
    <x v="7"/>
    <n v="640"/>
    <n v="57.6"/>
    <n v="582.4"/>
  </r>
  <r>
    <x v="1056"/>
    <x v="10"/>
    <x v="4"/>
    <x v="1"/>
    <n v="15"/>
    <n v="150"/>
    <n v="0.12"/>
    <x v="8"/>
    <n v="2250"/>
    <n v="270"/>
    <n v="1980"/>
  </r>
  <r>
    <x v="1057"/>
    <x v="10"/>
    <x v="3"/>
    <x v="4"/>
    <n v="23"/>
    <n v="16"/>
    <n v="0.01"/>
    <x v="9"/>
    <n v="368"/>
    <n v="3.68"/>
    <n v="364.32"/>
  </r>
  <r>
    <x v="1058"/>
    <x v="10"/>
    <x v="3"/>
    <x v="1"/>
    <n v="22"/>
    <n v="16"/>
    <n v="0.04"/>
    <x v="10"/>
    <n v="352"/>
    <n v="14.08"/>
    <n v="337.92"/>
  </r>
  <r>
    <x v="1059"/>
    <x v="10"/>
    <x v="0"/>
    <x v="0"/>
    <n v="20"/>
    <n v="80"/>
    <n v="0.01"/>
    <x v="11"/>
    <n v="1600"/>
    <n v="16"/>
    <n v="1584"/>
  </r>
  <r>
    <x v="1060"/>
    <x v="10"/>
    <x v="1"/>
    <x v="3"/>
    <n v="6"/>
    <n v="40"/>
    <n v="0.07"/>
    <x v="0"/>
    <n v="240"/>
    <n v="16.8"/>
    <n v="223.2"/>
  </r>
  <r>
    <x v="1061"/>
    <x v="11"/>
    <x v="4"/>
    <x v="1"/>
    <n v="10"/>
    <n v="150"/>
    <n v="0.01"/>
    <x v="1"/>
    <n v="1500"/>
    <n v="15"/>
    <n v="1485"/>
  </r>
  <r>
    <x v="1062"/>
    <x v="11"/>
    <x v="0"/>
    <x v="3"/>
    <n v="17"/>
    <n v="80"/>
    <n v="0.05"/>
    <x v="2"/>
    <n v="1360"/>
    <n v="68"/>
    <n v="1292"/>
  </r>
  <r>
    <x v="1063"/>
    <x v="11"/>
    <x v="4"/>
    <x v="0"/>
    <n v="13"/>
    <n v="150"/>
    <n v="0.05"/>
    <x v="3"/>
    <n v="1950"/>
    <n v="97.5"/>
    <n v="1852.5"/>
  </r>
  <r>
    <x v="1064"/>
    <x v="11"/>
    <x v="2"/>
    <x v="3"/>
    <n v="8"/>
    <n v="230"/>
    <n v="0.05"/>
    <x v="4"/>
    <n v="1840"/>
    <n v="92"/>
    <n v="1748"/>
  </r>
  <r>
    <x v="1065"/>
    <x v="11"/>
    <x v="3"/>
    <x v="0"/>
    <n v="10"/>
    <n v="16"/>
    <n v="0.08"/>
    <x v="5"/>
    <n v="160"/>
    <n v="12.8"/>
    <n v="147.2"/>
  </r>
  <r>
    <x v="1066"/>
    <x v="11"/>
    <x v="1"/>
    <x v="1"/>
    <n v="4"/>
    <n v="40"/>
    <n v="0.06"/>
    <x v="1"/>
    <n v="160"/>
    <n v="9.6"/>
    <n v="150.4"/>
  </r>
  <r>
    <x v="1067"/>
    <x v="11"/>
    <x v="1"/>
    <x v="4"/>
    <n v="18"/>
    <n v="40"/>
    <n v="0.06"/>
    <x v="2"/>
    <n v="720"/>
    <n v="43.2"/>
    <n v="676.8"/>
  </r>
  <r>
    <x v="1068"/>
    <x v="11"/>
    <x v="4"/>
    <x v="3"/>
    <n v="15"/>
    <n v="150"/>
    <n v="0.05"/>
    <x v="3"/>
    <n v="2250"/>
    <n v="112.5"/>
    <n v="2137.5"/>
  </r>
  <r>
    <x v="1069"/>
    <x v="11"/>
    <x v="4"/>
    <x v="3"/>
    <n v="3"/>
    <n v="150"/>
    <n v="0.01"/>
    <x v="4"/>
    <n v="450"/>
    <n v="4.5"/>
    <n v="445.5"/>
  </r>
  <r>
    <x v="1070"/>
    <x v="11"/>
    <x v="3"/>
    <x v="0"/>
    <n v="12"/>
    <n v="16"/>
    <n v="0.11"/>
    <x v="5"/>
    <n v="192"/>
    <n v="21.12"/>
    <n v="170.88"/>
  </r>
  <r>
    <x v="1071"/>
    <x v="12"/>
    <x v="0"/>
    <x v="4"/>
    <n v="17"/>
    <n v="80"/>
    <n v="0.07"/>
    <x v="6"/>
    <n v="1360"/>
    <n v="95.2"/>
    <n v="1264.8"/>
  </r>
  <r>
    <x v="1072"/>
    <x v="12"/>
    <x v="2"/>
    <x v="0"/>
    <n v="3"/>
    <n v="230"/>
    <n v="0.06"/>
    <x v="7"/>
    <n v="690"/>
    <n v="41.4"/>
    <n v="648.6"/>
  </r>
  <r>
    <x v="1073"/>
    <x v="12"/>
    <x v="0"/>
    <x v="2"/>
    <n v="20"/>
    <n v="80"/>
    <n v="0.07"/>
    <x v="8"/>
    <n v="1600"/>
    <n v="112"/>
    <n v="1488"/>
  </r>
  <r>
    <x v="1074"/>
    <x v="12"/>
    <x v="2"/>
    <x v="1"/>
    <n v="14"/>
    <n v="230"/>
    <n v="0.05"/>
    <x v="9"/>
    <n v="3220"/>
    <n v="161"/>
    <n v="3059"/>
  </r>
  <r>
    <x v="1075"/>
    <x v="12"/>
    <x v="1"/>
    <x v="4"/>
    <n v="16"/>
    <n v="40"/>
    <n v="0.09"/>
    <x v="10"/>
    <n v="640"/>
    <n v="57.6"/>
    <n v="582.4"/>
  </r>
  <r>
    <x v="1076"/>
    <x v="12"/>
    <x v="3"/>
    <x v="1"/>
    <n v="7"/>
    <n v="16"/>
    <n v="0.08"/>
    <x v="11"/>
    <n v="112"/>
    <n v="8.96"/>
    <n v="103.04"/>
  </r>
  <r>
    <x v="1077"/>
    <x v="12"/>
    <x v="1"/>
    <x v="1"/>
    <n v="19"/>
    <n v="40"/>
    <n v="0.1"/>
    <x v="0"/>
    <n v="760"/>
    <n v="76"/>
    <n v="684"/>
  </r>
  <r>
    <x v="1078"/>
    <x v="12"/>
    <x v="2"/>
    <x v="3"/>
    <n v="7"/>
    <n v="230"/>
    <n v="0.06"/>
    <x v="1"/>
    <n v="1610"/>
    <n v="96.6"/>
    <n v="1513.4"/>
  </r>
  <r>
    <x v="1079"/>
    <x v="12"/>
    <x v="1"/>
    <x v="4"/>
    <n v="20"/>
    <n v="40"/>
    <n v="0.03"/>
    <x v="2"/>
    <n v="800"/>
    <n v="24"/>
    <n v="776"/>
  </r>
  <r>
    <x v="1080"/>
    <x v="12"/>
    <x v="3"/>
    <x v="2"/>
    <n v="11"/>
    <n v="16"/>
    <n v="0.12"/>
    <x v="3"/>
    <n v="176"/>
    <n v="21.12"/>
    <n v="154.88"/>
  </r>
  <r>
    <x v="1081"/>
    <x v="12"/>
    <x v="0"/>
    <x v="4"/>
    <n v="16"/>
    <n v="80"/>
    <n v="0.09"/>
    <x v="4"/>
    <n v="1280"/>
    <n v="115.2"/>
    <n v="1164.8"/>
  </r>
  <r>
    <x v="1082"/>
    <x v="12"/>
    <x v="3"/>
    <x v="0"/>
    <n v="21"/>
    <n v="16"/>
    <n v="0.09"/>
    <x v="5"/>
    <n v="336"/>
    <n v="30.24"/>
    <n v="305.76"/>
  </r>
  <r>
    <x v="1083"/>
    <x v="12"/>
    <x v="3"/>
    <x v="0"/>
    <n v="22"/>
    <n v="16"/>
    <n v="0.01"/>
    <x v="1"/>
    <n v="352"/>
    <n v="3.52"/>
    <n v="348.48"/>
  </r>
  <r>
    <x v="1084"/>
    <x v="12"/>
    <x v="2"/>
    <x v="3"/>
    <n v="23"/>
    <n v="230"/>
    <n v="0.06"/>
    <x v="2"/>
    <n v="5290"/>
    <n v="317.4"/>
    <n v="4972.6"/>
  </r>
  <r>
    <x v="1085"/>
    <x v="12"/>
    <x v="4"/>
    <x v="0"/>
    <n v="9"/>
    <n v="150"/>
    <n v="0.1"/>
    <x v="3"/>
    <n v="1350"/>
    <n v="135"/>
    <n v="1215"/>
  </r>
  <r>
    <x v="1086"/>
    <x v="12"/>
    <x v="4"/>
    <x v="2"/>
    <n v="9"/>
    <n v="150"/>
    <n v="0.06"/>
    <x v="4"/>
    <n v="1350"/>
    <n v="81"/>
    <n v="1269"/>
  </r>
  <r>
    <x v="1087"/>
    <x v="13"/>
    <x v="2"/>
    <x v="0"/>
    <n v="9"/>
    <n v="230"/>
    <n v="0.07"/>
    <x v="5"/>
    <n v="2070"/>
    <n v="144.9"/>
    <n v="1925.1"/>
  </r>
  <r>
    <x v="1088"/>
    <x v="13"/>
    <x v="0"/>
    <x v="2"/>
    <n v="10"/>
    <n v="80"/>
    <n v="0.08"/>
    <x v="6"/>
    <n v="800"/>
    <n v="64"/>
    <n v="736"/>
  </r>
  <r>
    <x v="1089"/>
    <x v="13"/>
    <x v="3"/>
    <x v="2"/>
    <n v="23"/>
    <n v="16"/>
    <n v="0.11"/>
    <x v="7"/>
    <n v="368"/>
    <n v="40.48"/>
    <n v="327.52"/>
  </r>
  <r>
    <x v="1090"/>
    <x v="13"/>
    <x v="0"/>
    <x v="3"/>
    <n v="22"/>
    <n v="80"/>
    <n v="0.03"/>
    <x v="8"/>
    <n v="1760"/>
    <n v="52.8"/>
    <n v="1707.2"/>
  </r>
  <r>
    <x v="1091"/>
    <x v="13"/>
    <x v="0"/>
    <x v="3"/>
    <n v="4"/>
    <n v="80"/>
    <n v="0.11"/>
    <x v="9"/>
    <n v="320"/>
    <n v="35.2"/>
    <n v="284.8"/>
  </r>
  <r>
    <x v="1092"/>
    <x v="13"/>
    <x v="3"/>
    <x v="0"/>
    <n v="22"/>
    <n v="16"/>
    <n v="0.06"/>
    <x v="10"/>
    <n v="352"/>
    <n v="21.12"/>
    <n v="330.88"/>
  </r>
  <r>
    <x v="1093"/>
    <x v="13"/>
    <x v="1"/>
    <x v="1"/>
    <n v="15"/>
    <n v="40"/>
    <n v="0.02"/>
    <x v="11"/>
    <n v="600"/>
    <n v="12"/>
    <n v="588"/>
  </r>
  <r>
    <x v="1094"/>
    <x v="13"/>
    <x v="1"/>
    <x v="4"/>
    <n v="7"/>
    <n v="40"/>
    <n v="0.04"/>
    <x v="0"/>
    <n v="280"/>
    <n v="11.2"/>
    <n v="268.8"/>
  </r>
  <r>
    <x v="1095"/>
    <x v="13"/>
    <x v="3"/>
    <x v="4"/>
    <n v="2"/>
    <n v="16"/>
    <n v="0.04"/>
    <x v="1"/>
    <n v="32"/>
    <n v="1.28"/>
    <n v="30.72"/>
  </r>
  <r>
    <x v="1096"/>
    <x v="13"/>
    <x v="0"/>
    <x v="3"/>
    <n v="7"/>
    <n v="80"/>
    <n v="0.02"/>
    <x v="2"/>
    <n v="560"/>
    <n v="11.2"/>
    <n v="548.8"/>
  </r>
  <r>
    <x v="1097"/>
    <x v="14"/>
    <x v="3"/>
    <x v="4"/>
    <n v="22"/>
    <n v="16"/>
    <n v="0.12"/>
    <x v="3"/>
    <n v="352"/>
    <n v="42.24"/>
    <n v="309.76"/>
  </r>
  <r>
    <x v="1098"/>
    <x v="14"/>
    <x v="1"/>
    <x v="1"/>
    <n v="21"/>
    <n v="40"/>
    <n v="0.03"/>
    <x v="4"/>
    <n v="840"/>
    <n v="25.2"/>
    <n v="814.8"/>
  </r>
  <r>
    <x v="1099"/>
    <x v="14"/>
    <x v="0"/>
    <x v="0"/>
    <n v="6"/>
    <n v="80"/>
    <n v="0.01"/>
    <x v="5"/>
    <n v="480"/>
    <n v="4.8"/>
    <n v="475.2"/>
  </r>
  <r>
    <x v="1100"/>
    <x v="14"/>
    <x v="0"/>
    <x v="4"/>
    <n v="13"/>
    <n v="80"/>
    <n v="0.05"/>
    <x v="1"/>
    <n v="1040"/>
    <n v="52"/>
    <n v="988"/>
  </r>
  <r>
    <x v="1101"/>
    <x v="14"/>
    <x v="0"/>
    <x v="3"/>
    <n v="11"/>
    <n v="80"/>
    <n v="0.01"/>
    <x v="2"/>
    <n v="880"/>
    <n v="8.8"/>
    <n v="871.2"/>
  </r>
  <r>
    <x v="1102"/>
    <x v="14"/>
    <x v="1"/>
    <x v="0"/>
    <n v="18"/>
    <n v="40"/>
    <n v="0.06"/>
    <x v="3"/>
    <n v="720"/>
    <n v="43.2"/>
    <n v="676.8"/>
  </r>
  <r>
    <x v="1103"/>
    <x v="14"/>
    <x v="4"/>
    <x v="3"/>
    <n v="7"/>
    <n v="150"/>
    <n v="0.05"/>
    <x v="4"/>
    <n v="1050"/>
    <n v="52.5"/>
    <n v="997.5"/>
  </r>
  <r>
    <x v="1104"/>
    <x v="14"/>
    <x v="1"/>
    <x v="0"/>
    <n v="2"/>
    <n v="40"/>
    <n v="0.12"/>
    <x v="5"/>
    <n v="80"/>
    <n v="9.6"/>
    <n v="70.4"/>
  </r>
  <r>
    <x v="1105"/>
    <x v="14"/>
    <x v="0"/>
    <x v="1"/>
    <n v="14"/>
    <n v="80"/>
    <n v="0.06"/>
    <x v="6"/>
    <n v="1120"/>
    <n v="67.2"/>
    <n v="1052.8"/>
  </r>
  <r>
    <x v="1106"/>
    <x v="14"/>
    <x v="4"/>
    <x v="4"/>
    <n v="7"/>
    <n v="150"/>
    <n v="0.03"/>
    <x v="7"/>
    <n v="1050"/>
    <n v="31.5"/>
    <n v="1018.5"/>
  </r>
  <r>
    <x v="1107"/>
    <x v="14"/>
    <x v="3"/>
    <x v="3"/>
    <n v="10"/>
    <n v="16"/>
    <n v="0.01"/>
    <x v="8"/>
    <n v="160"/>
    <n v="1.6"/>
    <n v="158.4"/>
  </r>
  <r>
    <x v="1108"/>
    <x v="15"/>
    <x v="1"/>
    <x v="1"/>
    <n v="7"/>
    <n v="40"/>
    <n v="0.01"/>
    <x v="9"/>
    <n v="280"/>
    <n v="2.8"/>
    <n v="277.2"/>
  </r>
  <r>
    <x v="1109"/>
    <x v="15"/>
    <x v="3"/>
    <x v="3"/>
    <n v="7"/>
    <n v="16"/>
    <n v="0.08"/>
    <x v="10"/>
    <n v="112"/>
    <n v="8.96"/>
    <n v="103.04"/>
  </r>
  <r>
    <x v="1110"/>
    <x v="15"/>
    <x v="4"/>
    <x v="2"/>
    <n v="15"/>
    <n v="150"/>
    <n v="0.05"/>
    <x v="11"/>
    <n v="2250"/>
    <n v="112.5"/>
    <n v="2137.5"/>
  </r>
  <r>
    <x v="1111"/>
    <x v="15"/>
    <x v="0"/>
    <x v="0"/>
    <n v="7"/>
    <n v="80"/>
    <n v="0.02"/>
    <x v="0"/>
    <n v="560"/>
    <n v="11.2"/>
    <n v="548.8"/>
  </r>
  <r>
    <x v="1112"/>
    <x v="15"/>
    <x v="1"/>
    <x v="2"/>
    <n v="6"/>
    <n v="40"/>
    <n v="0.06"/>
    <x v="1"/>
    <n v="240"/>
    <n v="14.4"/>
    <n v="225.6"/>
  </r>
  <r>
    <x v="1113"/>
    <x v="15"/>
    <x v="2"/>
    <x v="0"/>
    <n v="3"/>
    <n v="230"/>
    <n v="0.06"/>
    <x v="2"/>
    <n v="690"/>
    <n v="41.4"/>
    <n v="648.6"/>
  </r>
  <r>
    <x v="1114"/>
    <x v="15"/>
    <x v="4"/>
    <x v="2"/>
    <n v="20"/>
    <n v="150"/>
    <n v="0.04"/>
    <x v="3"/>
    <n v="3000"/>
    <n v="120"/>
    <n v="2880"/>
  </r>
  <r>
    <x v="1115"/>
    <x v="15"/>
    <x v="2"/>
    <x v="2"/>
    <n v="20"/>
    <n v="230"/>
    <n v="0.06"/>
    <x v="4"/>
    <n v="4600"/>
    <n v="276"/>
    <n v="4324"/>
  </r>
  <r>
    <x v="1116"/>
    <x v="15"/>
    <x v="3"/>
    <x v="2"/>
    <n v="14"/>
    <n v="16"/>
    <n v="0.01"/>
    <x v="5"/>
    <n v="224"/>
    <n v="2.24"/>
    <n v="221.76"/>
  </r>
  <r>
    <x v="1117"/>
    <x v="15"/>
    <x v="4"/>
    <x v="2"/>
    <n v="20"/>
    <n v="150"/>
    <n v="0.04"/>
    <x v="1"/>
    <n v="3000"/>
    <n v="120"/>
    <n v="2880"/>
  </r>
  <r>
    <x v="1118"/>
    <x v="15"/>
    <x v="0"/>
    <x v="0"/>
    <n v="17"/>
    <n v="80"/>
    <n v="0.09"/>
    <x v="2"/>
    <n v="1360"/>
    <n v="122.4"/>
    <n v="1237.6"/>
  </r>
  <r>
    <x v="1119"/>
    <x v="16"/>
    <x v="4"/>
    <x v="2"/>
    <n v="20"/>
    <n v="150"/>
    <n v="0.12"/>
    <x v="3"/>
    <n v="3000"/>
    <n v="360"/>
    <n v="2640"/>
  </r>
  <r>
    <x v="1120"/>
    <x v="16"/>
    <x v="3"/>
    <x v="2"/>
    <n v="11"/>
    <n v="16"/>
    <n v="0.04"/>
    <x v="4"/>
    <n v="176"/>
    <n v="7.04"/>
    <n v="168.96"/>
  </r>
  <r>
    <x v="1121"/>
    <x v="16"/>
    <x v="2"/>
    <x v="4"/>
    <n v="7"/>
    <n v="230"/>
    <n v="0.05"/>
    <x v="5"/>
    <n v="1610"/>
    <n v="80.5"/>
    <n v="1529.5"/>
  </r>
  <r>
    <x v="1122"/>
    <x v="16"/>
    <x v="1"/>
    <x v="1"/>
    <n v="14"/>
    <n v="40"/>
    <n v="0.06"/>
    <x v="6"/>
    <n v="560"/>
    <n v="33.6"/>
    <n v="526.4"/>
  </r>
  <r>
    <x v="1123"/>
    <x v="16"/>
    <x v="0"/>
    <x v="1"/>
    <n v="13"/>
    <n v="80"/>
    <n v="0.06"/>
    <x v="7"/>
    <n v="1040"/>
    <n v="62.4"/>
    <n v="977.6"/>
  </r>
  <r>
    <x v="1124"/>
    <x v="16"/>
    <x v="3"/>
    <x v="2"/>
    <n v="17"/>
    <n v="16"/>
    <n v="0.05"/>
    <x v="8"/>
    <n v="272"/>
    <n v="13.6"/>
    <n v="258.4"/>
  </r>
  <r>
    <x v="1125"/>
    <x v="16"/>
    <x v="2"/>
    <x v="2"/>
    <n v="12"/>
    <n v="230"/>
    <n v="0.03"/>
    <x v="9"/>
    <n v="2760"/>
    <n v="82.8"/>
    <n v="2677.2"/>
  </r>
  <r>
    <x v="1126"/>
    <x v="16"/>
    <x v="1"/>
    <x v="1"/>
    <n v="4"/>
    <n v="40"/>
    <n v="0.12"/>
    <x v="10"/>
    <n v="160"/>
    <n v="19.2"/>
    <n v="140.8"/>
  </r>
  <r>
    <x v="1127"/>
    <x v="16"/>
    <x v="3"/>
    <x v="0"/>
    <n v="20"/>
    <n v="16"/>
    <n v="0.01"/>
    <x v="11"/>
    <n v="320"/>
    <n v="3.2"/>
    <n v="316.8"/>
  </r>
  <r>
    <x v="1128"/>
    <x v="16"/>
    <x v="0"/>
    <x v="3"/>
    <n v="8"/>
    <n v="80"/>
    <n v="0.06"/>
    <x v="0"/>
    <n v="640"/>
    <n v="38.4"/>
    <n v="601.6"/>
  </r>
  <r>
    <x v="1129"/>
    <x v="16"/>
    <x v="0"/>
    <x v="0"/>
    <n v="18"/>
    <n v="80"/>
    <n v="0.02"/>
    <x v="1"/>
    <n v="1440"/>
    <n v="28.8"/>
    <n v="1411.2"/>
  </r>
  <r>
    <x v="1130"/>
    <x v="16"/>
    <x v="3"/>
    <x v="2"/>
    <n v="6"/>
    <n v="16"/>
    <n v="0.06"/>
    <x v="2"/>
    <n v="96"/>
    <n v="5.76"/>
    <n v="90.24"/>
  </r>
  <r>
    <x v="1131"/>
    <x v="16"/>
    <x v="0"/>
    <x v="0"/>
    <n v="9"/>
    <n v="80"/>
    <n v="0.04"/>
    <x v="3"/>
    <n v="720"/>
    <n v="28.8"/>
    <n v="691.2"/>
  </r>
  <r>
    <x v="1132"/>
    <x v="17"/>
    <x v="0"/>
    <x v="2"/>
    <n v="8"/>
    <n v="80"/>
    <n v="0.02"/>
    <x v="4"/>
    <n v="640"/>
    <n v="12.8"/>
    <n v="627.2"/>
  </r>
  <r>
    <x v="1133"/>
    <x v="17"/>
    <x v="4"/>
    <x v="3"/>
    <n v="6"/>
    <n v="150"/>
    <n v="0.03"/>
    <x v="5"/>
    <n v="900"/>
    <n v="27"/>
    <n v="873"/>
  </r>
  <r>
    <x v="1134"/>
    <x v="17"/>
    <x v="3"/>
    <x v="3"/>
    <n v="14"/>
    <n v="16"/>
    <n v="0.12"/>
    <x v="1"/>
    <n v="224"/>
    <n v="26.88"/>
    <n v="197.12"/>
  </r>
  <r>
    <x v="1135"/>
    <x v="17"/>
    <x v="0"/>
    <x v="2"/>
    <n v="6"/>
    <n v="80"/>
    <n v="0.09"/>
    <x v="2"/>
    <n v="480"/>
    <n v="43.2"/>
    <n v="436.8"/>
  </r>
  <r>
    <x v="1136"/>
    <x v="17"/>
    <x v="1"/>
    <x v="4"/>
    <n v="23"/>
    <n v="40"/>
    <n v="0.04"/>
    <x v="3"/>
    <n v="920"/>
    <n v="36.8"/>
    <n v="883.2"/>
  </r>
  <r>
    <x v="1137"/>
    <x v="17"/>
    <x v="1"/>
    <x v="2"/>
    <n v="12"/>
    <n v="40"/>
    <n v="0.02"/>
    <x v="4"/>
    <n v="480"/>
    <n v="9.6"/>
    <n v="470.4"/>
  </r>
  <r>
    <x v="1138"/>
    <x v="17"/>
    <x v="1"/>
    <x v="3"/>
    <n v="22"/>
    <n v="40"/>
    <n v="0.01"/>
    <x v="5"/>
    <n v="880"/>
    <n v="8.8"/>
    <n v="871.2"/>
  </r>
  <r>
    <x v="1139"/>
    <x v="17"/>
    <x v="4"/>
    <x v="3"/>
    <n v="6"/>
    <n v="150"/>
    <n v="0.03"/>
    <x v="6"/>
    <n v="900"/>
    <n v="27"/>
    <n v="873"/>
  </r>
  <r>
    <x v="1140"/>
    <x v="17"/>
    <x v="3"/>
    <x v="4"/>
    <n v="19"/>
    <n v="16"/>
    <n v="0.02"/>
    <x v="7"/>
    <n v="304"/>
    <n v="6.08"/>
    <n v="297.92"/>
  </r>
  <r>
    <x v="1141"/>
    <x v="17"/>
    <x v="1"/>
    <x v="2"/>
    <n v="2"/>
    <n v="40"/>
    <n v="0.02"/>
    <x v="8"/>
    <n v="80"/>
    <n v="1.6"/>
    <n v="78.4"/>
  </r>
  <r>
    <x v="1142"/>
    <x v="18"/>
    <x v="1"/>
    <x v="3"/>
    <n v="22"/>
    <n v="40"/>
    <n v="0.01"/>
    <x v="9"/>
    <n v="880"/>
    <n v="8.8"/>
    <n v="871.2"/>
  </r>
  <r>
    <x v="1143"/>
    <x v="18"/>
    <x v="2"/>
    <x v="3"/>
    <n v="3"/>
    <n v="230"/>
    <n v="0.01"/>
    <x v="10"/>
    <n v="690"/>
    <n v="6.9"/>
    <n v="683.1"/>
  </r>
  <r>
    <x v="1144"/>
    <x v="18"/>
    <x v="1"/>
    <x v="3"/>
    <n v="23"/>
    <n v="40"/>
    <n v="0.06"/>
    <x v="11"/>
    <n v="920"/>
    <n v="55.2"/>
    <n v="864.8"/>
  </r>
  <r>
    <x v="1145"/>
    <x v="18"/>
    <x v="1"/>
    <x v="4"/>
    <n v="5"/>
    <n v="40"/>
    <n v="0.03"/>
    <x v="0"/>
    <n v="200"/>
    <n v="6"/>
    <n v="194"/>
  </r>
  <r>
    <x v="1146"/>
    <x v="18"/>
    <x v="0"/>
    <x v="0"/>
    <n v="8"/>
    <n v="80"/>
    <n v="0.08"/>
    <x v="1"/>
    <n v="640"/>
    <n v="51.2"/>
    <n v="588.8"/>
  </r>
  <r>
    <x v="1147"/>
    <x v="18"/>
    <x v="1"/>
    <x v="2"/>
    <n v="18"/>
    <n v="40"/>
    <n v="0.03"/>
    <x v="2"/>
    <n v="720"/>
    <n v="21.6"/>
    <n v="698.4"/>
  </r>
  <r>
    <x v="1148"/>
    <x v="18"/>
    <x v="1"/>
    <x v="4"/>
    <n v="20"/>
    <n v="40"/>
    <n v="0.1"/>
    <x v="3"/>
    <n v="800"/>
    <n v="80"/>
    <n v="720"/>
  </r>
  <r>
    <x v="1149"/>
    <x v="18"/>
    <x v="1"/>
    <x v="2"/>
    <n v="2"/>
    <n v="40"/>
    <n v="0.03"/>
    <x v="4"/>
    <n v="80"/>
    <n v="2.4"/>
    <n v="77.6"/>
  </r>
  <r>
    <x v="1150"/>
    <x v="18"/>
    <x v="2"/>
    <x v="0"/>
    <n v="15"/>
    <n v="230"/>
    <n v="0.05"/>
    <x v="5"/>
    <n v="3450"/>
    <n v="172.5"/>
    <n v="3277.5"/>
  </r>
  <r>
    <x v="1151"/>
    <x v="18"/>
    <x v="4"/>
    <x v="3"/>
    <n v="15"/>
    <n v="150"/>
    <n v="0.08"/>
    <x v="1"/>
    <n v="2250"/>
    <n v="180"/>
    <n v="2070"/>
  </r>
  <r>
    <x v="1152"/>
    <x v="18"/>
    <x v="4"/>
    <x v="3"/>
    <n v="22"/>
    <n v="150"/>
    <n v="0.05"/>
    <x v="2"/>
    <n v="3300"/>
    <n v="165"/>
    <n v="3135"/>
  </r>
  <r>
    <x v="1153"/>
    <x v="18"/>
    <x v="2"/>
    <x v="1"/>
    <n v="19"/>
    <n v="230"/>
    <n v="0.11"/>
    <x v="3"/>
    <n v="4370"/>
    <n v="480.7"/>
    <n v="3889.3"/>
  </r>
  <r>
    <x v="1154"/>
    <x v="18"/>
    <x v="0"/>
    <x v="1"/>
    <n v="10"/>
    <n v="80"/>
    <n v="0.11"/>
    <x v="4"/>
    <n v="800"/>
    <n v="88"/>
    <n v="712"/>
  </r>
  <r>
    <x v="1155"/>
    <x v="18"/>
    <x v="1"/>
    <x v="3"/>
    <n v="18"/>
    <n v="40"/>
    <n v="0.06"/>
    <x v="5"/>
    <n v="720"/>
    <n v="43.2"/>
    <n v="676.8"/>
  </r>
  <r>
    <x v="1156"/>
    <x v="18"/>
    <x v="0"/>
    <x v="3"/>
    <n v="16"/>
    <n v="80"/>
    <n v="0.05"/>
    <x v="6"/>
    <n v="1280"/>
    <n v="64"/>
    <n v="1216"/>
  </r>
  <r>
    <x v="1157"/>
    <x v="18"/>
    <x v="4"/>
    <x v="4"/>
    <n v="17"/>
    <n v="150"/>
    <n v="0.02"/>
    <x v="7"/>
    <n v="2550"/>
    <n v="51"/>
    <n v="2499"/>
  </r>
  <r>
    <x v="1158"/>
    <x v="19"/>
    <x v="2"/>
    <x v="0"/>
    <n v="8"/>
    <n v="230"/>
    <n v="0.03"/>
    <x v="8"/>
    <n v="1840"/>
    <n v="55.2"/>
    <n v="1784.8"/>
  </r>
  <r>
    <x v="1159"/>
    <x v="19"/>
    <x v="0"/>
    <x v="3"/>
    <n v="11"/>
    <n v="80"/>
    <n v="0.01"/>
    <x v="9"/>
    <n v="880"/>
    <n v="8.8"/>
    <n v="871.2"/>
  </r>
  <r>
    <x v="1160"/>
    <x v="19"/>
    <x v="1"/>
    <x v="0"/>
    <n v="5"/>
    <n v="40"/>
    <n v="0.06"/>
    <x v="10"/>
    <n v="200"/>
    <n v="12"/>
    <n v="188"/>
  </r>
  <r>
    <x v="1161"/>
    <x v="19"/>
    <x v="1"/>
    <x v="4"/>
    <n v="11"/>
    <n v="40"/>
    <n v="0.05"/>
    <x v="11"/>
    <n v="440"/>
    <n v="22"/>
    <n v="418"/>
  </r>
  <r>
    <x v="1162"/>
    <x v="19"/>
    <x v="4"/>
    <x v="3"/>
    <n v="20"/>
    <n v="150"/>
    <n v="0.1"/>
    <x v="0"/>
    <n v="3000"/>
    <n v="300"/>
    <n v="2700"/>
  </r>
  <r>
    <x v="1163"/>
    <x v="19"/>
    <x v="4"/>
    <x v="2"/>
    <n v="11"/>
    <n v="150"/>
    <n v="0.11"/>
    <x v="1"/>
    <n v="1650"/>
    <n v="181.5"/>
    <n v="1468.5"/>
  </r>
  <r>
    <x v="1164"/>
    <x v="19"/>
    <x v="0"/>
    <x v="3"/>
    <n v="2"/>
    <n v="80"/>
    <n v="0.08"/>
    <x v="2"/>
    <n v="160"/>
    <n v="12.8"/>
    <n v="147.2"/>
  </r>
  <r>
    <x v="1165"/>
    <x v="19"/>
    <x v="4"/>
    <x v="1"/>
    <n v="16"/>
    <n v="150"/>
    <n v="0.08"/>
    <x v="3"/>
    <n v="2400"/>
    <n v="192"/>
    <n v="2208"/>
  </r>
  <r>
    <x v="1166"/>
    <x v="19"/>
    <x v="3"/>
    <x v="0"/>
    <n v="20"/>
    <n v="16"/>
    <n v="0.11"/>
    <x v="4"/>
    <n v="320"/>
    <n v="35.2"/>
    <n v="284.8"/>
  </r>
  <r>
    <x v="1167"/>
    <x v="19"/>
    <x v="2"/>
    <x v="2"/>
    <n v="2"/>
    <n v="230"/>
    <n v="0.09"/>
    <x v="5"/>
    <n v="460"/>
    <n v="41.4"/>
    <n v="418.6"/>
  </r>
  <r>
    <x v="1168"/>
    <x v="19"/>
    <x v="4"/>
    <x v="0"/>
    <n v="20"/>
    <n v="150"/>
    <n v="0.04"/>
    <x v="1"/>
    <n v="3000"/>
    <n v="120"/>
    <n v="2880"/>
  </r>
  <r>
    <x v="1169"/>
    <x v="19"/>
    <x v="4"/>
    <x v="0"/>
    <n v="22"/>
    <n v="150"/>
    <n v="0.07"/>
    <x v="2"/>
    <n v="3300"/>
    <n v="231"/>
    <n v="3069"/>
  </r>
  <r>
    <x v="1170"/>
    <x v="19"/>
    <x v="4"/>
    <x v="2"/>
    <n v="22"/>
    <n v="150"/>
    <n v="0.04"/>
    <x v="3"/>
    <n v="3300"/>
    <n v="132"/>
    <n v="3168"/>
  </r>
  <r>
    <x v="1171"/>
    <x v="19"/>
    <x v="1"/>
    <x v="0"/>
    <n v="23"/>
    <n v="40"/>
    <n v="0.07"/>
    <x v="4"/>
    <n v="920"/>
    <n v="64.4"/>
    <n v="855.6"/>
  </r>
  <r>
    <x v="1172"/>
    <x v="20"/>
    <x v="3"/>
    <x v="2"/>
    <n v="11"/>
    <n v="16"/>
    <n v="0.04"/>
    <x v="5"/>
    <n v="176"/>
    <n v="7.04"/>
    <n v="168.96"/>
  </r>
  <r>
    <x v="1173"/>
    <x v="20"/>
    <x v="2"/>
    <x v="1"/>
    <n v="11"/>
    <n v="230"/>
    <n v="0.1"/>
    <x v="6"/>
    <n v="2530"/>
    <n v="253"/>
    <n v="2277"/>
  </r>
  <r>
    <x v="1174"/>
    <x v="20"/>
    <x v="2"/>
    <x v="0"/>
    <n v="7"/>
    <n v="230"/>
    <n v="0.08"/>
    <x v="7"/>
    <n v="1610"/>
    <n v="128.8"/>
    <n v="1481.2"/>
  </r>
  <r>
    <x v="1175"/>
    <x v="20"/>
    <x v="2"/>
    <x v="3"/>
    <n v="16"/>
    <n v="230"/>
    <n v="0.11"/>
    <x v="9"/>
    <n v="3680"/>
    <n v="404.8"/>
    <n v="3275.2"/>
  </r>
  <r>
    <x v="1176"/>
    <x v="20"/>
    <x v="2"/>
    <x v="4"/>
    <n v="20"/>
    <n v="230"/>
    <n v="0.09"/>
    <x v="10"/>
    <n v="4600"/>
    <n v="414"/>
    <n v="4186"/>
  </r>
  <r>
    <x v="1177"/>
    <x v="20"/>
    <x v="1"/>
    <x v="2"/>
    <n v="20"/>
    <n v="40"/>
    <n v="0.01"/>
    <x v="11"/>
    <n v="800"/>
    <n v="8"/>
    <n v="792"/>
  </r>
  <r>
    <x v="1178"/>
    <x v="20"/>
    <x v="0"/>
    <x v="0"/>
    <n v="20"/>
    <n v="80"/>
    <n v="0.01"/>
    <x v="0"/>
    <n v="1600"/>
    <n v="16"/>
    <n v="1584"/>
  </r>
  <r>
    <x v="1179"/>
    <x v="20"/>
    <x v="4"/>
    <x v="0"/>
    <n v="5"/>
    <n v="150"/>
    <n v="0.11"/>
    <x v="1"/>
    <n v="750"/>
    <n v="82.5"/>
    <n v="667.5"/>
  </r>
  <r>
    <x v="1180"/>
    <x v="21"/>
    <x v="1"/>
    <x v="2"/>
    <n v="4"/>
    <n v="40"/>
    <n v="0.11"/>
    <x v="2"/>
    <n v="160"/>
    <n v="17.6"/>
    <n v="142.4"/>
  </r>
  <r>
    <x v="1181"/>
    <x v="21"/>
    <x v="3"/>
    <x v="0"/>
    <n v="7"/>
    <n v="16"/>
    <n v="0.12"/>
    <x v="3"/>
    <n v="112"/>
    <n v="13.44"/>
    <n v="98.56"/>
  </r>
  <r>
    <x v="1182"/>
    <x v="21"/>
    <x v="3"/>
    <x v="1"/>
    <n v="22"/>
    <n v="16"/>
    <n v="0.01"/>
    <x v="4"/>
    <n v="352"/>
    <n v="3.52"/>
    <n v="348.48"/>
  </r>
  <r>
    <x v="1183"/>
    <x v="21"/>
    <x v="1"/>
    <x v="3"/>
    <n v="15"/>
    <n v="40"/>
    <n v="0.03"/>
    <x v="5"/>
    <n v="600"/>
    <n v="18"/>
    <n v="582"/>
  </r>
  <r>
    <x v="1184"/>
    <x v="21"/>
    <x v="0"/>
    <x v="1"/>
    <n v="14"/>
    <n v="80"/>
    <n v="0.11"/>
    <x v="1"/>
    <n v="1120"/>
    <n v="123.2"/>
    <n v="996.8"/>
  </r>
  <r>
    <x v="1185"/>
    <x v="21"/>
    <x v="3"/>
    <x v="1"/>
    <n v="15"/>
    <n v="16"/>
    <n v="0.02"/>
    <x v="2"/>
    <n v="240"/>
    <n v="4.8"/>
    <n v="235.2"/>
  </r>
  <r>
    <x v="1186"/>
    <x v="22"/>
    <x v="0"/>
    <x v="3"/>
    <n v="19"/>
    <n v="80"/>
    <n v="0.02"/>
    <x v="3"/>
    <n v="1520"/>
    <n v="30.4"/>
    <n v="1489.6"/>
  </r>
  <r>
    <x v="1187"/>
    <x v="22"/>
    <x v="1"/>
    <x v="4"/>
    <n v="20"/>
    <n v="40"/>
    <n v="0.05"/>
    <x v="4"/>
    <n v="800"/>
    <n v="40"/>
    <n v="760"/>
  </r>
  <r>
    <x v="1188"/>
    <x v="22"/>
    <x v="1"/>
    <x v="3"/>
    <n v="11"/>
    <n v="40"/>
    <n v="0.06"/>
    <x v="5"/>
    <n v="440"/>
    <n v="26.4"/>
    <n v="413.6"/>
  </r>
  <r>
    <x v="1189"/>
    <x v="22"/>
    <x v="4"/>
    <x v="2"/>
    <n v="11"/>
    <n v="150"/>
    <n v="0.05"/>
    <x v="6"/>
    <n v="1650"/>
    <n v="82.5"/>
    <n v="1567.5"/>
  </r>
  <r>
    <x v="1190"/>
    <x v="22"/>
    <x v="0"/>
    <x v="3"/>
    <n v="23"/>
    <n v="80"/>
    <n v="0.11"/>
    <x v="7"/>
    <n v="1840"/>
    <n v="202.4"/>
    <n v="1637.6"/>
  </r>
  <r>
    <x v="1191"/>
    <x v="22"/>
    <x v="0"/>
    <x v="0"/>
    <n v="8"/>
    <n v="80"/>
    <n v="0.09"/>
    <x v="8"/>
    <n v="640"/>
    <n v="57.6"/>
    <n v="582.4"/>
  </r>
  <r>
    <x v="1192"/>
    <x v="22"/>
    <x v="1"/>
    <x v="3"/>
    <n v="9"/>
    <n v="40"/>
    <n v="0.06"/>
    <x v="9"/>
    <n v="360"/>
    <n v="21.6"/>
    <n v="338.4"/>
  </r>
  <r>
    <x v="1193"/>
    <x v="22"/>
    <x v="2"/>
    <x v="4"/>
    <n v="13"/>
    <n v="230"/>
    <n v="0.06"/>
    <x v="10"/>
    <n v="2990"/>
    <n v="179.4"/>
    <n v="2810.6"/>
  </r>
  <r>
    <x v="1194"/>
    <x v="22"/>
    <x v="1"/>
    <x v="3"/>
    <n v="22"/>
    <n v="40"/>
    <n v="0.01"/>
    <x v="11"/>
    <n v="880"/>
    <n v="8.8"/>
    <n v="871.2"/>
  </r>
  <r>
    <x v="1195"/>
    <x v="22"/>
    <x v="3"/>
    <x v="4"/>
    <n v="14"/>
    <n v="16"/>
    <n v="0.06"/>
    <x v="0"/>
    <n v="224"/>
    <n v="13.44"/>
    <n v="210.56"/>
  </r>
  <r>
    <x v="1196"/>
    <x v="23"/>
    <x v="0"/>
    <x v="1"/>
    <n v="5"/>
    <n v="80"/>
    <n v="0.04"/>
    <x v="1"/>
    <n v="400"/>
    <n v="16"/>
    <n v="384"/>
  </r>
  <r>
    <x v="1197"/>
    <x v="23"/>
    <x v="4"/>
    <x v="4"/>
    <n v="18"/>
    <n v="150"/>
    <n v="0.12"/>
    <x v="2"/>
    <n v="2700"/>
    <n v="324"/>
    <n v="2376"/>
  </r>
  <r>
    <x v="1198"/>
    <x v="23"/>
    <x v="2"/>
    <x v="2"/>
    <n v="14"/>
    <n v="230"/>
    <n v="0.12"/>
    <x v="3"/>
    <n v="3220"/>
    <n v="386.4"/>
    <n v="2833.6"/>
  </r>
  <r>
    <x v="1199"/>
    <x v="23"/>
    <x v="2"/>
    <x v="4"/>
    <n v="20"/>
    <n v="230"/>
    <n v="0.11"/>
    <x v="4"/>
    <n v="4600"/>
    <n v="506"/>
    <n v="4094"/>
  </r>
  <r>
    <x v="1200"/>
    <x v="23"/>
    <x v="3"/>
    <x v="4"/>
    <n v="3"/>
    <n v="16"/>
    <n v="0.03"/>
    <x v="5"/>
    <n v="48"/>
    <n v="1.44"/>
    <n v="46.56"/>
  </r>
  <r>
    <x v="1201"/>
    <x v="23"/>
    <x v="2"/>
    <x v="2"/>
    <n v="20"/>
    <n v="230"/>
    <n v="0.06"/>
    <x v="1"/>
    <n v="4600"/>
    <n v="276"/>
    <n v="4324"/>
  </r>
  <r>
    <x v="1202"/>
    <x v="23"/>
    <x v="0"/>
    <x v="4"/>
    <n v="9"/>
    <n v="80"/>
    <n v="0.02"/>
    <x v="2"/>
    <n v="720"/>
    <n v="14.4"/>
    <n v="705.6"/>
  </r>
  <r>
    <x v="1203"/>
    <x v="23"/>
    <x v="3"/>
    <x v="3"/>
    <n v="22"/>
    <n v="16"/>
    <n v="0.03"/>
    <x v="3"/>
    <n v="352"/>
    <n v="10.56"/>
    <n v="341.44"/>
  </r>
  <r>
    <x v="1204"/>
    <x v="23"/>
    <x v="0"/>
    <x v="1"/>
    <n v="15"/>
    <n v="80"/>
    <n v="0.12"/>
    <x v="4"/>
    <n v="1200"/>
    <n v="144"/>
    <n v="1056"/>
  </r>
  <r>
    <x v="1205"/>
    <x v="23"/>
    <x v="4"/>
    <x v="0"/>
    <n v="11"/>
    <n v="150"/>
    <n v="0.05"/>
    <x v="5"/>
    <n v="1650"/>
    <n v="82.5"/>
    <n v="1567.5"/>
  </r>
  <r>
    <x v="1206"/>
    <x v="23"/>
    <x v="2"/>
    <x v="3"/>
    <n v="11"/>
    <n v="230"/>
    <n v="0.12"/>
    <x v="6"/>
    <n v="2530"/>
    <n v="303.6"/>
    <n v="2226.4"/>
  </r>
  <r>
    <x v="1207"/>
    <x v="23"/>
    <x v="4"/>
    <x v="0"/>
    <n v="20"/>
    <n v="150"/>
    <n v="0.01"/>
    <x v="7"/>
    <n v="3000"/>
    <n v="30"/>
    <n v="2970"/>
  </r>
  <r>
    <x v="1208"/>
    <x v="23"/>
    <x v="1"/>
    <x v="2"/>
    <n v="11"/>
    <n v="40"/>
    <n v="0.12"/>
    <x v="8"/>
    <n v="440"/>
    <n v="52.8"/>
    <n v="387.2"/>
  </r>
  <r>
    <x v="1209"/>
    <x v="24"/>
    <x v="2"/>
    <x v="2"/>
    <n v="12"/>
    <n v="230"/>
    <n v="0.06"/>
    <x v="9"/>
    <n v="2760"/>
    <n v="165.6"/>
    <n v="2594.4"/>
  </r>
  <r>
    <x v="1210"/>
    <x v="24"/>
    <x v="1"/>
    <x v="0"/>
    <n v="15"/>
    <n v="40"/>
    <n v="0.06"/>
    <x v="10"/>
    <n v="600"/>
    <n v="36"/>
    <n v="564"/>
  </r>
  <r>
    <x v="1211"/>
    <x v="24"/>
    <x v="1"/>
    <x v="3"/>
    <n v="13"/>
    <n v="40"/>
    <n v="0.09"/>
    <x v="11"/>
    <n v="520"/>
    <n v="46.8"/>
    <n v="473.2"/>
  </r>
  <r>
    <x v="1212"/>
    <x v="24"/>
    <x v="1"/>
    <x v="4"/>
    <n v="4"/>
    <n v="40"/>
    <n v="0.09"/>
    <x v="0"/>
    <n v="160"/>
    <n v="14.4"/>
    <n v="145.6"/>
  </r>
  <r>
    <x v="1213"/>
    <x v="24"/>
    <x v="2"/>
    <x v="3"/>
    <n v="18"/>
    <n v="230"/>
    <n v="0.01"/>
    <x v="1"/>
    <n v="4140"/>
    <n v="41.4"/>
    <n v="4098.6"/>
  </r>
  <r>
    <x v="1214"/>
    <x v="24"/>
    <x v="3"/>
    <x v="0"/>
    <n v="7"/>
    <n v="16"/>
    <n v="0.02"/>
    <x v="2"/>
    <n v="112"/>
    <n v="2.24"/>
    <n v="109.76"/>
  </r>
  <r>
    <x v="1215"/>
    <x v="24"/>
    <x v="3"/>
    <x v="2"/>
    <n v="6"/>
    <n v="16"/>
    <n v="0.07"/>
    <x v="3"/>
    <n v="96"/>
    <n v="6.72"/>
    <n v="89.28"/>
  </r>
  <r>
    <x v="1216"/>
    <x v="24"/>
    <x v="2"/>
    <x v="3"/>
    <n v="8"/>
    <n v="230"/>
    <n v="0.05"/>
    <x v="4"/>
    <n v="1840"/>
    <n v="92"/>
    <n v="1748"/>
  </r>
  <r>
    <x v="1217"/>
    <x v="24"/>
    <x v="3"/>
    <x v="2"/>
    <n v="12"/>
    <n v="16"/>
    <n v="0.11"/>
    <x v="5"/>
    <n v="192"/>
    <n v="21.12"/>
    <n v="170.88"/>
  </r>
  <r>
    <x v="1218"/>
    <x v="24"/>
    <x v="2"/>
    <x v="0"/>
    <n v="11"/>
    <n v="230"/>
    <n v="0.02"/>
    <x v="1"/>
    <n v="2530"/>
    <n v="50.6"/>
    <n v="2479.4"/>
  </r>
  <r>
    <x v="1219"/>
    <x v="24"/>
    <x v="3"/>
    <x v="2"/>
    <n v="3"/>
    <n v="16"/>
    <n v="0.05"/>
    <x v="2"/>
    <n v="48"/>
    <n v="2.4"/>
    <n v="45.6"/>
  </r>
  <r>
    <x v="1220"/>
    <x v="25"/>
    <x v="4"/>
    <x v="1"/>
    <n v="16"/>
    <n v="150"/>
    <n v="0.05"/>
    <x v="3"/>
    <n v="2400"/>
    <n v="120"/>
    <n v="2280"/>
  </r>
  <r>
    <x v="1221"/>
    <x v="25"/>
    <x v="2"/>
    <x v="3"/>
    <n v="8"/>
    <n v="230"/>
    <n v="0.01"/>
    <x v="4"/>
    <n v="1840"/>
    <n v="18.4"/>
    <n v="1821.6"/>
  </r>
  <r>
    <x v="1222"/>
    <x v="25"/>
    <x v="0"/>
    <x v="2"/>
    <n v="16"/>
    <n v="80"/>
    <n v="0.04"/>
    <x v="5"/>
    <n v="1280"/>
    <n v="51.2"/>
    <n v="1228.8"/>
  </r>
  <r>
    <x v="1223"/>
    <x v="25"/>
    <x v="3"/>
    <x v="3"/>
    <n v="18"/>
    <n v="16"/>
    <n v="0.04"/>
    <x v="6"/>
    <n v="288"/>
    <n v="11.52"/>
    <n v="276.48"/>
  </r>
  <r>
    <x v="1224"/>
    <x v="25"/>
    <x v="1"/>
    <x v="4"/>
    <n v="14"/>
    <n v="40"/>
    <n v="0.11"/>
    <x v="7"/>
    <n v="560"/>
    <n v="61.6"/>
    <n v="498.4"/>
  </r>
  <r>
    <x v="1225"/>
    <x v="25"/>
    <x v="3"/>
    <x v="1"/>
    <n v="21"/>
    <n v="16"/>
    <n v="0.02"/>
    <x v="8"/>
    <n v="336"/>
    <n v="6.72"/>
    <n v="329.28"/>
  </r>
  <r>
    <x v="1226"/>
    <x v="25"/>
    <x v="3"/>
    <x v="1"/>
    <n v="7"/>
    <n v="16"/>
    <n v="0.08"/>
    <x v="9"/>
    <n v="112"/>
    <n v="8.96"/>
    <n v="103.04"/>
  </r>
  <r>
    <x v="1227"/>
    <x v="25"/>
    <x v="0"/>
    <x v="2"/>
    <n v="7"/>
    <n v="80"/>
    <n v="0.05"/>
    <x v="10"/>
    <n v="560"/>
    <n v="28"/>
    <n v="532"/>
  </r>
  <r>
    <x v="1228"/>
    <x v="25"/>
    <x v="1"/>
    <x v="4"/>
    <n v="16"/>
    <n v="40"/>
    <n v="0.09"/>
    <x v="11"/>
    <n v="640"/>
    <n v="57.6"/>
    <n v="582.4"/>
  </r>
  <r>
    <x v="1229"/>
    <x v="25"/>
    <x v="2"/>
    <x v="4"/>
    <n v="22"/>
    <n v="230"/>
    <n v="0.1"/>
    <x v="0"/>
    <n v="5060"/>
    <n v="506"/>
    <n v="4554"/>
  </r>
  <r>
    <x v="1230"/>
    <x v="25"/>
    <x v="1"/>
    <x v="1"/>
    <n v="4"/>
    <n v="40"/>
    <n v="0.03"/>
    <x v="1"/>
    <n v="160"/>
    <n v="4.8"/>
    <n v="155.2"/>
  </r>
  <r>
    <x v="1231"/>
    <x v="25"/>
    <x v="2"/>
    <x v="4"/>
    <n v="3"/>
    <n v="230"/>
    <n v="0.1"/>
    <x v="2"/>
    <n v="690"/>
    <n v="69"/>
    <n v="621"/>
  </r>
  <r>
    <x v="1232"/>
    <x v="25"/>
    <x v="0"/>
    <x v="1"/>
    <n v="14"/>
    <n v="80"/>
    <n v="0.11"/>
    <x v="3"/>
    <n v="1120"/>
    <n v="123.2"/>
    <n v="996.8"/>
  </r>
  <r>
    <x v="1233"/>
    <x v="26"/>
    <x v="1"/>
    <x v="4"/>
    <n v="21"/>
    <n v="40"/>
    <n v="0.01"/>
    <x v="4"/>
    <n v="840"/>
    <n v="8.4"/>
    <n v="831.6"/>
  </r>
  <r>
    <x v="1234"/>
    <x v="26"/>
    <x v="3"/>
    <x v="1"/>
    <n v="20"/>
    <n v="16"/>
    <n v="0.06"/>
    <x v="5"/>
    <n v="320"/>
    <n v="19.2"/>
    <n v="300.8"/>
  </r>
  <r>
    <x v="1235"/>
    <x v="26"/>
    <x v="0"/>
    <x v="4"/>
    <n v="22"/>
    <n v="80"/>
    <n v="0.11"/>
    <x v="1"/>
    <n v="1760"/>
    <n v="193.6"/>
    <n v="1566.4"/>
  </r>
  <r>
    <x v="1236"/>
    <x v="26"/>
    <x v="1"/>
    <x v="0"/>
    <n v="7"/>
    <n v="40"/>
    <n v="0.1"/>
    <x v="2"/>
    <n v="280"/>
    <n v="28"/>
    <n v="252"/>
  </r>
  <r>
    <x v="1237"/>
    <x v="26"/>
    <x v="4"/>
    <x v="1"/>
    <n v="16"/>
    <n v="150"/>
    <n v="0.05"/>
    <x v="3"/>
    <n v="2400"/>
    <n v="120"/>
    <n v="2280"/>
  </r>
  <r>
    <x v="1238"/>
    <x v="26"/>
    <x v="2"/>
    <x v="1"/>
    <n v="7"/>
    <n v="230"/>
    <n v="0.05"/>
    <x v="4"/>
    <n v="1610"/>
    <n v="80.5"/>
    <n v="1529.5"/>
  </r>
  <r>
    <x v="1239"/>
    <x v="26"/>
    <x v="4"/>
    <x v="0"/>
    <n v="20"/>
    <n v="150"/>
    <n v="0.03"/>
    <x v="5"/>
    <n v="3000"/>
    <n v="90"/>
    <n v="2910"/>
  </r>
  <r>
    <x v="1240"/>
    <x v="26"/>
    <x v="4"/>
    <x v="1"/>
    <n v="16"/>
    <n v="150"/>
    <n v="0.03"/>
    <x v="6"/>
    <n v="2400"/>
    <n v="72"/>
    <n v="2328"/>
  </r>
  <r>
    <x v="1241"/>
    <x v="26"/>
    <x v="3"/>
    <x v="3"/>
    <n v="10"/>
    <n v="16"/>
    <n v="0.04"/>
    <x v="7"/>
    <n v="160"/>
    <n v="6.4"/>
    <n v="153.6"/>
  </r>
  <r>
    <x v="1242"/>
    <x v="26"/>
    <x v="0"/>
    <x v="4"/>
    <n v="6"/>
    <n v="80"/>
    <n v="0.09"/>
    <x v="8"/>
    <n v="480"/>
    <n v="43.2"/>
    <n v="436.8"/>
  </r>
  <r>
    <x v="1243"/>
    <x v="26"/>
    <x v="0"/>
    <x v="0"/>
    <n v="17"/>
    <n v="80"/>
    <n v="0.09"/>
    <x v="9"/>
    <n v="1360"/>
    <n v="122.4"/>
    <n v="1237.6"/>
  </r>
  <r>
    <x v="1244"/>
    <x v="26"/>
    <x v="1"/>
    <x v="0"/>
    <n v="19"/>
    <n v="40"/>
    <n v="0.04"/>
    <x v="10"/>
    <n v="760"/>
    <n v="30.4"/>
    <n v="729.6"/>
  </r>
  <r>
    <x v="1245"/>
    <x v="26"/>
    <x v="1"/>
    <x v="4"/>
    <n v="16"/>
    <n v="40"/>
    <n v="0.09"/>
    <x v="11"/>
    <n v="640"/>
    <n v="57.6"/>
    <n v="582.4"/>
  </r>
  <r>
    <x v="1246"/>
    <x v="26"/>
    <x v="3"/>
    <x v="0"/>
    <n v="4"/>
    <n v="16"/>
    <n v="0.12"/>
    <x v="0"/>
    <n v="64"/>
    <n v="7.68"/>
    <n v="56.32"/>
  </r>
  <r>
    <x v="1247"/>
    <x v="26"/>
    <x v="4"/>
    <x v="3"/>
    <n v="9"/>
    <n v="150"/>
    <n v="0.02"/>
    <x v="1"/>
    <n v="1350"/>
    <n v="27"/>
    <n v="1323"/>
  </r>
  <r>
    <x v="1248"/>
    <x v="26"/>
    <x v="3"/>
    <x v="0"/>
    <n v="11"/>
    <n v="16"/>
    <n v="0.09"/>
    <x v="2"/>
    <n v="176"/>
    <n v="15.84"/>
    <n v="160.16"/>
  </r>
  <r>
    <x v="1249"/>
    <x v="26"/>
    <x v="0"/>
    <x v="1"/>
    <n v="17"/>
    <n v="80"/>
    <n v="0.03"/>
    <x v="3"/>
    <n v="1360"/>
    <n v="40.8"/>
    <n v="1319.2"/>
  </r>
  <r>
    <x v="1250"/>
    <x v="27"/>
    <x v="4"/>
    <x v="0"/>
    <n v="3"/>
    <n v="150"/>
    <n v="0.03"/>
    <x v="4"/>
    <n v="450"/>
    <n v="13.5"/>
    <n v="436.5"/>
  </r>
  <r>
    <x v="1251"/>
    <x v="27"/>
    <x v="2"/>
    <x v="3"/>
    <n v="2"/>
    <n v="230"/>
    <n v="0.08"/>
    <x v="5"/>
    <n v="460"/>
    <n v="36.8"/>
    <n v="423.2"/>
  </r>
  <r>
    <x v="1252"/>
    <x v="27"/>
    <x v="2"/>
    <x v="3"/>
    <n v="17"/>
    <n v="230"/>
    <n v="0.12"/>
    <x v="1"/>
    <n v="3910"/>
    <n v="469.2"/>
    <n v="3440.8"/>
  </r>
  <r>
    <x v="1253"/>
    <x v="27"/>
    <x v="4"/>
    <x v="1"/>
    <n v="2"/>
    <n v="150"/>
    <n v="0.09"/>
    <x v="2"/>
    <n v="300"/>
    <n v="27"/>
    <n v="273"/>
  </r>
  <r>
    <x v="1254"/>
    <x v="27"/>
    <x v="1"/>
    <x v="3"/>
    <n v="18"/>
    <n v="40"/>
    <n v="0.06"/>
    <x v="3"/>
    <n v="720"/>
    <n v="43.2"/>
    <n v="676.8"/>
  </r>
  <r>
    <x v="1255"/>
    <x v="27"/>
    <x v="4"/>
    <x v="2"/>
    <n v="18"/>
    <n v="150"/>
    <n v="0.06"/>
    <x v="4"/>
    <n v="2700"/>
    <n v="162"/>
    <n v="2538"/>
  </r>
  <r>
    <x v="1256"/>
    <x v="27"/>
    <x v="1"/>
    <x v="1"/>
    <n v="12"/>
    <n v="40"/>
    <n v="0.1"/>
    <x v="5"/>
    <n v="480"/>
    <n v="48"/>
    <n v="432"/>
  </r>
  <r>
    <x v="1257"/>
    <x v="27"/>
    <x v="0"/>
    <x v="0"/>
    <n v="21"/>
    <n v="80"/>
    <n v="0.04"/>
    <x v="6"/>
    <n v="1680"/>
    <n v="67.2"/>
    <n v="1612.8"/>
  </r>
  <r>
    <x v="1258"/>
    <x v="27"/>
    <x v="1"/>
    <x v="4"/>
    <n v="3"/>
    <n v="40"/>
    <n v="0.03"/>
    <x v="7"/>
    <n v="120"/>
    <n v="3.6"/>
    <n v="116.4"/>
  </r>
  <r>
    <x v="1259"/>
    <x v="27"/>
    <x v="0"/>
    <x v="4"/>
    <n v="22"/>
    <n v="80"/>
    <n v="0.1"/>
    <x v="8"/>
    <n v="1760"/>
    <n v="176"/>
    <n v="1584"/>
  </r>
  <r>
    <x v="1260"/>
    <x v="27"/>
    <x v="1"/>
    <x v="4"/>
    <n v="16"/>
    <n v="40"/>
    <n v="0.11"/>
    <x v="9"/>
    <n v="640"/>
    <n v="70.4"/>
    <n v="569.6"/>
  </r>
  <r>
    <x v="1261"/>
    <x v="27"/>
    <x v="3"/>
    <x v="0"/>
    <n v="11"/>
    <n v="16"/>
    <n v="0.09"/>
    <x v="10"/>
    <n v="176"/>
    <n v="15.84"/>
    <n v="160.16"/>
  </r>
  <r>
    <x v="1262"/>
    <x v="28"/>
    <x v="0"/>
    <x v="2"/>
    <n v="10"/>
    <n v="80"/>
    <n v="0.08"/>
    <x v="11"/>
    <n v="800"/>
    <n v="64"/>
    <n v="736"/>
  </r>
  <r>
    <x v="1263"/>
    <x v="28"/>
    <x v="3"/>
    <x v="2"/>
    <n v="12"/>
    <n v="16"/>
    <n v="0.03"/>
    <x v="0"/>
    <n v="192"/>
    <n v="5.76"/>
    <n v="186.24"/>
  </r>
  <r>
    <x v="1264"/>
    <x v="28"/>
    <x v="4"/>
    <x v="0"/>
    <n v="8"/>
    <n v="150"/>
    <n v="0.09"/>
    <x v="1"/>
    <n v="1200"/>
    <n v="108"/>
    <n v="1092"/>
  </r>
  <r>
    <x v="1265"/>
    <x v="28"/>
    <x v="1"/>
    <x v="4"/>
    <n v="10"/>
    <n v="40"/>
    <n v="0.03"/>
    <x v="2"/>
    <n v="400"/>
    <n v="12"/>
    <n v="388"/>
  </r>
  <r>
    <x v="1266"/>
    <x v="28"/>
    <x v="4"/>
    <x v="0"/>
    <n v="7"/>
    <n v="150"/>
    <n v="0.02"/>
    <x v="3"/>
    <n v="1050"/>
    <n v="21"/>
    <n v="1029"/>
  </r>
  <r>
    <x v="1267"/>
    <x v="28"/>
    <x v="3"/>
    <x v="2"/>
    <n v="6"/>
    <n v="16"/>
    <n v="0.01"/>
    <x v="4"/>
    <n v="96"/>
    <n v="0.96"/>
    <n v="95.04"/>
  </r>
  <r>
    <x v="1268"/>
    <x v="28"/>
    <x v="0"/>
    <x v="3"/>
    <n v="15"/>
    <n v="80"/>
    <n v="0.08"/>
    <x v="5"/>
    <n v="1200"/>
    <n v="96"/>
    <n v="1104"/>
  </r>
  <r>
    <x v="1269"/>
    <x v="28"/>
    <x v="3"/>
    <x v="4"/>
    <n v="13"/>
    <n v="16"/>
    <n v="0.07"/>
    <x v="1"/>
    <n v="208"/>
    <n v="14.56"/>
    <n v="193.44"/>
  </r>
  <r>
    <x v="1270"/>
    <x v="28"/>
    <x v="2"/>
    <x v="3"/>
    <n v="19"/>
    <n v="230"/>
    <n v="0.06"/>
    <x v="2"/>
    <n v="4370"/>
    <n v="262.2"/>
    <n v="4107.8"/>
  </r>
  <r>
    <x v="1271"/>
    <x v="28"/>
    <x v="0"/>
    <x v="3"/>
    <n v="21"/>
    <n v="80"/>
    <n v="0.05"/>
    <x v="3"/>
    <n v="1680"/>
    <n v="84"/>
    <n v="1596"/>
  </r>
  <r>
    <x v="1272"/>
    <x v="28"/>
    <x v="0"/>
    <x v="1"/>
    <n v="5"/>
    <n v="80"/>
    <n v="0.07"/>
    <x v="4"/>
    <n v="400"/>
    <n v="28"/>
    <n v="372"/>
  </r>
  <r>
    <x v="1273"/>
    <x v="28"/>
    <x v="3"/>
    <x v="2"/>
    <n v="8"/>
    <n v="16"/>
    <n v="0.03"/>
    <x v="5"/>
    <n v="128"/>
    <n v="3.84"/>
    <n v="124.16"/>
  </r>
  <r>
    <x v="1274"/>
    <x v="28"/>
    <x v="3"/>
    <x v="2"/>
    <n v="12"/>
    <n v="16"/>
    <n v="0.11"/>
    <x v="6"/>
    <n v="192"/>
    <n v="21.12"/>
    <n v="170.88"/>
  </r>
  <r>
    <x v="1275"/>
    <x v="28"/>
    <x v="0"/>
    <x v="3"/>
    <n v="22"/>
    <n v="80"/>
    <n v="0.03"/>
    <x v="7"/>
    <n v="1760"/>
    <n v="52.8"/>
    <n v="1707.2"/>
  </r>
  <r>
    <x v="1276"/>
    <x v="28"/>
    <x v="1"/>
    <x v="0"/>
    <n v="5"/>
    <n v="40"/>
    <n v="0.09"/>
    <x v="8"/>
    <n v="200"/>
    <n v="18"/>
    <n v="182"/>
  </r>
  <r>
    <x v="1277"/>
    <x v="29"/>
    <x v="4"/>
    <x v="1"/>
    <n v="23"/>
    <n v="150"/>
    <n v="0.11"/>
    <x v="9"/>
    <n v="3450"/>
    <n v="379.5"/>
    <n v="3070.5"/>
  </r>
  <r>
    <x v="1278"/>
    <x v="29"/>
    <x v="0"/>
    <x v="0"/>
    <n v="16"/>
    <n v="80"/>
    <n v="0.03"/>
    <x v="10"/>
    <n v="1280"/>
    <n v="38.4"/>
    <n v="1241.6"/>
  </r>
  <r>
    <x v="1279"/>
    <x v="29"/>
    <x v="4"/>
    <x v="4"/>
    <n v="15"/>
    <n v="150"/>
    <n v="0.07"/>
    <x v="11"/>
    <n v="2250"/>
    <n v="157.5"/>
    <n v="2092.5"/>
  </r>
  <r>
    <x v="1280"/>
    <x v="29"/>
    <x v="1"/>
    <x v="0"/>
    <n v="20"/>
    <n v="40"/>
    <n v="0.04"/>
    <x v="0"/>
    <n v="800"/>
    <n v="32"/>
    <n v="768"/>
  </r>
  <r>
    <x v="1281"/>
    <x v="29"/>
    <x v="2"/>
    <x v="2"/>
    <n v="10"/>
    <n v="230"/>
    <n v="0.02"/>
    <x v="1"/>
    <n v="2300"/>
    <n v="46"/>
    <n v="2254"/>
  </r>
  <r>
    <x v="1282"/>
    <x v="29"/>
    <x v="0"/>
    <x v="1"/>
    <n v="9"/>
    <n v="80"/>
    <n v="0.03"/>
    <x v="2"/>
    <n v="720"/>
    <n v="21.6"/>
    <n v="698.4"/>
  </r>
  <r>
    <x v="1283"/>
    <x v="29"/>
    <x v="2"/>
    <x v="0"/>
    <n v="16"/>
    <n v="230"/>
    <n v="0.07"/>
    <x v="3"/>
    <n v="3680"/>
    <n v="257.6"/>
    <n v="3422.4"/>
  </r>
  <r>
    <x v="1284"/>
    <x v="29"/>
    <x v="0"/>
    <x v="1"/>
    <n v="21"/>
    <n v="80"/>
    <n v="0.04"/>
    <x v="4"/>
    <n v="1680"/>
    <n v="67.2"/>
    <n v="1612.8"/>
  </r>
  <r>
    <x v="1285"/>
    <x v="29"/>
    <x v="0"/>
    <x v="1"/>
    <n v="9"/>
    <n v="80"/>
    <n v="0.03"/>
    <x v="5"/>
    <n v="720"/>
    <n v="21.6"/>
    <n v="698.4"/>
  </r>
  <r>
    <x v="1286"/>
    <x v="29"/>
    <x v="1"/>
    <x v="1"/>
    <n v="4"/>
    <n v="40"/>
    <n v="0.12"/>
    <x v="1"/>
    <n v="160"/>
    <n v="19.2"/>
    <n v="140.8"/>
  </r>
  <r>
    <x v="1287"/>
    <x v="29"/>
    <x v="2"/>
    <x v="2"/>
    <n v="5"/>
    <n v="230"/>
    <n v="0.01"/>
    <x v="2"/>
    <n v="1150"/>
    <n v="11.5"/>
    <n v="1138.5"/>
  </r>
  <r>
    <x v="1288"/>
    <x v="29"/>
    <x v="3"/>
    <x v="0"/>
    <n v="18"/>
    <n v="16"/>
    <n v="0.05"/>
    <x v="3"/>
    <n v="288"/>
    <n v="14.4"/>
    <n v="273.6"/>
  </r>
  <r>
    <x v="1289"/>
    <x v="30"/>
    <x v="0"/>
    <x v="2"/>
    <n v="6"/>
    <n v="80"/>
    <n v="0.01"/>
    <x v="4"/>
    <n v="480"/>
    <n v="4.8"/>
    <n v="475.2"/>
  </r>
  <r>
    <x v="1290"/>
    <x v="30"/>
    <x v="4"/>
    <x v="4"/>
    <n v="4"/>
    <n v="150"/>
    <n v="0.05"/>
    <x v="5"/>
    <n v="600"/>
    <n v="30"/>
    <n v="570"/>
  </r>
  <r>
    <x v="1291"/>
    <x v="30"/>
    <x v="2"/>
    <x v="4"/>
    <n v="21"/>
    <n v="230"/>
    <n v="0.05"/>
    <x v="6"/>
    <n v="4830"/>
    <n v="241.5"/>
    <n v="4588.5"/>
  </r>
  <r>
    <x v="1292"/>
    <x v="30"/>
    <x v="4"/>
    <x v="0"/>
    <n v="4"/>
    <n v="150"/>
    <n v="0.06"/>
    <x v="7"/>
    <n v="600"/>
    <n v="36"/>
    <n v="564"/>
  </r>
  <r>
    <x v="1293"/>
    <x v="30"/>
    <x v="0"/>
    <x v="1"/>
    <n v="2"/>
    <n v="80"/>
    <n v="0.04"/>
    <x v="8"/>
    <n v="160"/>
    <n v="6.4"/>
    <n v="153.6"/>
  </r>
  <r>
    <x v="1294"/>
    <x v="30"/>
    <x v="3"/>
    <x v="1"/>
    <n v="5"/>
    <n v="16"/>
    <n v="0.11"/>
    <x v="9"/>
    <n v="80"/>
    <n v="8.8"/>
    <n v="71.2"/>
  </r>
  <r>
    <x v="1295"/>
    <x v="30"/>
    <x v="4"/>
    <x v="4"/>
    <n v="23"/>
    <n v="150"/>
    <n v="0.08"/>
    <x v="10"/>
    <n v="3450"/>
    <n v="276"/>
    <n v="3174"/>
  </r>
  <r>
    <x v="1296"/>
    <x v="30"/>
    <x v="0"/>
    <x v="1"/>
    <n v="3"/>
    <n v="80"/>
    <n v="0.02"/>
    <x v="11"/>
    <n v="240"/>
    <n v="4.8"/>
    <n v="235.2"/>
  </r>
  <r>
    <x v="1297"/>
    <x v="30"/>
    <x v="2"/>
    <x v="4"/>
    <n v="17"/>
    <n v="230"/>
    <n v="0.11"/>
    <x v="0"/>
    <n v="3910"/>
    <n v="430.1"/>
    <n v="3479.9"/>
  </r>
  <r>
    <x v="1298"/>
    <x v="30"/>
    <x v="1"/>
    <x v="2"/>
    <n v="11"/>
    <n v="40"/>
    <n v="0.05"/>
    <x v="1"/>
    <n v="440"/>
    <n v="22"/>
    <n v="418"/>
  </r>
  <r>
    <x v="1299"/>
    <x v="30"/>
    <x v="1"/>
    <x v="2"/>
    <n v="13"/>
    <n v="40"/>
    <n v="0.02"/>
    <x v="3"/>
    <n v="520"/>
    <n v="10.4"/>
    <n v="509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C34:D40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 Sales" fld="8" subtotal="count" baseField="3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">
  <location ref="C130:D136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C88:D90" firstHeaderRow="1" firstDataRow="1" firstDataCol="1"/>
  <pivotFields count="11">
    <pivotField dataField="1"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6">
        <item h="1" x="3"/>
        <item h="1" x="2"/>
        <item h="1" x="0"/>
        <item h="1"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showAll="0"/>
    <pivotField showAll="0"/>
    <pivotField showAll="0"/>
  </pivotFields>
  <rowFields count="1">
    <field x="2"/>
  </rowFields>
  <rowItems count="2">
    <i>
      <x v="4"/>
    </i>
    <i t="grand">
      <x/>
    </i>
  </rowItems>
  <colItems count="1">
    <i/>
  </colItems>
  <dataFields count="1">
    <dataField name="Count of Sales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C117:D123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B71:C84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dataField="1"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D52:E65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dataField="1"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otal Sales" fld="8" subtotal="count" baseField="7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5">
  <location ref="F229:G235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dataField="1" showAll="0"/>
    <pivotField showAll="0"/>
    <pivotField showAll="0"/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Quantity" fld="4" subtotal="average" baseField="3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0">
  <location ref="E148:F180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axis="axisRow"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Pric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1">
  <location ref="E209:F215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C21:D27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5">
  <location ref="F186:G199" firstHeaderRow="1" firstDataRow="1" firstDataCol="1"/>
  <pivotFields count="11">
    <pivotField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t="default"/>
      </items>
    </pivotField>
    <pivotField numFmtId="18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dataField="1" showAll="0"/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2">
    <queryTableFields count="11">
      <queryTableField id="1" name="Sales Id" tableColumnId="1"/>
      <queryTableField id="2" name="Date" tableColumnId="2"/>
      <queryTableField id="3" name="Item" tableColumnId="3"/>
      <queryTableField id="4" name="Sales Rep" tableColumnId="4"/>
      <queryTableField id="5" name="Quantity" tableColumnId="5"/>
      <queryTableField id="6" name="Price" tableColumnId="6"/>
      <queryTableField id="7" name="Commission" tableColumnId="7"/>
      <queryTableField id="8" name="State" tableColumnId="8"/>
      <queryTableField id="9" name="Total Sales" tableColumnId="9"/>
      <queryTableField id="10" name="Total Commission" tableColumnId="10"/>
      <queryTableField id="11" name="Net Sales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1" sourceName="Item">
  <pivotTables>
    <pivotTable tabId="4" name="PivotTable8"/>
  </pivotTables>
  <data>
    <tabular pivotCacheId="1">
      <items count="5">
        <i x="3" s="1"/>
        <i x="2" s="1"/>
        <i x="0" s="1"/>
        <i x="4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1" sourceName="State">
  <pivotTables>
    <pivotTable tabId="4" name="PivotTable4"/>
    <pivotTable tabId="4" name="PivotTable1"/>
    <pivotTable tabId="4" name="PivotTable10"/>
    <pivotTable tabId="4" name="PivotTable11"/>
    <pivotTable tabId="4" name="PivotTable2"/>
    <pivotTable tabId="4" name="PivotTable3"/>
    <pivotTable tabId="4" name="PivotTable5"/>
    <pivotTable tabId="4" name="PivotTable6"/>
    <pivotTable tabId="4" name="PivotTable7"/>
    <pivotTable tabId="4" name="PivotTable8"/>
    <pivotTable tabId="4" name="PivotTable9"/>
  </pivotTables>
  <data>
    <tabular pivotCacheId="1">
      <items count="12">
        <i x="5" s="1"/>
        <i x="3" s="1"/>
        <i x="6" s="1"/>
        <i x="8" s="1"/>
        <i x="10" s="1"/>
        <i x="9" s="1"/>
        <i x="7" s="1"/>
        <i x="11" s="1"/>
        <i x="2" s="1"/>
        <i x="0" s="1"/>
        <i x="1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tem" cache="Slicer_Item1" caption="Item" rowHeight="234950"/>
  <slicer name="State" cache="Slicer_State1" caption="Stat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tem 1" cache="Slicer_Item1" caption="Item" rowHeight="234950"/>
  <slicer name="State 1" cache="Slicer_State1" caption="State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Data3" displayName="Data3" ref="A1:K1301" tableType="queryTable" totalsRowShown="0">
  <tableColumns count="11">
    <tableColumn id="1" name="Sales Id" uniqueName="1" queryTableFieldId="1" dataDxfId="0"/>
    <tableColumn id="2" name="Date" uniqueName="2" queryTableFieldId="2" dataDxfId="1"/>
    <tableColumn id="3" name="Item" uniqueName="3" queryTableFieldId="3" dataDxfId="2"/>
    <tableColumn id="4" name="Sales Rep" uniqueName="4" queryTableFieldId="4" dataDxfId="3"/>
    <tableColumn id="5" name="Quantity" uniqueName="5" queryTableFieldId="5"/>
    <tableColumn id="6" name="Price" uniqueName="6" queryTableFieldId="6"/>
    <tableColumn id="7" name="Commission" uniqueName="7" queryTableFieldId="7"/>
    <tableColumn id="8" name="State" uniqueName="8" queryTableFieldId="8" dataDxfId="4"/>
    <tableColumn id="9" name="Total Sales" uniqueName="9" queryTableFieldId="9"/>
    <tableColumn id="10" name="Total Commission" uniqueName="10" queryTableFieldId="10" dataDxfId="5"/>
    <tableColumn id="11" name="Net Sales" uniqueName="11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:G" totalsRowShown="0">
  <tableColumns count="7">
    <tableColumn id="1" name="Date"/>
    <tableColumn id="2" name="Item"/>
    <tableColumn id="3" name="Sales Rep"/>
    <tableColumn id="4" name="Quantity"/>
    <tableColumn id="5" name="Price"/>
    <tableColumn id="6" name="Commission"/>
    <tableColumn id="7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microsoft.com/office/2007/relationships/slicer" Target="../slicers/slicer1.xml"/><Relationship Id="rId12" Type="http://schemas.openxmlformats.org/officeDocument/2006/relationships/drawing" Target="../drawings/drawing1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6"/>
  <sheetViews>
    <sheetView tabSelected="1" topLeftCell="C1" workbookViewId="0">
      <selection activeCell="H40" sqref="H40"/>
    </sheetView>
  </sheetViews>
  <sheetFormatPr defaultColWidth="9" defaultRowHeight="14.4" outlineLevelCol="7"/>
  <sheetData>
    <row r="2" spans="2:4">
      <c r="B2" s="15">
        <v>1</v>
      </c>
      <c r="C2" s="15" t="s">
        <v>0</v>
      </c>
      <c r="D2" s="15"/>
    </row>
    <row r="4" spans="2:4">
      <c r="B4" s="15">
        <v>2</v>
      </c>
      <c r="C4" s="15" t="s">
        <v>1</v>
      </c>
      <c r="D4" s="15"/>
    </row>
    <row r="5" spans="3:4">
      <c r="C5" s="16" t="s">
        <v>2</v>
      </c>
      <c r="D5" s="16" t="s">
        <v>3</v>
      </c>
    </row>
    <row r="6" spans="4:4">
      <c r="D6" t="s">
        <v>4</v>
      </c>
    </row>
    <row r="7" spans="4:4">
      <c r="D7" t="s">
        <v>5</v>
      </c>
    </row>
    <row r="8" spans="4:4">
      <c r="D8" t="s">
        <v>6</v>
      </c>
    </row>
    <row r="9" spans="4:8">
      <c r="D9" t="s">
        <v>7</v>
      </c>
      <c r="H9" t="s">
        <v>8</v>
      </c>
    </row>
    <row r="10" spans="4:4">
      <c r="D10" t="s">
        <v>9</v>
      </c>
    </row>
    <row r="13" spans="3:4">
      <c r="C13" s="16" t="s">
        <v>10</v>
      </c>
      <c r="D13" s="16" t="s">
        <v>11</v>
      </c>
    </row>
    <row r="14" spans="4:4">
      <c r="D14" t="s">
        <v>12</v>
      </c>
    </row>
    <row r="15" spans="4:4">
      <c r="D15" t="s">
        <v>13</v>
      </c>
    </row>
    <row r="16" spans="4:4">
      <c r="D16" t="s">
        <v>14</v>
      </c>
    </row>
    <row r="17" spans="4:4">
      <c r="D17" t="s">
        <v>15</v>
      </c>
    </row>
    <row r="18" spans="4:4">
      <c r="D18" t="s">
        <v>16</v>
      </c>
    </row>
    <row r="20" spans="2:4">
      <c r="B20" s="15">
        <v>3</v>
      </c>
      <c r="C20" s="15" t="s">
        <v>17</v>
      </c>
      <c r="D20" s="15"/>
    </row>
    <row r="22" spans="2:4">
      <c r="B22" s="15">
        <v>4</v>
      </c>
      <c r="C22" s="15" t="s">
        <v>18</v>
      </c>
      <c r="D22" s="15"/>
    </row>
    <row r="23" spans="4:8">
      <c r="D23" s="13" t="s">
        <v>19</v>
      </c>
      <c r="E23" s="13" t="s">
        <v>20</v>
      </c>
      <c r="F23" s="13"/>
      <c r="G23" s="13"/>
      <c r="H23" s="13"/>
    </row>
    <row r="24" spans="4:4">
      <c r="D24" t="s">
        <v>21</v>
      </c>
    </row>
    <row r="25" spans="4:4">
      <c r="D25" t="s">
        <v>22</v>
      </c>
    </row>
    <row r="26" spans="4:4">
      <c r="D26" t="s">
        <v>23</v>
      </c>
    </row>
    <row r="27" spans="4:4">
      <c r="D27" t="s">
        <v>24</v>
      </c>
    </row>
    <row r="28" spans="4:4">
      <c r="D28" t="s">
        <v>25</v>
      </c>
    </row>
    <row r="29" spans="4:8">
      <c r="D29" s="13" t="s">
        <v>26</v>
      </c>
      <c r="E29" s="13" t="s">
        <v>27</v>
      </c>
      <c r="F29" s="13"/>
      <c r="G29" s="13"/>
      <c r="H29" s="13"/>
    </row>
    <row r="32" spans="4:4">
      <c r="D32" t="s">
        <v>28</v>
      </c>
    </row>
    <row r="33" spans="4:4">
      <c r="D33" t="s">
        <v>29</v>
      </c>
    </row>
    <row r="34" spans="4:4">
      <c r="D34" t="s">
        <v>30</v>
      </c>
    </row>
    <row r="35" spans="4:4">
      <c r="D35" t="s">
        <v>31</v>
      </c>
    </row>
    <row r="36" spans="4:4">
      <c r="D36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01"/>
  <sheetViews>
    <sheetView topLeftCell="A3" workbookViewId="0">
      <selection activeCell="J1285" sqref="J1285"/>
    </sheetView>
  </sheetViews>
  <sheetFormatPr defaultColWidth="9" defaultRowHeight="14.4"/>
  <cols>
    <col min="1" max="1" width="12.7777777777778" customWidth="1"/>
    <col min="2" max="2" width="10.3333333333333" customWidth="1"/>
    <col min="3" max="3" width="11.2222222222222" customWidth="1"/>
    <col min="4" max="4" width="8.88888888888889" customWidth="1"/>
    <col min="5" max="5" width="8.33333333333333" customWidth="1"/>
    <col min="6" max="6" width="5.11111111111111" customWidth="1"/>
    <col min="7" max="7" width="11.2222222222222" customWidth="1"/>
    <col min="8" max="8" width="12.2222222222222" customWidth="1"/>
    <col min="9" max="9" width="9.88888888888889" customWidth="1"/>
    <col min="10" max="10" width="16" customWidth="1"/>
    <col min="11" max="11" width="8.66666666666667" customWidth="1"/>
  </cols>
  <sheetData>
    <row r="1" spans="1:11">
      <c r="A1" t="s">
        <v>8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s="14">
        <v>43282</v>
      </c>
      <c r="C2" t="s">
        <v>44</v>
      </c>
      <c r="D2" t="s">
        <v>45</v>
      </c>
      <c r="E2">
        <v>6</v>
      </c>
      <c r="F2">
        <v>80</v>
      </c>
      <c r="G2">
        <v>0.01</v>
      </c>
      <c r="H2" t="s">
        <v>46</v>
      </c>
      <c r="I2">
        <v>480</v>
      </c>
      <c r="J2">
        <v>5</v>
      </c>
      <c r="K2">
        <v>475.2</v>
      </c>
    </row>
    <row r="3" spans="1:11">
      <c r="A3" t="s">
        <v>47</v>
      </c>
      <c r="B3" s="14">
        <v>43282</v>
      </c>
      <c r="C3" t="s">
        <v>48</v>
      </c>
      <c r="D3" t="s">
        <v>49</v>
      </c>
      <c r="E3">
        <v>20</v>
      </c>
      <c r="F3">
        <v>10</v>
      </c>
      <c r="G3">
        <v>0.05</v>
      </c>
      <c r="H3" t="s">
        <v>50</v>
      </c>
      <c r="I3">
        <v>200</v>
      </c>
      <c r="J3">
        <v>10</v>
      </c>
      <c r="K3">
        <v>190</v>
      </c>
    </row>
    <row r="4" spans="1:11">
      <c r="A4" t="s">
        <v>51</v>
      </c>
      <c r="B4" s="14">
        <v>43282</v>
      </c>
      <c r="C4" t="s">
        <v>52</v>
      </c>
      <c r="D4" t="s">
        <v>49</v>
      </c>
      <c r="E4">
        <v>22</v>
      </c>
      <c r="F4">
        <v>230</v>
      </c>
      <c r="G4">
        <v>0.11</v>
      </c>
      <c r="H4" t="s">
        <v>53</v>
      </c>
      <c r="I4">
        <v>5060</v>
      </c>
      <c r="J4">
        <v>557</v>
      </c>
      <c r="K4">
        <v>4503.4</v>
      </c>
    </row>
    <row r="5" spans="1:11">
      <c r="A5" t="s">
        <v>54</v>
      </c>
      <c r="B5" s="14">
        <v>43282</v>
      </c>
      <c r="C5" t="s">
        <v>52</v>
      </c>
      <c r="D5" t="s">
        <v>45</v>
      </c>
      <c r="E5">
        <v>8</v>
      </c>
      <c r="F5">
        <v>230</v>
      </c>
      <c r="G5">
        <v>0.03</v>
      </c>
      <c r="H5" t="s">
        <v>55</v>
      </c>
      <c r="I5">
        <v>1840</v>
      </c>
      <c r="J5">
        <v>55</v>
      </c>
      <c r="K5">
        <v>1784.8</v>
      </c>
    </row>
    <row r="6" spans="1:11">
      <c r="A6" t="s">
        <v>56</v>
      </c>
      <c r="B6" s="14">
        <v>43282</v>
      </c>
      <c r="C6" t="s">
        <v>52</v>
      </c>
      <c r="D6" t="s">
        <v>57</v>
      </c>
      <c r="E6">
        <v>12</v>
      </c>
      <c r="F6">
        <v>230</v>
      </c>
      <c r="G6">
        <v>0.03</v>
      </c>
      <c r="H6" t="s">
        <v>58</v>
      </c>
      <c r="I6">
        <v>2760</v>
      </c>
      <c r="J6">
        <v>83</v>
      </c>
      <c r="K6">
        <v>2677.2</v>
      </c>
    </row>
    <row r="7" spans="1:11">
      <c r="A7" t="s">
        <v>59</v>
      </c>
      <c r="B7" s="14">
        <v>43282</v>
      </c>
      <c r="C7" t="s">
        <v>44</v>
      </c>
      <c r="D7" t="s">
        <v>60</v>
      </c>
      <c r="E7">
        <v>19</v>
      </c>
      <c r="F7">
        <v>80</v>
      </c>
      <c r="G7">
        <v>0.02</v>
      </c>
      <c r="H7" t="s">
        <v>61</v>
      </c>
      <c r="I7">
        <v>1520</v>
      </c>
      <c r="J7">
        <v>30</v>
      </c>
      <c r="K7">
        <v>1489.6</v>
      </c>
    </row>
    <row r="8" spans="1:11">
      <c r="A8" t="s">
        <v>62</v>
      </c>
      <c r="B8" s="14">
        <v>43282</v>
      </c>
      <c r="C8" t="s">
        <v>63</v>
      </c>
      <c r="D8" t="s">
        <v>64</v>
      </c>
      <c r="E8">
        <v>17</v>
      </c>
      <c r="F8">
        <v>16</v>
      </c>
      <c r="G8">
        <v>0.08</v>
      </c>
      <c r="H8" t="s">
        <v>65</v>
      </c>
      <c r="I8">
        <v>272</v>
      </c>
      <c r="J8">
        <v>22</v>
      </c>
      <c r="K8">
        <v>250.24</v>
      </c>
    </row>
    <row r="9" spans="1:11">
      <c r="A9" t="s">
        <v>66</v>
      </c>
      <c r="B9" s="14">
        <v>43282</v>
      </c>
      <c r="C9" t="s">
        <v>67</v>
      </c>
      <c r="D9" t="s">
        <v>60</v>
      </c>
      <c r="E9">
        <v>7</v>
      </c>
      <c r="F9">
        <v>150</v>
      </c>
      <c r="G9">
        <v>0.05</v>
      </c>
      <c r="H9" t="s">
        <v>68</v>
      </c>
      <c r="I9">
        <v>1050</v>
      </c>
      <c r="J9">
        <v>52</v>
      </c>
      <c r="K9">
        <v>997.5</v>
      </c>
    </row>
    <row r="10" spans="1:11">
      <c r="A10" t="s">
        <v>69</v>
      </c>
      <c r="B10" s="14">
        <v>43282</v>
      </c>
      <c r="C10" t="s">
        <v>67</v>
      </c>
      <c r="D10" t="s">
        <v>60</v>
      </c>
      <c r="E10">
        <v>20</v>
      </c>
      <c r="F10">
        <v>150</v>
      </c>
      <c r="G10">
        <v>0.1</v>
      </c>
      <c r="H10" t="s">
        <v>70</v>
      </c>
      <c r="I10">
        <v>3000</v>
      </c>
      <c r="J10">
        <v>300</v>
      </c>
      <c r="K10">
        <v>2700</v>
      </c>
    </row>
    <row r="11" spans="1:11">
      <c r="A11" t="s">
        <v>71</v>
      </c>
      <c r="B11" s="14">
        <v>43282</v>
      </c>
      <c r="C11" t="s">
        <v>63</v>
      </c>
      <c r="D11" t="s">
        <v>45</v>
      </c>
      <c r="E11">
        <v>21</v>
      </c>
      <c r="F11">
        <v>16</v>
      </c>
      <c r="G11">
        <v>0.09</v>
      </c>
      <c r="H11" t="s">
        <v>72</v>
      </c>
      <c r="I11">
        <v>336</v>
      </c>
      <c r="J11">
        <v>30</v>
      </c>
      <c r="K11">
        <v>305.76</v>
      </c>
    </row>
    <row r="12" spans="1:11">
      <c r="A12" t="s">
        <v>73</v>
      </c>
      <c r="B12" s="14">
        <v>43282</v>
      </c>
      <c r="C12" t="s">
        <v>52</v>
      </c>
      <c r="D12" t="s">
        <v>49</v>
      </c>
      <c r="E12">
        <v>7</v>
      </c>
      <c r="F12">
        <v>230</v>
      </c>
      <c r="G12">
        <v>0.01</v>
      </c>
      <c r="H12" t="s">
        <v>74</v>
      </c>
      <c r="I12">
        <v>1610</v>
      </c>
      <c r="J12">
        <v>16</v>
      </c>
      <c r="K12">
        <v>1593.9</v>
      </c>
    </row>
    <row r="13" spans="1:11">
      <c r="A13" t="s">
        <v>75</v>
      </c>
      <c r="B13" s="14">
        <v>43283</v>
      </c>
      <c r="C13" t="s">
        <v>44</v>
      </c>
      <c r="D13" t="s">
        <v>60</v>
      </c>
      <c r="E13">
        <v>7</v>
      </c>
      <c r="F13">
        <v>80</v>
      </c>
      <c r="G13">
        <v>0.07</v>
      </c>
      <c r="H13" t="s">
        <v>76</v>
      </c>
      <c r="I13">
        <v>560</v>
      </c>
      <c r="J13">
        <v>39</v>
      </c>
      <c r="K13">
        <v>520.8</v>
      </c>
    </row>
    <row r="14" spans="1:11">
      <c r="A14" t="s">
        <v>77</v>
      </c>
      <c r="B14" s="14">
        <v>43283</v>
      </c>
      <c r="C14" t="s">
        <v>44</v>
      </c>
      <c r="D14" t="s">
        <v>64</v>
      </c>
      <c r="E14">
        <v>9</v>
      </c>
      <c r="F14">
        <v>80</v>
      </c>
      <c r="G14">
        <v>0.02</v>
      </c>
      <c r="H14" t="s">
        <v>46</v>
      </c>
      <c r="I14">
        <v>720</v>
      </c>
      <c r="J14">
        <v>14</v>
      </c>
      <c r="K14">
        <v>705.6</v>
      </c>
    </row>
    <row r="15" spans="1:11">
      <c r="A15" t="s">
        <v>78</v>
      </c>
      <c r="B15" s="14">
        <v>43283</v>
      </c>
      <c r="C15" t="s">
        <v>48</v>
      </c>
      <c r="D15" t="s">
        <v>64</v>
      </c>
      <c r="E15">
        <v>16</v>
      </c>
      <c r="F15">
        <v>40</v>
      </c>
      <c r="G15">
        <v>0.09</v>
      </c>
      <c r="H15" t="s">
        <v>50</v>
      </c>
      <c r="I15">
        <v>640</v>
      </c>
      <c r="J15">
        <v>58</v>
      </c>
      <c r="K15">
        <v>582.4</v>
      </c>
    </row>
    <row r="16" spans="1:11">
      <c r="A16" t="s">
        <v>79</v>
      </c>
      <c r="B16" s="14">
        <v>43283</v>
      </c>
      <c r="C16" t="s">
        <v>67</v>
      </c>
      <c r="D16" t="s">
        <v>49</v>
      </c>
      <c r="E16">
        <v>23</v>
      </c>
      <c r="F16">
        <v>150</v>
      </c>
      <c r="G16">
        <v>0.11</v>
      </c>
      <c r="H16" t="s">
        <v>53</v>
      </c>
      <c r="I16">
        <v>3450</v>
      </c>
      <c r="J16">
        <v>380</v>
      </c>
      <c r="K16">
        <v>3070.5</v>
      </c>
    </row>
    <row r="17" spans="1:11">
      <c r="A17" t="s">
        <v>80</v>
      </c>
      <c r="B17" s="14">
        <v>43283</v>
      </c>
      <c r="C17" t="s">
        <v>63</v>
      </c>
      <c r="D17" t="s">
        <v>60</v>
      </c>
      <c r="E17">
        <v>22</v>
      </c>
      <c r="F17">
        <v>16</v>
      </c>
      <c r="G17">
        <v>0.03</v>
      </c>
      <c r="H17" t="s">
        <v>55</v>
      </c>
      <c r="I17">
        <v>352</v>
      </c>
      <c r="J17">
        <v>11</v>
      </c>
      <c r="K17">
        <v>341.44</v>
      </c>
    </row>
    <row r="18" spans="1:11">
      <c r="A18" t="s">
        <v>81</v>
      </c>
      <c r="B18" s="14">
        <v>43283</v>
      </c>
      <c r="C18" t="s">
        <v>48</v>
      </c>
      <c r="D18" t="s">
        <v>60</v>
      </c>
      <c r="E18">
        <v>23</v>
      </c>
      <c r="F18">
        <v>40</v>
      </c>
      <c r="G18">
        <v>0.06</v>
      </c>
      <c r="H18" t="s">
        <v>58</v>
      </c>
      <c r="I18">
        <v>920</v>
      </c>
      <c r="J18">
        <v>55</v>
      </c>
      <c r="K18">
        <v>864.8</v>
      </c>
    </row>
    <row r="19" spans="1:11">
      <c r="A19" t="s">
        <v>82</v>
      </c>
      <c r="B19" s="14">
        <v>43283</v>
      </c>
      <c r="C19" t="s">
        <v>44</v>
      </c>
      <c r="D19" t="s">
        <v>45</v>
      </c>
      <c r="E19">
        <v>20</v>
      </c>
      <c r="F19">
        <v>80</v>
      </c>
      <c r="G19">
        <v>0.01</v>
      </c>
      <c r="H19" t="s">
        <v>61</v>
      </c>
      <c r="I19">
        <v>1600</v>
      </c>
      <c r="J19">
        <v>16</v>
      </c>
      <c r="K19">
        <v>1584</v>
      </c>
    </row>
    <row r="20" spans="1:11">
      <c r="A20" t="s">
        <v>83</v>
      </c>
      <c r="B20" s="14">
        <v>43284</v>
      </c>
      <c r="C20" t="s">
        <v>44</v>
      </c>
      <c r="D20" t="s">
        <v>60</v>
      </c>
      <c r="E20">
        <v>11</v>
      </c>
      <c r="F20">
        <v>80</v>
      </c>
      <c r="G20">
        <v>0.01</v>
      </c>
      <c r="H20" t="s">
        <v>65</v>
      </c>
      <c r="I20">
        <v>880</v>
      </c>
      <c r="J20">
        <v>9</v>
      </c>
      <c r="K20">
        <v>871.2</v>
      </c>
    </row>
    <row r="21" spans="1:11">
      <c r="A21" t="s">
        <v>84</v>
      </c>
      <c r="B21" s="14">
        <v>43284</v>
      </c>
      <c r="C21" t="s">
        <v>48</v>
      </c>
      <c r="D21" t="s">
        <v>60</v>
      </c>
      <c r="E21">
        <v>9</v>
      </c>
      <c r="F21">
        <v>40</v>
      </c>
      <c r="G21">
        <v>0.06</v>
      </c>
      <c r="H21" t="s">
        <v>68</v>
      </c>
      <c r="I21">
        <v>360</v>
      </c>
      <c r="J21">
        <v>22</v>
      </c>
      <c r="K21">
        <v>338.4</v>
      </c>
    </row>
    <row r="22" spans="1:11">
      <c r="A22" t="s">
        <v>85</v>
      </c>
      <c r="B22" s="14">
        <v>43284</v>
      </c>
      <c r="C22" t="s">
        <v>44</v>
      </c>
      <c r="D22" t="s">
        <v>64</v>
      </c>
      <c r="E22">
        <v>16</v>
      </c>
      <c r="F22">
        <v>80</v>
      </c>
      <c r="G22">
        <v>0.09</v>
      </c>
      <c r="H22" t="s">
        <v>70</v>
      </c>
      <c r="I22">
        <v>1280</v>
      </c>
      <c r="J22">
        <v>115</v>
      </c>
      <c r="K22">
        <v>1164.8</v>
      </c>
    </row>
    <row r="23" spans="1:11">
      <c r="A23" t="s">
        <v>86</v>
      </c>
      <c r="B23" s="14">
        <v>43284</v>
      </c>
      <c r="C23" t="s">
        <v>44</v>
      </c>
      <c r="D23" t="s">
        <v>57</v>
      </c>
      <c r="E23">
        <v>10</v>
      </c>
      <c r="F23">
        <v>80</v>
      </c>
      <c r="G23">
        <v>0.08</v>
      </c>
      <c r="H23" t="s">
        <v>72</v>
      </c>
      <c r="I23">
        <v>800</v>
      </c>
      <c r="J23">
        <v>64</v>
      </c>
      <c r="K23">
        <v>736</v>
      </c>
    </row>
    <row r="24" spans="1:11">
      <c r="A24" t="s">
        <v>87</v>
      </c>
      <c r="B24" s="14">
        <v>43284</v>
      </c>
      <c r="C24" t="s">
        <v>63</v>
      </c>
      <c r="D24" t="s">
        <v>57</v>
      </c>
      <c r="E24">
        <v>12</v>
      </c>
      <c r="F24">
        <v>16</v>
      </c>
      <c r="G24">
        <v>0.11</v>
      </c>
      <c r="H24" t="s">
        <v>74</v>
      </c>
      <c r="I24">
        <v>192</v>
      </c>
      <c r="J24">
        <v>21</v>
      </c>
      <c r="K24">
        <v>170.88</v>
      </c>
    </row>
    <row r="25" spans="1:11">
      <c r="A25" t="s">
        <v>88</v>
      </c>
      <c r="B25" s="14">
        <v>43284</v>
      </c>
      <c r="C25" t="s">
        <v>67</v>
      </c>
      <c r="D25" t="s">
        <v>60</v>
      </c>
      <c r="E25">
        <v>6</v>
      </c>
      <c r="F25">
        <v>150</v>
      </c>
      <c r="G25">
        <v>0.03</v>
      </c>
      <c r="H25" t="s">
        <v>76</v>
      </c>
      <c r="I25">
        <v>900</v>
      </c>
      <c r="J25">
        <v>27</v>
      </c>
      <c r="K25">
        <v>873</v>
      </c>
    </row>
    <row r="26" spans="1:11">
      <c r="A26" t="s">
        <v>89</v>
      </c>
      <c r="B26" s="14">
        <v>43284</v>
      </c>
      <c r="C26" t="s">
        <v>63</v>
      </c>
      <c r="D26" t="s">
        <v>57</v>
      </c>
      <c r="E26">
        <v>11</v>
      </c>
      <c r="F26">
        <v>16</v>
      </c>
      <c r="G26">
        <v>0.04</v>
      </c>
      <c r="H26" t="s">
        <v>46</v>
      </c>
      <c r="I26">
        <v>176</v>
      </c>
      <c r="J26">
        <v>7</v>
      </c>
      <c r="K26">
        <v>168.96</v>
      </c>
    </row>
    <row r="27" spans="1:11">
      <c r="A27" t="s">
        <v>90</v>
      </c>
      <c r="B27" s="14">
        <v>43284</v>
      </c>
      <c r="C27" t="s">
        <v>44</v>
      </c>
      <c r="D27" t="s">
        <v>60</v>
      </c>
      <c r="E27">
        <v>22</v>
      </c>
      <c r="F27">
        <v>80</v>
      </c>
      <c r="G27">
        <v>0.03</v>
      </c>
      <c r="H27" t="s">
        <v>50</v>
      </c>
      <c r="I27">
        <v>1760</v>
      </c>
      <c r="J27">
        <v>53</v>
      </c>
      <c r="K27">
        <v>1707.2</v>
      </c>
    </row>
    <row r="28" spans="1:11">
      <c r="A28" t="s">
        <v>91</v>
      </c>
      <c r="B28" s="14">
        <v>43284</v>
      </c>
      <c r="C28" t="s">
        <v>63</v>
      </c>
      <c r="D28" t="s">
        <v>49</v>
      </c>
      <c r="E28">
        <v>7</v>
      </c>
      <c r="F28">
        <v>16</v>
      </c>
      <c r="G28">
        <v>0.08</v>
      </c>
      <c r="H28" t="s">
        <v>53</v>
      </c>
      <c r="I28">
        <v>112</v>
      </c>
      <c r="J28">
        <v>9</v>
      </c>
      <c r="K28">
        <v>103.04</v>
      </c>
    </row>
    <row r="29" spans="1:11">
      <c r="A29" t="s">
        <v>92</v>
      </c>
      <c r="B29" s="14">
        <v>43284</v>
      </c>
      <c r="C29" t="s">
        <v>48</v>
      </c>
      <c r="D29" t="s">
        <v>60</v>
      </c>
      <c r="E29">
        <v>13</v>
      </c>
      <c r="F29">
        <v>40</v>
      </c>
      <c r="G29">
        <v>0.09</v>
      </c>
      <c r="H29" t="s">
        <v>55</v>
      </c>
      <c r="I29">
        <v>520</v>
      </c>
      <c r="J29">
        <v>47</v>
      </c>
      <c r="K29">
        <v>473.2</v>
      </c>
    </row>
    <row r="30" spans="1:11">
      <c r="A30" t="s">
        <v>93</v>
      </c>
      <c r="B30" s="14">
        <v>43284</v>
      </c>
      <c r="C30" t="s">
        <v>52</v>
      </c>
      <c r="D30" t="s">
        <v>60</v>
      </c>
      <c r="E30">
        <v>8</v>
      </c>
      <c r="F30">
        <v>230</v>
      </c>
      <c r="G30">
        <v>0.05</v>
      </c>
      <c r="H30" t="s">
        <v>58</v>
      </c>
      <c r="I30">
        <v>1840</v>
      </c>
      <c r="J30">
        <v>92</v>
      </c>
      <c r="K30">
        <v>1748</v>
      </c>
    </row>
    <row r="31" spans="1:11">
      <c r="A31" t="s">
        <v>94</v>
      </c>
      <c r="B31" s="14">
        <v>43284</v>
      </c>
      <c r="C31" t="s">
        <v>63</v>
      </c>
      <c r="D31" t="s">
        <v>60</v>
      </c>
      <c r="E31">
        <v>14</v>
      </c>
      <c r="F31">
        <v>16</v>
      </c>
      <c r="G31">
        <v>0.12</v>
      </c>
      <c r="H31" t="s">
        <v>61</v>
      </c>
      <c r="I31">
        <v>224</v>
      </c>
      <c r="J31">
        <v>27</v>
      </c>
      <c r="K31">
        <v>197.12</v>
      </c>
    </row>
    <row r="32" spans="1:11">
      <c r="A32" t="s">
        <v>95</v>
      </c>
      <c r="B32" s="14">
        <v>43284</v>
      </c>
      <c r="C32" t="s">
        <v>48</v>
      </c>
      <c r="D32" t="s">
        <v>64</v>
      </c>
      <c r="E32">
        <v>16</v>
      </c>
      <c r="F32">
        <v>40</v>
      </c>
      <c r="G32">
        <v>0.09</v>
      </c>
      <c r="H32" t="s">
        <v>65</v>
      </c>
      <c r="I32">
        <v>640</v>
      </c>
      <c r="J32">
        <v>58</v>
      </c>
      <c r="K32">
        <v>582.4</v>
      </c>
    </row>
    <row r="33" spans="1:11">
      <c r="A33" t="s">
        <v>96</v>
      </c>
      <c r="B33" s="14">
        <v>43285</v>
      </c>
      <c r="C33" t="s">
        <v>67</v>
      </c>
      <c r="D33" t="s">
        <v>49</v>
      </c>
      <c r="E33">
        <v>16</v>
      </c>
      <c r="F33">
        <v>150</v>
      </c>
      <c r="G33">
        <v>0.05</v>
      </c>
      <c r="H33" t="s">
        <v>68</v>
      </c>
      <c r="I33">
        <v>2400</v>
      </c>
      <c r="J33">
        <v>120</v>
      </c>
      <c r="K33">
        <v>2280</v>
      </c>
    </row>
    <row r="34" spans="1:11">
      <c r="A34" t="s">
        <v>97</v>
      </c>
      <c r="B34" s="14">
        <v>43285</v>
      </c>
      <c r="C34" t="s">
        <v>48</v>
      </c>
      <c r="D34" t="s">
        <v>49</v>
      </c>
      <c r="E34">
        <v>12</v>
      </c>
      <c r="F34">
        <v>40</v>
      </c>
      <c r="G34">
        <v>0.1</v>
      </c>
      <c r="H34" t="s">
        <v>70</v>
      </c>
      <c r="I34">
        <v>480</v>
      </c>
      <c r="J34">
        <v>48</v>
      </c>
      <c r="K34">
        <v>432</v>
      </c>
    </row>
    <row r="35" spans="1:11">
      <c r="A35" t="s">
        <v>98</v>
      </c>
      <c r="B35" s="14">
        <v>43285</v>
      </c>
      <c r="C35" t="s">
        <v>44</v>
      </c>
      <c r="D35" t="s">
        <v>64</v>
      </c>
      <c r="E35">
        <v>17</v>
      </c>
      <c r="F35">
        <v>80</v>
      </c>
      <c r="G35">
        <v>0.07</v>
      </c>
      <c r="H35" t="s">
        <v>72</v>
      </c>
      <c r="I35">
        <v>1360</v>
      </c>
      <c r="J35">
        <v>95</v>
      </c>
      <c r="K35">
        <v>1264.8</v>
      </c>
    </row>
    <row r="36" spans="1:11">
      <c r="A36" t="s">
        <v>99</v>
      </c>
      <c r="B36" s="14">
        <v>43285</v>
      </c>
      <c r="C36" t="s">
        <v>52</v>
      </c>
      <c r="D36" t="s">
        <v>60</v>
      </c>
      <c r="E36">
        <v>19</v>
      </c>
      <c r="F36">
        <v>230</v>
      </c>
      <c r="G36">
        <v>0.06</v>
      </c>
      <c r="H36" t="s">
        <v>74</v>
      </c>
      <c r="I36">
        <v>4370</v>
      </c>
      <c r="J36">
        <v>262</v>
      </c>
      <c r="K36">
        <v>4107.8</v>
      </c>
    </row>
    <row r="37" spans="1:11">
      <c r="A37" t="s">
        <v>100</v>
      </c>
      <c r="B37" s="14">
        <v>43285</v>
      </c>
      <c r="C37" t="s">
        <v>52</v>
      </c>
      <c r="D37" t="s">
        <v>64</v>
      </c>
      <c r="E37">
        <v>22</v>
      </c>
      <c r="F37">
        <v>230</v>
      </c>
      <c r="G37">
        <v>0.1</v>
      </c>
      <c r="H37" t="s">
        <v>76</v>
      </c>
      <c r="I37">
        <v>5060</v>
      </c>
      <c r="J37">
        <v>506</v>
      </c>
      <c r="K37">
        <v>4554</v>
      </c>
    </row>
    <row r="38" spans="1:11">
      <c r="A38" t="s">
        <v>101</v>
      </c>
      <c r="B38" s="14">
        <v>43285</v>
      </c>
      <c r="C38" t="s">
        <v>48</v>
      </c>
      <c r="D38" t="s">
        <v>60</v>
      </c>
      <c r="E38">
        <v>22</v>
      </c>
      <c r="F38">
        <v>40</v>
      </c>
      <c r="G38">
        <v>0.01</v>
      </c>
      <c r="H38" t="s">
        <v>46</v>
      </c>
      <c r="I38">
        <v>880</v>
      </c>
      <c r="J38">
        <v>9</v>
      </c>
      <c r="K38">
        <v>871.2</v>
      </c>
    </row>
    <row r="39" spans="1:11">
      <c r="A39" t="s">
        <v>102</v>
      </c>
      <c r="B39" s="14">
        <v>43285</v>
      </c>
      <c r="C39" t="s">
        <v>63</v>
      </c>
      <c r="D39" t="s">
        <v>60</v>
      </c>
      <c r="E39">
        <v>10</v>
      </c>
      <c r="F39">
        <v>16</v>
      </c>
      <c r="G39">
        <v>0.04</v>
      </c>
      <c r="H39" t="s">
        <v>50</v>
      </c>
      <c r="I39">
        <v>160</v>
      </c>
      <c r="J39">
        <v>6</v>
      </c>
      <c r="K39">
        <v>153.6</v>
      </c>
    </row>
    <row r="40" spans="1:11">
      <c r="A40" t="s">
        <v>103</v>
      </c>
      <c r="B40" s="14">
        <v>43285</v>
      </c>
      <c r="C40" t="s">
        <v>48</v>
      </c>
      <c r="D40" t="s">
        <v>49</v>
      </c>
      <c r="E40">
        <v>4</v>
      </c>
      <c r="F40">
        <v>40</v>
      </c>
      <c r="G40">
        <v>0.12</v>
      </c>
      <c r="H40" t="s">
        <v>53</v>
      </c>
      <c r="I40">
        <v>160</v>
      </c>
      <c r="J40">
        <v>19</v>
      </c>
      <c r="K40">
        <v>140.8</v>
      </c>
    </row>
    <row r="41" spans="1:11">
      <c r="A41" t="s">
        <v>104</v>
      </c>
      <c r="B41" s="14">
        <v>43285</v>
      </c>
      <c r="C41" t="s">
        <v>48</v>
      </c>
      <c r="D41" t="s">
        <v>64</v>
      </c>
      <c r="E41">
        <v>20</v>
      </c>
      <c r="F41">
        <v>40</v>
      </c>
      <c r="G41">
        <v>0.05</v>
      </c>
      <c r="H41" t="s">
        <v>55</v>
      </c>
      <c r="I41">
        <v>800</v>
      </c>
      <c r="J41">
        <v>40</v>
      </c>
      <c r="K41">
        <v>760</v>
      </c>
    </row>
    <row r="42" spans="1:11">
      <c r="A42" t="s">
        <v>105</v>
      </c>
      <c r="B42" s="14">
        <v>43286</v>
      </c>
      <c r="C42" t="s">
        <v>52</v>
      </c>
      <c r="D42" t="s">
        <v>60</v>
      </c>
      <c r="E42">
        <v>23</v>
      </c>
      <c r="F42">
        <v>230</v>
      </c>
      <c r="G42">
        <v>0.06</v>
      </c>
      <c r="H42" t="s">
        <v>58</v>
      </c>
      <c r="I42">
        <v>5290</v>
      </c>
      <c r="J42">
        <v>317</v>
      </c>
      <c r="K42">
        <v>4972.6</v>
      </c>
    </row>
    <row r="43" spans="1:11">
      <c r="A43" t="s">
        <v>106</v>
      </c>
      <c r="B43" s="14">
        <v>43286</v>
      </c>
      <c r="C43" t="s">
        <v>48</v>
      </c>
      <c r="D43" t="s">
        <v>57</v>
      </c>
      <c r="E43">
        <v>20</v>
      </c>
      <c r="F43">
        <v>40</v>
      </c>
      <c r="G43">
        <v>0.01</v>
      </c>
      <c r="H43" t="s">
        <v>61</v>
      </c>
      <c r="I43">
        <v>800</v>
      </c>
      <c r="J43">
        <v>8</v>
      </c>
      <c r="K43">
        <v>792</v>
      </c>
    </row>
    <row r="44" spans="1:11">
      <c r="A44" t="s">
        <v>107</v>
      </c>
      <c r="B44" s="14">
        <v>43286</v>
      </c>
      <c r="C44" t="s">
        <v>67</v>
      </c>
      <c r="D44" t="s">
        <v>57</v>
      </c>
      <c r="E44">
        <v>20</v>
      </c>
      <c r="F44">
        <v>150</v>
      </c>
      <c r="G44">
        <v>0.04</v>
      </c>
      <c r="H44" t="s">
        <v>65</v>
      </c>
      <c r="I44">
        <v>3000</v>
      </c>
      <c r="J44">
        <v>120</v>
      </c>
      <c r="K44">
        <v>2880</v>
      </c>
    </row>
    <row r="45" spans="1:11">
      <c r="A45" t="s">
        <v>108</v>
      </c>
      <c r="B45" s="14">
        <v>43286</v>
      </c>
      <c r="C45" t="s">
        <v>44</v>
      </c>
      <c r="D45" t="s">
        <v>49</v>
      </c>
      <c r="E45">
        <v>9</v>
      </c>
      <c r="F45">
        <v>80</v>
      </c>
      <c r="G45">
        <v>0.03</v>
      </c>
      <c r="H45" t="s">
        <v>68</v>
      </c>
      <c r="I45">
        <v>720</v>
      </c>
      <c r="J45">
        <v>22</v>
      </c>
      <c r="K45">
        <v>698.4</v>
      </c>
    </row>
    <row r="46" spans="1:11">
      <c r="A46" t="s">
        <v>109</v>
      </c>
      <c r="B46" s="14">
        <v>43286</v>
      </c>
      <c r="C46" t="s">
        <v>52</v>
      </c>
      <c r="D46" t="s">
        <v>45</v>
      </c>
      <c r="E46">
        <v>7</v>
      </c>
      <c r="F46">
        <v>230</v>
      </c>
      <c r="G46">
        <v>0.02</v>
      </c>
      <c r="H46" t="s">
        <v>70</v>
      </c>
      <c r="I46">
        <v>1610</v>
      </c>
      <c r="J46">
        <v>32</v>
      </c>
      <c r="K46">
        <v>1577.8</v>
      </c>
    </row>
    <row r="47" spans="1:11">
      <c r="A47" t="s">
        <v>110</v>
      </c>
      <c r="B47" s="14">
        <v>43286</v>
      </c>
      <c r="C47" t="s">
        <v>52</v>
      </c>
      <c r="D47" t="s">
        <v>45</v>
      </c>
      <c r="E47">
        <v>3</v>
      </c>
      <c r="F47">
        <v>230</v>
      </c>
      <c r="G47">
        <v>0.06</v>
      </c>
      <c r="H47" t="s">
        <v>72</v>
      </c>
      <c r="I47">
        <v>690</v>
      </c>
      <c r="J47">
        <v>41</v>
      </c>
      <c r="K47">
        <v>648.6</v>
      </c>
    </row>
    <row r="48" spans="1:11">
      <c r="A48" t="s">
        <v>111</v>
      </c>
      <c r="B48" s="14">
        <v>43286</v>
      </c>
      <c r="C48" t="s">
        <v>67</v>
      </c>
      <c r="D48" t="s">
        <v>45</v>
      </c>
      <c r="E48">
        <v>13</v>
      </c>
      <c r="F48">
        <v>150</v>
      </c>
      <c r="G48">
        <v>0.05</v>
      </c>
      <c r="H48" t="s">
        <v>74</v>
      </c>
      <c r="I48">
        <v>1950</v>
      </c>
      <c r="J48">
        <v>98</v>
      </c>
      <c r="K48">
        <v>1852.5</v>
      </c>
    </row>
    <row r="49" spans="1:11">
      <c r="A49" t="s">
        <v>112</v>
      </c>
      <c r="B49" s="14">
        <v>43286</v>
      </c>
      <c r="C49" t="s">
        <v>44</v>
      </c>
      <c r="D49" t="s">
        <v>45</v>
      </c>
      <c r="E49">
        <v>17</v>
      </c>
      <c r="F49">
        <v>80</v>
      </c>
      <c r="G49">
        <v>0.09</v>
      </c>
      <c r="H49" t="s">
        <v>76</v>
      </c>
      <c r="I49">
        <v>1360</v>
      </c>
      <c r="J49">
        <v>122</v>
      </c>
      <c r="K49">
        <v>1237.6</v>
      </c>
    </row>
    <row r="50" spans="1:11">
      <c r="A50" t="s">
        <v>113</v>
      </c>
      <c r="B50" s="14">
        <v>43287</v>
      </c>
      <c r="C50" t="s">
        <v>48</v>
      </c>
      <c r="D50" t="s">
        <v>60</v>
      </c>
      <c r="E50">
        <v>18</v>
      </c>
      <c r="F50">
        <v>40</v>
      </c>
      <c r="G50">
        <v>0.06</v>
      </c>
      <c r="H50" t="s">
        <v>46</v>
      </c>
      <c r="I50">
        <v>720</v>
      </c>
      <c r="J50">
        <v>43</v>
      </c>
      <c r="K50">
        <v>676.8</v>
      </c>
    </row>
    <row r="51" spans="1:11">
      <c r="A51" t="s">
        <v>114</v>
      </c>
      <c r="B51" s="14">
        <v>43287</v>
      </c>
      <c r="C51" t="s">
        <v>63</v>
      </c>
      <c r="D51" t="s">
        <v>57</v>
      </c>
      <c r="E51">
        <v>23</v>
      </c>
      <c r="F51">
        <v>16</v>
      </c>
      <c r="G51">
        <v>0.11</v>
      </c>
      <c r="H51" t="s">
        <v>50</v>
      </c>
      <c r="I51">
        <v>368</v>
      </c>
      <c r="J51">
        <v>40</v>
      </c>
      <c r="K51">
        <v>327.52</v>
      </c>
    </row>
    <row r="52" spans="1:11">
      <c r="A52" t="s">
        <v>115</v>
      </c>
      <c r="B52" s="14">
        <v>43287</v>
      </c>
      <c r="C52" t="s">
        <v>52</v>
      </c>
      <c r="D52" t="s">
        <v>57</v>
      </c>
      <c r="E52">
        <v>20</v>
      </c>
      <c r="F52">
        <v>230</v>
      </c>
      <c r="G52">
        <v>0.06</v>
      </c>
      <c r="H52" t="s">
        <v>53</v>
      </c>
      <c r="I52">
        <v>4600</v>
      </c>
      <c r="J52">
        <v>276</v>
      </c>
      <c r="K52">
        <v>4324</v>
      </c>
    </row>
    <row r="53" spans="1:11">
      <c r="A53" t="s">
        <v>116</v>
      </c>
      <c r="B53" s="14">
        <v>43287</v>
      </c>
      <c r="C53" t="s">
        <v>63</v>
      </c>
      <c r="D53" t="s">
        <v>45</v>
      </c>
      <c r="E53">
        <v>11</v>
      </c>
      <c r="F53">
        <v>16</v>
      </c>
      <c r="G53">
        <v>0.09</v>
      </c>
      <c r="H53" t="s">
        <v>55</v>
      </c>
      <c r="I53">
        <v>176</v>
      </c>
      <c r="J53">
        <v>16</v>
      </c>
      <c r="K53">
        <v>160.16</v>
      </c>
    </row>
    <row r="54" spans="1:11">
      <c r="A54" t="s">
        <v>117</v>
      </c>
      <c r="B54" s="14">
        <v>43287</v>
      </c>
      <c r="C54" t="s">
        <v>67</v>
      </c>
      <c r="D54" t="s">
        <v>64</v>
      </c>
      <c r="E54">
        <v>15</v>
      </c>
      <c r="F54">
        <v>150</v>
      </c>
      <c r="G54">
        <v>0.07</v>
      </c>
      <c r="H54" t="s">
        <v>58</v>
      </c>
      <c r="I54">
        <v>2250</v>
      </c>
      <c r="J54">
        <v>158</v>
      </c>
      <c r="K54">
        <v>2092.5</v>
      </c>
    </row>
    <row r="55" spans="1:11">
      <c r="A55" t="s">
        <v>118</v>
      </c>
      <c r="B55" s="14">
        <v>43287</v>
      </c>
      <c r="C55" t="s">
        <v>52</v>
      </c>
      <c r="D55" t="s">
        <v>49</v>
      </c>
      <c r="E55">
        <v>6</v>
      </c>
      <c r="F55">
        <v>230</v>
      </c>
      <c r="G55">
        <v>0.1</v>
      </c>
      <c r="H55" t="s">
        <v>61</v>
      </c>
      <c r="I55">
        <v>1380</v>
      </c>
      <c r="J55">
        <v>138</v>
      </c>
      <c r="K55">
        <v>1242</v>
      </c>
    </row>
    <row r="56" spans="1:11">
      <c r="A56" t="s">
        <v>119</v>
      </c>
      <c r="B56" s="14">
        <v>43287</v>
      </c>
      <c r="C56" t="s">
        <v>48</v>
      </c>
      <c r="D56" t="s">
        <v>45</v>
      </c>
      <c r="E56">
        <v>22</v>
      </c>
      <c r="F56">
        <v>40</v>
      </c>
      <c r="G56">
        <v>0.02</v>
      </c>
      <c r="H56" t="s">
        <v>65</v>
      </c>
      <c r="I56">
        <v>880</v>
      </c>
      <c r="J56">
        <v>18</v>
      </c>
      <c r="K56">
        <v>862.4</v>
      </c>
    </row>
    <row r="57" spans="1:11">
      <c r="A57" t="s">
        <v>120</v>
      </c>
      <c r="B57" s="14">
        <v>43287</v>
      </c>
      <c r="C57" t="s">
        <v>48</v>
      </c>
      <c r="D57" t="s">
        <v>45</v>
      </c>
      <c r="E57">
        <v>15</v>
      </c>
      <c r="F57">
        <v>40</v>
      </c>
      <c r="G57">
        <v>0.06</v>
      </c>
      <c r="H57" t="s">
        <v>68</v>
      </c>
      <c r="I57">
        <v>600</v>
      </c>
      <c r="J57">
        <v>36</v>
      </c>
      <c r="K57">
        <v>564</v>
      </c>
    </row>
    <row r="58" spans="1:11">
      <c r="A58" t="s">
        <v>121</v>
      </c>
      <c r="B58" s="14">
        <v>43287</v>
      </c>
      <c r="C58" t="s">
        <v>63</v>
      </c>
      <c r="D58" t="s">
        <v>57</v>
      </c>
      <c r="E58">
        <v>12</v>
      </c>
      <c r="F58">
        <v>16</v>
      </c>
      <c r="G58">
        <v>0.03</v>
      </c>
      <c r="H58" t="s">
        <v>70</v>
      </c>
      <c r="I58">
        <v>192</v>
      </c>
      <c r="J58">
        <v>6</v>
      </c>
      <c r="K58">
        <v>186.24</v>
      </c>
    </row>
    <row r="59" spans="1:11">
      <c r="A59" t="s">
        <v>122</v>
      </c>
      <c r="B59" s="14">
        <v>43287</v>
      </c>
      <c r="C59" t="s">
        <v>63</v>
      </c>
      <c r="D59" t="s">
        <v>64</v>
      </c>
      <c r="E59">
        <v>22</v>
      </c>
      <c r="F59">
        <v>16</v>
      </c>
      <c r="G59">
        <v>0.12</v>
      </c>
      <c r="H59" t="s">
        <v>72</v>
      </c>
      <c r="I59">
        <v>352</v>
      </c>
      <c r="J59">
        <v>42</v>
      </c>
      <c r="K59">
        <v>309.76</v>
      </c>
    </row>
    <row r="60" spans="1:11">
      <c r="A60" t="s">
        <v>123</v>
      </c>
      <c r="B60" s="14">
        <v>43287</v>
      </c>
      <c r="C60" t="s">
        <v>44</v>
      </c>
      <c r="D60" t="s">
        <v>45</v>
      </c>
      <c r="E60">
        <v>21</v>
      </c>
      <c r="F60">
        <v>80</v>
      </c>
      <c r="G60">
        <v>0.04</v>
      </c>
      <c r="H60" t="s">
        <v>74</v>
      </c>
      <c r="I60">
        <v>1680</v>
      </c>
      <c r="J60">
        <v>67</v>
      </c>
      <c r="K60">
        <v>1612.8</v>
      </c>
    </row>
    <row r="61" spans="1:11">
      <c r="A61" t="s">
        <v>124</v>
      </c>
      <c r="B61" s="14">
        <v>43287</v>
      </c>
      <c r="C61" t="s">
        <v>67</v>
      </c>
      <c r="D61" t="s">
        <v>45</v>
      </c>
      <c r="E61">
        <v>22</v>
      </c>
      <c r="F61">
        <v>150</v>
      </c>
      <c r="G61">
        <v>0.05</v>
      </c>
      <c r="H61" t="s">
        <v>76</v>
      </c>
      <c r="I61">
        <v>3300</v>
      </c>
      <c r="J61">
        <v>165</v>
      </c>
      <c r="K61">
        <v>3135</v>
      </c>
    </row>
    <row r="62" spans="1:11">
      <c r="A62" t="s">
        <v>125</v>
      </c>
      <c r="B62" s="14">
        <v>43287</v>
      </c>
      <c r="C62" t="s">
        <v>44</v>
      </c>
      <c r="D62" t="s">
        <v>64</v>
      </c>
      <c r="E62">
        <v>21</v>
      </c>
      <c r="F62">
        <v>80</v>
      </c>
      <c r="G62">
        <v>0.09</v>
      </c>
      <c r="H62" t="s">
        <v>46</v>
      </c>
      <c r="I62">
        <v>1680</v>
      </c>
      <c r="J62">
        <v>151</v>
      </c>
      <c r="K62">
        <v>1528.8</v>
      </c>
    </row>
    <row r="63" spans="1:11">
      <c r="A63" t="s">
        <v>126</v>
      </c>
      <c r="B63" s="14">
        <v>43287</v>
      </c>
      <c r="C63" t="s">
        <v>44</v>
      </c>
      <c r="D63" t="s">
        <v>60</v>
      </c>
      <c r="E63">
        <v>10</v>
      </c>
      <c r="F63">
        <v>80</v>
      </c>
      <c r="G63">
        <v>0.1</v>
      </c>
      <c r="H63" t="s">
        <v>50</v>
      </c>
      <c r="I63">
        <v>800</v>
      </c>
      <c r="J63">
        <v>80</v>
      </c>
      <c r="K63">
        <v>720</v>
      </c>
    </row>
    <row r="64" spans="1:11">
      <c r="A64" t="s">
        <v>127</v>
      </c>
      <c r="B64" s="14">
        <v>43287</v>
      </c>
      <c r="C64" t="s">
        <v>52</v>
      </c>
      <c r="D64" t="s">
        <v>49</v>
      </c>
      <c r="E64">
        <v>15</v>
      </c>
      <c r="F64">
        <v>230</v>
      </c>
      <c r="G64">
        <v>0.09</v>
      </c>
      <c r="H64" t="s">
        <v>53</v>
      </c>
      <c r="I64">
        <v>3450</v>
      </c>
      <c r="J64">
        <v>310</v>
      </c>
      <c r="K64">
        <v>3139.5</v>
      </c>
    </row>
    <row r="65" spans="1:11">
      <c r="A65" t="s">
        <v>128</v>
      </c>
      <c r="B65" s="14">
        <v>43288</v>
      </c>
      <c r="C65" t="s">
        <v>44</v>
      </c>
      <c r="D65" t="s">
        <v>45</v>
      </c>
      <c r="E65">
        <v>14</v>
      </c>
      <c r="F65">
        <v>80</v>
      </c>
      <c r="G65">
        <v>0.08</v>
      </c>
      <c r="H65" t="s">
        <v>55</v>
      </c>
      <c r="I65">
        <v>1120</v>
      </c>
      <c r="J65">
        <v>90</v>
      </c>
      <c r="K65">
        <v>1030.4</v>
      </c>
    </row>
    <row r="66" spans="1:11">
      <c r="A66" t="s">
        <v>129</v>
      </c>
      <c r="B66" s="14">
        <v>43288</v>
      </c>
      <c r="C66" t="s">
        <v>44</v>
      </c>
      <c r="D66" t="s">
        <v>64</v>
      </c>
      <c r="E66">
        <v>10</v>
      </c>
      <c r="F66">
        <v>80</v>
      </c>
      <c r="G66">
        <v>0.06</v>
      </c>
      <c r="H66" t="s">
        <v>58</v>
      </c>
      <c r="I66">
        <v>800</v>
      </c>
      <c r="J66">
        <v>48</v>
      </c>
      <c r="K66">
        <v>752</v>
      </c>
    </row>
    <row r="67" spans="1:11">
      <c r="A67" t="s">
        <v>130</v>
      </c>
      <c r="B67" s="14">
        <v>43288</v>
      </c>
      <c r="C67" t="s">
        <v>67</v>
      </c>
      <c r="D67" t="s">
        <v>45</v>
      </c>
      <c r="E67">
        <v>5</v>
      </c>
      <c r="F67">
        <v>150</v>
      </c>
      <c r="G67">
        <v>0.11</v>
      </c>
      <c r="H67" t="s">
        <v>61</v>
      </c>
      <c r="I67">
        <v>750</v>
      </c>
      <c r="J67">
        <v>82</v>
      </c>
      <c r="K67">
        <v>667.5</v>
      </c>
    </row>
    <row r="68" spans="1:11">
      <c r="A68" t="s">
        <v>131</v>
      </c>
      <c r="B68" s="14">
        <v>43288</v>
      </c>
      <c r="C68" t="s">
        <v>52</v>
      </c>
      <c r="D68" t="s">
        <v>60</v>
      </c>
      <c r="E68">
        <v>3</v>
      </c>
      <c r="F68">
        <v>230</v>
      </c>
      <c r="G68">
        <v>0.01</v>
      </c>
      <c r="H68" t="s">
        <v>65</v>
      </c>
      <c r="I68">
        <v>690</v>
      </c>
      <c r="J68">
        <v>7</v>
      </c>
      <c r="K68">
        <v>683.1</v>
      </c>
    </row>
    <row r="69" spans="1:11">
      <c r="A69" t="s">
        <v>132</v>
      </c>
      <c r="B69" s="14">
        <v>43288</v>
      </c>
      <c r="C69" t="s">
        <v>48</v>
      </c>
      <c r="D69" t="s">
        <v>60</v>
      </c>
      <c r="E69">
        <v>4</v>
      </c>
      <c r="F69">
        <v>40</v>
      </c>
      <c r="G69">
        <v>0.05</v>
      </c>
      <c r="H69" t="s">
        <v>68</v>
      </c>
      <c r="I69">
        <v>160</v>
      </c>
      <c r="J69">
        <v>8</v>
      </c>
      <c r="K69">
        <v>152</v>
      </c>
    </row>
    <row r="70" spans="1:11">
      <c r="A70" t="s">
        <v>133</v>
      </c>
      <c r="B70" s="14">
        <v>43288</v>
      </c>
      <c r="C70" t="s">
        <v>67</v>
      </c>
      <c r="D70" t="s">
        <v>57</v>
      </c>
      <c r="E70">
        <v>18</v>
      </c>
      <c r="F70">
        <v>150</v>
      </c>
      <c r="G70">
        <v>0.06</v>
      </c>
      <c r="H70" t="s">
        <v>70</v>
      </c>
      <c r="I70">
        <v>2700</v>
      </c>
      <c r="J70">
        <v>162</v>
      </c>
      <c r="K70">
        <v>2538</v>
      </c>
    </row>
    <row r="71" spans="1:11">
      <c r="A71" t="s">
        <v>134</v>
      </c>
      <c r="B71" s="14">
        <v>43288</v>
      </c>
      <c r="C71" t="s">
        <v>48</v>
      </c>
      <c r="D71" t="s">
        <v>64</v>
      </c>
      <c r="E71">
        <v>20</v>
      </c>
      <c r="F71">
        <v>40</v>
      </c>
      <c r="G71">
        <v>0.1</v>
      </c>
      <c r="H71" t="s">
        <v>72</v>
      </c>
      <c r="I71">
        <v>800</v>
      </c>
      <c r="J71">
        <v>80</v>
      </c>
      <c r="K71">
        <v>720</v>
      </c>
    </row>
    <row r="72" spans="1:11">
      <c r="A72" t="s">
        <v>135</v>
      </c>
      <c r="B72" s="14">
        <v>43288</v>
      </c>
      <c r="C72" t="s">
        <v>44</v>
      </c>
      <c r="D72" t="s">
        <v>60</v>
      </c>
      <c r="E72">
        <v>16</v>
      </c>
      <c r="F72">
        <v>80</v>
      </c>
      <c r="G72">
        <v>0.05</v>
      </c>
      <c r="H72" t="s">
        <v>46</v>
      </c>
      <c r="I72">
        <v>1280</v>
      </c>
      <c r="J72">
        <v>64</v>
      </c>
      <c r="K72">
        <v>1216</v>
      </c>
    </row>
    <row r="73" spans="1:11">
      <c r="A73" t="s">
        <v>136</v>
      </c>
      <c r="B73" s="14">
        <v>43288</v>
      </c>
      <c r="C73" t="s">
        <v>48</v>
      </c>
      <c r="D73" t="s">
        <v>57</v>
      </c>
      <c r="E73">
        <v>4</v>
      </c>
      <c r="F73">
        <v>40</v>
      </c>
      <c r="G73">
        <v>0.06</v>
      </c>
      <c r="H73" t="s">
        <v>50</v>
      </c>
      <c r="I73">
        <v>160</v>
      </c>
      <c r="J73">
        <v>10</v>
      </c>
      <c r="K73">
        <v>150.4</v>
      </c>
    </row>
    <row r="74" spans="1:11">
      <c r="A74" t="s">
        <v>137</v>
      </c>
      <c r="B74" s="14">
        <v>43288</v>
      </c>
      <c r="C74" t="s">
        <v>48</v>
      </c>
      <c r="D74" t="s">
        <v>49</v>
      </c>
      <c r="E74">
        <v>4</v>
      </c>
      <c r="F74">
        <v>40</v>
      </c>
      <c r="G74">
        <v>0.03</v>
      </c>
      <c r="H74" t="s">
        <v>53</v>
      </c>
      <c r="I74">
        <v>160</v>
      </c>
      <c r="J74">
        <v>5</v>
      </c>
      <c r="K74">
        <v>155.2</v>
      </c>
    </row>
    <row r="75" spans="1:11">
      <c r="A75" t="s">
        <v>138</v>
      </c>
      <c r="B75" s="14">
        <v>43288</v>
      </c>
      <c r="C75" t="s">
        <v>48</v>
      </c>
      <c r="D75" t="s">
        <v>49</v>
      </c>
      <c r="E75">
        <v>15</v>
      </c>
      <c r="F75">
        <v>40</v>
      </c>
      <c r="G75">
        <v>0.02</v>
      </c>
      <c r="H75" t="s">
        <v>55</v>
      </c>
      <c r="I75">
        <v>600</v>
      </c>
      <c r="J75">
        <v>12</v>
      </c>
      <c r="K75">
        <v>588</v>
      </c>
    </row>
    <row r="76" spans="1:11">
      <c r="A76" t="s">
        <v>139</v>
      </c>
      <c r="B76" s="14">
        <v>43288</v>
      </c>
      <c r="C76" t="s">
        <v>48</v>
      </c>
      <c r="D76" t="s">
        <v>57</v>
      </c>
      <c r="E76">
        <v>20</v>
      </c>
      <c r="F76">
        <v>40</v>
      </c>
      <c r="G76">
        <v>0.01</v>
      </c>
      <c r="H76" t="s">
        <v>58</v>
      </c>
      <c r="I76">
        <v>800</v>
      </c>
      <c r="J76">
        <v>8</v>
      </c>
      <c r="K76">
        <v>792</v>
      </c>
    </row>
    <row r="77" spans="1:11">
      <c r="A77" t="s">
        <v>140</v>
      </c>
      <c r="B77" s="14">
        <v>43288</v>
      </c>
      <c r="C77" t="s">
        <v>63</v>
      </c>
      <c r="D77" t="s">
        <v>64</v>
      </c>
      <c r="E77">
        <v>14</v>
      </c>
      <c r="F77">
        <v>16</v>
      </c>
      <c r="G77">
        <v>0.06</v>
      </c>
      <c r="H77" t="s">
        <v>61</v>
      </c>
      <c r="I77">
        <v>224</v>
      </c>
      <c r="J77">
        <v>13</v>
      </c>
      <c r="K77">
        <v>210.56</v>
      </c>
    </row>
    <row r="78" spans="1:11">
      <c r="A78" t="s">
        <v>141</v>
      </c>
      <c r="B78" s="14">
        <v>43289</v>
      </c>
      <c r="C78" t="s">
        <v>67</v>
      </c>
      <c r="D78" t="s">
        <v>57</v>
      </c>
      <c r="E78">
        <v>11</v>
      </c>
      <c r="F78">
        <v>150</v>
      </c>
      <c r="G78">
        <v>0.11</v>
      </c>
      <c r="H78" t="s">
        <v>65</v>
      </c>
      <c r="I78">
        <v>1650</v>
      </c>
      <c r="J78">
        <v>182</v>
      </c>
      <c r="K78">
        <v>1468.5</v>
      </c>
    </row>
    <row r="79" spans="1:11">
      <c r="A79" t="s">
        <v>142</v>
      </c>
      <c r="B79" s="14">
        <v>43289</v>
      </c>
      <c r="C79" t="s">
        <v>67</v>
      </c>
      <c r="D79" t="s">
        <v>57</v>
      </c>
      <c r="E79">
        <v>9</v>
      </c>
      <c r="F79">
        <v>150</v>
      </c>
      <c r="G79">
        <v>0.02</v>
      </c>
      <c r="H79" t="s">
        <v>68</v>
      </c>
      <c r="I79">
        <v>1350</v>
      </c>
      <c r="J79">
        <v>27</v>
      </c>
      <c r="K79">
        <v>1323</v>
      </c>
    </row>
    <row r="80" spans="1:11">
      <c r="A80" t="s">
        <v>143</v>
      </c>
      <c r="B80" s="14">
        <v>43289</v>
      </c>
      <c r="C80" t="s">
        <v>63</v>
      </c>
      <c r="D80" t="s">
        <v>64</v>
      </c>
      <c r="E80">
        <v>11</v>
      </c>
      <c r="F80">
        <v>16</v>
      </c>
      <c r="G80">
        <v>0.12</v>
      </c>
      <c r="H80" t="s">
        <v>70</v>
      </c>
      <c r="I80">
        <v>176</v>
      </c>
      <c r="J80">
        <v>21</v>
      </c>
      <c r="K80">
        <v>154.88</v>
      </c>
    </row>
    <row r="81" spans="1:11">
      <c r="A81" t="s">
        <v>144</v>
      </c>
      <c r="B81" s="14">
        <v>43289</v>
      </c>
      <c r="C81" t="s">
        <v>48</v>
      </c>
      <c r="D81" t="s">
        <v>57</v>
      </c>
      <c r="E81">
        <v>13</v>
      </c>
      <c r="F81">
        <v>40</v>
      </c>
      <c r="G81">
        <v>0.02</v>
      </c>
      <c r="H81" t="s">
        <v>72</v>
      </c>
      <c r="I81">
        <v>520</v>
      </c>
      <c r="J81">
        <v>10</v>
      </c>
      <c r="K81">
        <v>509.6</v>
      </c>
    </row>
    <row r="82" spans="1:11">
      <c r="A82" t="s">
        <v>145</v>
      </c>
      <c r="B82" s="14">
        <v>43289</v>
      </c>
      <c r="C82" t="s">
        <v>48</v>
      </c>
      <c r="D82" t="s">
        <v>57</v>
      </c>
      <c r="E82">
        <v>4</v>
      </c>
      <c r="F82">
        <v>40</v>
      </c>
      <c r="G82">
        <v>0.1</v>
      </c>
      <c r="H82" t="s">
        <v>74</v>
      </c>
      <c r="I82">
        <v>160</v>
      </c>
      <c r="J82">
        <v>16</v>
      </c>
      <c r="K82">
        <v>144</v>
      </c>
    </row>
    <row r="83" spans="1:11">
      <c r="A83" t="s">
        <v>146</v>
      </c>
      <c r="B83" s="14">
        <v>43289</v>
      </c>
      <c r="C83" t="s">
        <v>52</v>
      </c>
      <c r="D83" t="s">
        <v>45</v>
      </c>
      <c r="E83">
        <v>3</v>
      </c>
      <c r="F83">
        <v>230</v>
      </c>
      <c r="G83">
        <v>0.11</v>
      </c>
      <c r="H83" t="s">
        <v>76</v>
      </c>
      <c r="I83">
        <v>690</v>
      </c>
      <c r="J83">
        <v>76</v>
      </c>
      <c r="K83">
        <v>614.1</v>
      </c>
    </row>
    <row r="84" spans="1:11">
      <c r="A84" t="s">
        <v>147</v>
      </c>
      <c r="B84" s="14">
        <v>43289</v>
      </c>
      <c r="C84" t="s">
        <v>44</v>
      </c>
      <c r="D84" t="s">
        <v>57</v>
      </c>
      <c r="E84">
        <v>6</v>
      </c>
      <c r="F84">
        <v>80</v>
      </c>
      <c r="G84">
        <v>0.09</v>
      </c>
      <c r="H84" t="s">
        <v>46</v>
      </c>
      <c r="I84">
        <v>480</v>
      </c>
      <c r="J84">
        <v>43</v>
      </c>
      <c r="K84">
        <v>436.8</v>
      </c>
    </row>
    <row r="85" spans="1:11">
      <c r="A85" t="s">
        <v>148</v>
      </c>
      <c r="B85" s="14">
        <v>43289</v>
      </c>
      <c r="C85" t="s">
        <v>67</v>
      </c>
      <c r="D85" t="s">
        <v>45</v>
      </c>
      <c r="E85">
        <v>9</v>
      </c>
      <c r="F85">
        <v>150</v>
      </c>
      <c r="G85">
        <v>0.1</v>
      </c>
      <c r="H85" t="s">
        <v>50</v>
      </c>
      <c r="I85">
        <v>1350</v>
      </c>
      <c r="J85">
        <v>135</v>
      </c>
      <c r="K85">
        <v>1215</v>
      </c>
    </row>
    <row r="86" spans="1:11">
      <c r="A86" t="s">
        <v>149</v>
      </c>
      <c r="B86" s="14">
        <v>43289</v>
      </c>
      <c r="C86" t="s">
        <v>44</v>
      </c>
      <c r="D86" t="s">
        <v>49</v>
      </c>
      <c r="E86">
        <v>14</v>
      </c>
      <c r="F86">
        <v>80</v>
      </c>
      <c r="G86">
        <v>0.11</v>
      </c>
      <c r="H86" t="s">
        <v>53</v>
      </c>
      <c r="I86">
        <v>1120</v>
      </c>
      <c r="J86">
        <v>123</v>
      </c>
      <c r="K86">
        <v>996.8</v>
      </c>
    </row>
    <row r="87" spans="1:11">
      <c r="A87" t="s">
        <v>150</v>
      </c>
      <c r="B87" s="14">
        <v>43289</v>
      </c>
      <c r="C87" t="s">
        <v>44</v>
      </c>
      <c r="D87" t="s">
        <v>45</v>
      </c>
      <c r="E87">
        <v>18</v>
      </c>
      <c r="F87">
        <v>80</v>
      </c>
      <c r="G87">
        <v>0.02</v>
      </c>
      <c r="H87" t="s">
        <v>55</v>
      </c>
      <c r="I87">
        <v>1440</v>
      </c>
      <c r="J87">
        <v>29</v>
      </c>
      <c r="K87">
        <v>1411.2</v>
      </c>
    </row>
    <row r="88" spans="1:11">
      <c r="A88" t="s">
        <v>151</v>
      </c>
      <c r="B88" s="14">
        <v>43289</v>
      </c>
      <c r="C88" t="s">
        <v>48</v>
      </c>
      <c r="D88" t="s">
        <v>45</v>
      </c>
      <c r="E88">
        <v>20</v>
      </c>
      <c r="F88">
        <v>40</v>
      </c>
      <c r="G88">
        <v>0.04</v>
      </c>
      <c r="H88" t="s">
        <v>58</v>
      </c>
      <c r="I88">
        <v>800</v>
      </c>
      <c r="J88">
        <v>32</v>
      </c>
      <c r="K88">
        <v>768</v>
      </c>
    </row>
    <row r="89" spans="1:11">
      <c r="A89" t="s">
        <v>152</v>
      </c>
      <c r="B89" s="14">
        <v>43290</v>
      </c>
      <c r="C89" t="s">
        <v>63</v>
      </c>
      <c r="D89" t="s">
        <v>57</v>
      </c>
      <c r="E89">
        <v>8</v>
      </c>
      <c r="F89">
        <v>16</v>
      </c>
      <c r="G89">
        <v>0.03</v>
      </c>
      <c r="H89" t="s">
        <v>61</v>
      </c>
      <c r="I89">
        <v>128</v>
      </c>
      <c r="J89">
        <v>4</v>
      </c>
      <c r="K89">
        <v>124.16</v>
      </c>
    </row>
    <row r="90" spans="1:11">
      <c r="A90" t="s">
        <v>153</v>
      </c>
      <c r="B90" s="14">
        <v>43290</v>
      </c>
      <c r="C90" t="s">
        <v>44</v>
      </c>
      <c r="D90" t="s">
        <v>49</v>
      </c>
      <c r="E90">
        <v>14</v>
      </c>
      <c r="F90">
        <v>80</v>
      </c>
      <c r="G90">
        <v>0.06</v>
      </c>
      <c r="H90" t="s">
        <v>65</v>
      </c>
      <c r="I90">
        <v>1120</v>
      </c>
      <c r="J90">
        <v>67</v>
      </c>
      <c r="K90">
        <v>1052.8</v>
      </c>
    </row>
    <row r="91" spans="1:11">
      <c r="A91" t="s">
        <v>154</v>
      </c>
      <c r="B91" s="14">
        <v>43290</v>
      </c>
      <c r="C91" t="s">
        <v>67</v>
      </c>
      <c r="D91" t="s">
        <v>45</v>
      </c>
      <c r="E91">
        <v>20</v>
      </c>
      <c r="F91">
        <v>150</v>
      </c>
      <c r="G91">
        <v>0.01</v>
      </c>
      <c r="H91" t="s">
        <v>68</v>
      </c>
      <c r="I91">
        <v>3000</v>
      </c>
      <c r="J91">
        <v>30</v>
      </c>
      <c r="K91">
        <v>2970</v>
      </c>
    </row>
    <row r="92" spans="1:11">
      <c r="A92" t="s">
        <v>155</v>
      </c>
      <c r="B92" s="14">
        <v>43290</v>
      </c>
      <c r="C92" t="s">
        <v>48</v>
      </c>
      <c r="D92" t="s">
        <v>60</v>
      </c>
      <c r="E92">
        <v>15</v>
      </c>
      <c r="F92">
        <v>40</v>
      </c>
      <c r="G92">
        <v>0.03</v>
      </c>
      <c r="H92" t="s">
        <v>70</v>
      </c>
      <c r="I92">
        <v>600</v>
      </c>
      <c r="J92">
        <v>18</v>
      </c>
      <c r="K92">
        <v>582</v>
      </c>
    </row>
    <row r="93" spans="1:11">
      <c r="A93" t="s">
        <v>156</v>
      </c>
      <c r="B93" s="14">
        <v>43290</v>
      </c>
      <c r="C93" t="s">
        <v>48</v>
      </c>
      <c r="D93" t="s">
        <v>49</v>
      </c>
      <c r="E93">
        <v>18</v>
      </c>
      <c r="F93">
        <v>40</v>
      </c>
      <c r="G93">
        <v>0.08</v>
      </c>
      <c r="H93" t="s">
        <v>72</v>
      </c>
      <c r="I93">
        <v>720</v>
      </c>
      <c r="J93">
        <v>58</v>
      </c>
      <c r="K93">
        <v>662.4</v>
      </c>
    </row>
    <row r="94" spans="1:11">
      <c r="A94" t="s">
        <v>157</v>
      </c>
      <c r="B94" s="14">
        <v>43290</v>
      </c>
      <c r="C94" t="s">
        <v>48</v>
      </c>
      <c r="D94" t="s">
        <v>64</v>
      </c>
      <c r="E94">
        <v>11</v>
      </c>
      <c r="F94">
        <v>40</v>
      </c>
      <c r="G94">
        <v>0.05</v>
      </c>
      <c r="H94" t="s">
        <v>74</v>
      </c>
      <c r="I94">
        <v>440</v>
      </c>
      <c r="J94">
        <v>22</v>
      </c>
      <c r="K94">
        <v>418</v>
      </c>
    </row>
    <row r="95" spans="1:11">
      <c r="A95" t="s">
        <v>158</v>
      </c>
      <c r="B95" s="14">
        <v>43291</v>
      </c>
      <c r="C95" t="s">
        <v>48</v>
      </c>
      <c r="D95" t="s">
        <v>64</v>
      </c>
      <c r="E95">
        <v>23</v>
      </c>
      <c r="F95">
        <v>40</v>
      </c>
      <c r="G95">
        <v>0.04</v>
      </c>
      <c r="H95" t="s">
        <v>76</v>
      </c>
      <c r="I95">
        <v>920</v>
      </c>
      <c r="J95">
        <v>37</v>
      </c>
      <c r="K95">
        <v>883.2</v>
      </c>
    </row>
    <row r="96" spans="1:11">
      <c r="A96" t="s">
        <v>159</v>
      </c>
      <c r="B96" s="14">
        <v>43291</v>
      </c>
      <c r="C96" t="s">
        <v>63</v>
      </c>
      <c r="D96" t="s">
        <v>64</v>
      </c>
      <c r="E96">
        <v>17</v>
      </c>
      <c r="F96">
        <v>16</v>
      </c>
      <c r="G96">
        <v>0.1</v>
      </c>
      <c r="H96" t="s">
        <v>46</v>
      </c>
      <c r="I96">
        <v>272</v>
      </c>
      <c r="J96">
        <v>27</v>
      </c>
      <c r="K96">
        <v>244.8</v>
      </c>
    </row>
    <row r="97" spans="1:11">
      <c r="A97" t="s">
        <v>160</v>
      </c>
      <c r="B97" s="14">
        <v>43291</v>
      </c>
      <c r="C97" t="s">
        <v>63</v>
      </c>
      <c r="D97" t="s">
        <v>49</v>
      </c>
      <c r="E97">
        <v>4</v>
      </c>
      <c r="F97">
        <v>16</v>
      </c>
      <c r="G97">
        <v>0.07</v>
      </c>
      <c r="H97" t="s">
        <v>50</v>
      </c>
      <c r="I97">
        <v>64</v>
      </c>
      <c r="J97">
        <v>4</v>
      </c>
      <c r="K97">
        <v>59.52</v>
      </c>
    </row>
    <row r="98" spans="1:11">
      <c r="A98" t="s">
        <v>161</v>
      </c>
      <c r="B98" s="14">
        <v>43291</v>
      </c>
      <c r="C98" t="s">
        <v>44</v>
      </c>
      <c r="D98" t="s">
        <v>57</v>
      </c>
      <c r="E98">
        <v>23</v>
      </c>
      <c r="F98">
        <v>80</v>
      </c>
      <c r="G98">
        <v>0.05</v>
      </c>
      <c r="H98" t="s">
        <v>53</v>
      </c>
      <c r="I98">
        <v>1840</v>
      </c>
      <c r="J98">
        <v>92</v>
      </c>
      <c r="K98">
        <v>1748</v>
      </c>
    </row>
    <row r="99" spans="1:11">
      <c r="A99" t="s">
        <v>162</v>
      </c>
      <c r="B99" s="14">
        <v>43291</v>
      </c>
      <c r="C99" t="s">
        <v>52</v>
      </c>
      <c r="D99" t="s">
        <v>57</v>
      </c>
      <c r="E99">
        <v>10</v>
      </c>
      <c r="F99">
        <v>230</v>
      </c>
      <c r="G99">
        <v>0.02</v>
      </c>
      <c r="H99" t="s">
        <v>55</v>
      </c>
      <c r="I99">
        <v>2300</v>
      </c>
      <c r="J99">
        <v>46</v>
      </c>
      <c r="K99">
        <v>2254</v>
      </c>
    </row>
    <row r="100" spans="1:11">
      <c r="A100" t="s">
        <v>163</v>
      </c>
      <c r="B100" s="14">
        <v>43291</v>
      </c>
      <c r="C100" t="s">
        <v>63</v>
      </c>
      <c r="D100" t="s">
        <v>57</v>
      </c>
      <c r="E100">
        <v>14</v>
      </c>
      <c r="F100">
        <v>16</v>
      </c>
      <c r="G100">
        <v>0.01</v>
      </c>
      <c r="H100" t="s">
        <v>58</v>
      </c>
      <c r="I100">
        <v>224</v>
      </c>
      <c r="J100">
        <v>2</v>
      </c>
      <c r="K100">
        <v>221.76</v>
      </c>
    </row>
    <row r="101" spans="1:11">
      <c r="A101" t="s">
        <v>164</v>
      </c>
      <c r="B101" s="14">
        <v>43291</v>
      </c>
      <c r="C101" t="s">
        <v>48</v>
      </c>
      <c r="D101" t="s">
        <v>49</v>
      </c>
      <c r="E101">
        <v>19</v>
      </c>
      <c r="F101">
        <v>40</v>
      </c>
      <c r="G101">
        <v>0.1</v>
      </c>
      <c r="H101" t="s">
        <v>61</v>
      </c>
      <c r="I101">
        <v>760</v>
      </c>
      <c r="J101">
        <v>76</v>
      </c>
      <c r="K101">
        <v>684</v>
      </c>
    </row>
    <row r="102" spans="1:11">
      <c r="A102" t="s">
        <v>165</v>
      </c>
      <c r="B102" s="14">
        <v>43291</v>
      </c>
      <c r="C102" t="s">
        <v>44</v>
      </c>
      <c r="D102" t="s">
        <v>64</v>
      </c>
      <c r="E102">
        <v>22</v>
      </c>
      <c r="F102">
        <v>80</v>
      </c>
      <c r="G102">
        <v>0.09</v>
      </c>
      <c r="H102" t="s">
        <v>65</v>
      </c>
      <c r="I102">
        <v>1760</v>
      </c>
      <c r="J102">
        <v>158</v>
      </c>
      <c r="K102">
        <v>1601.6</v>
      </c>
    </row>
    <row r="103" spans="1:11">
      <c r="A103" t="s">
        <v>166</v>
      </c>
      <c r="B103" s="14">
        <v>43291</v>
      </c>
      <c r="C103" t="s">
        <v>63</v>
      </c>
      <c r="D103" t="s">
        <v>45</v>
      </c>
      <c r="E103">
        <v>18</v>
      </c>
      <c r="F103">
        <v>16</v>
      </c>
      <c r="G103">
        <v>0.05</v>
      </c>
      <c r="H103" t="s">
        <v>68</v>
      </c>
      <c r="I103">
        <v>288</v>
      </c>
      <c r="J103">
        <v>14</v>
      </c>
      <c r="K103">
        <v>273.6</v>
      </c>
    </row>
    <row r="104" spans="1:11">
      <c r="A104" t="s">
        <v>167</v>
      </c>
      <c r="B104" s="14">
        <v>43291</v>
      </c>
      <c r="C104" t="s">
        <v>48</v>
      </c>
      <c r="D104" t="s">
        <v>45</v>
      </c>
      <c r="E104">
        <v>18</v>
      </c>
      <c r="F104">
        <v>40</v>
      </c>
      <c r="G104">
        <v>0.11</v>
      </c>
      <c r="H104" t="s">
        <v>70</v>
      </c>
      <c r="I104">
        <v>720</v>
      </c>
      <c r="J104">
        <v>79</v>
      </c>
      <c r="K104">
        <v>640.8</v>
      </c>
    </row>
    <row r="105" spans="1:11">
      <c r="A105" t="s">
        <v>168</v>
      </c>
      <c r="B105" s="14">
        <v>43291</v>
      </c>
      <c r="C105" t="s">
        <v>48</v>
      </c>
      <c r="D105" t="s">
        <v>64</v>
      </c>
      <c r="E105">
        <v>21</v>
      </c>
      <c r="F105">
        <v>40</v>
      </c>
      <c r="G105">
        <v>0.01</v>
      </c>
      <c r="H105" t="s">
        <v>72</v>
      </c>
      <c r="I105">
        <v>840</v>
      </c>
      <c r="J105">
        <v>8</v>
      </c>
      <c r="K105">
        <v>831.6</v>
      </c>
    </row>
    <row r="106" spans="1:11">
      <c r="A106" t="s">
        <v>169</v>
      </c>
      <c r="B106" s="14">
        <v>43291</v>
      </c>
      <c r="C106" t="s">
        <v>44</v>
      </c>
      <c r="D106" t="s">
        <v>45</v>
      </c>
      <c r="E106">
        <v>6</v>
      </c>
      <c r="F106">
        <v>80</v>
      </c>
      <c r="G106">
        <v>0.07</v>
      </c>
      <c r="H106" t="s">
        <v>74</v>
      </c>
      <c r="I106">
        <v>480</v>
      </c>
      <c r="J106">
        <v>34</v>
      </c>
      <c r="K106">
        <v>446.4</v>
      </c>
    </row>
    <row r="107" spans="1:11">
      <c r="A107" t="s">
        <v>170</v>
      </c>
      <c r="B107" s="14">
        <v>43291</v>
      </c>
      <c r="C107" t="s">
        <v>67</v>
      </c>
      <c r="D107" t="s">
        <v>64</v>
      </c>
      <c r="E107">
        <v>17</v>
      </c>
      <c r="F107">
        <v>150</v>
      </c>
      <c r="G107">
        <v>0.02</v>
      </c>
      <c r="H107" t="s">
        <v>76</v>
      </c>
      <c r="I107">
        <v>2550</v>
      </c>
      <c r="J107">
        <v>51</v>
      </c>
      <c r="K107">
        <v>2499</v>
      </c>
    </row>
    <row r="108" spans="1:11">
      <c r="A108" t="s">
        <v>171</v>
      </c>
      <c r="B108" s="14">
        <v>43291</v>
      </c>
      <c r="C108" t="s">
        <v>44</v>
      </c>
      <c r="D108" t="s">
        <v>57</v>
      </c>
      <c r="E108">
        <v>16</v>
      </c>
      <c r="F108">
        <v>80</v>
      </c>
      <c r="G108">
        <v>0.02</v>
      </c>
      <c r="H108" t="s">
        <v>46</v>
      </c>
      <c r="I108">
        <v>1280</v>
      </c>
      <c r="J108">
        <v>26</v>
      </c>
      <c r="K108">
        <v>1254.4</v>
      </c>
    </row>
    <row r="109" spans="1:11">
      <c r="A109" t="s">
        <v>172</v>
      </c>
      <c r="B109" s="14">
        <v>43291</v>
      </c>
      <c r="C109" t="s">
        <v>48</v>
      </c>
      <c r="D109" t="s">
        <v>49</v>
      </c>
      <c r="E109">
        <v>15</v>
      </c>
      <c r="F109">
        <v>40</v>
      </c>
      <c r="G109">
        <v>0.04</v>
      </c>
      <c r="H109" t="s">
        <v>50</v>
      </c>
      <c r="I109">
        <v>600</v>
      </c>
      <c r="J109">
        <v>24</v>
      </c>
      <c r="K109">
        <v>576</v>
      </c>
    </row>
    <row r="110" spans="1:11">
      <c r="A110" t="s">
        <v>173</v>
      </c>
      <c r="B110" s="14">
        <v>43291</v>
      </c>
      <c r="C110" t="s">
        <v>52</v>
      </c>
      <c r="D110" t="s">
        <v>60</v>
      </c>
      <c r="E110">
        <v>2</v>
      </c>
      <c r="F110">
        <v>230</v>
      </c>
      <c r="G110">
        <v>0.08</v>
      </c>
      <c r="H110" t="s">
        <v>53</v>
      </c>
      <c r="I110">
        <v>460</v>
      </c>
      <c r="J110">
        <v>37</v>
      </c>
      <c r="K110">
        <v>423.2</v>
      </c>
    </row>
    <row r="111" spans="1:11">
      <c r="A111" t="s">
        <v>174</v>
      </c>
      <c r="B111" s="14">
        <v>43291</v>
      </c>
      <c r="C111" t="s">
        <v>48</v>
      </c>
      <c r="D111" t="s">
        <v>64</v>
      </c>
      <c r="E111">
        <v>3</v>
      </c>
      <c r="F111">
        <v>40</v>
      </c>
      <c r="G111">
        <v>0.03</v>
      </c>
      <c r="H111" t="s">
        <v>55</v>
      </c>
      <c r="I111">
        <v>120</v>
      </c>
      <c r="J111">
        <v>4</v>
      </c>
      <c r="K111">
        <v>116.4</v>
      </c>
    </row>
    <row r="112" spans="1:11">
      <c r="A112" t="s">
        <v>175</v>
      </c>
      <c r="B112" s="14">
        <v>43291</v>
      </c>
      <c r="C112" t="s">
        <v>52</v>
      </c>
      <c r="D112" t="s">
        <v>64</v>
      </c>
      <c r="E112">
        <v>21</v>
      </c>
      <c r="F112">
        <v>230</v>
      </c>
      <c r="G112">
        <v>0.05</v>
      </c>
      <c r="H112" t="s">
        <v>58</v>
      </c>
      <c r="I112">
        <v>4830</v>
      </c>
      <c r="J112">
        <v>242</v>
      </c>
      <c r="K112">
        <v>4588.5</v>
      </c>
    </row>
    <row r="113" spans="1:11">
      <c r="A113" t="s">
        <v>176</v>
      </c>
      <c r="B113" s="14">
        <v>43291</v>
      </c>
      <c r="C113" t="s">
        <v>67</v>
      </c>
      <c r="D113" t="s">
        <v>45</v>
      </c>
      <c r="E113">
        <v>11</v>
      </c>
      <c r="F113">
        <v>150</v>
      </c>
      <c r="G113">
        <v>0.05</v>
      </c>
      <c r="H113" t="s">
        <v>61</v>
      </c>
      <c r="I113">
        <v>1650</v>
      </c>
      <c r="J113">
        <v>82</v>
      </c>
      <c r="K113">
        <v>1567.5</v>
      </c>
    </row>
    <row r="114" spans="1:11">
      <c r="A114" t="s">
        <v>177</v>
      </c>
      <c r="B114" s="14">
        <v>43292</v>
      </c>
      <c r="C114" t="s">
        <v>67</v>
      </c>
      <c r="D114" t="s">
        <v>49</v>
      </c>
      <c r="E114">
        <v>15</v>
      </c>
      <c r="F114">
        <v>150</v>
      </c>
      <c r="G114">
        <v>0.02</v>
      </c>
      <c r="H114" t="s">
        <v>65</v>
      </c>
      <c r="I114">
        <v>2250</v>
      </c>
      <c r="J114">
        <v>45</v>
      </c>
      <c r="K114">
        <v>2205</v>
      </c>
    </row>
    <row r="115" spans="1:11">
      <c r="A115" t="s">
        <v>178</v>
      </c>
      <c r="B115" s="14">
        <v>43292</v>
      </c>
      <c r="C115" t="s">
        <v>44</v>
      </c>
      <c r="D115" t="s">
        <v>60</v>
      </c>
      <c r="E115">
        <v>16</v>
      </c>
      <c r="F115">
        <v>80</v>
      </c>
      <c r="G115">
        <v>0.1</v>
      </c>
      <c r="H115" t="s">
        <v>68</v>
      </c>
      <c r="I115">
        <v>1280</v>
      </c>
      <c r="J115">
        <v>128</v>
      </c>
      <c r="K115">
        <v>1152</v>
      </c>
    </row>
    <row r="116" spans="1:11">
      <c r="A116" t="s">
        <v>179</v>
      </c>
      <c r="B116" s="14">
        <v>43292</v>
      </c>
      <c r="C116" t="s">
        <v>52</v>
      </c>
      <c r="D116" t="s">
        <v>64</v>
      </c>
      <c r="E116">
        <v>17</v>
      </c>
      <c r="F116">
        <v>230</v>
      </c>
      <c r="G116">
        <v>0.11</v>
      </c>
      <c r="H116" t="s">
        <v>70</v>
      </c>
      <c r="I116">
        <v>3910</v>
      </c>
      <c r="J116">
        <v>430</v>
      </c>
      <c r="K116">
        <v>3479.9</v>
      </c>
    </row>
    <row r="117" spans="1:11">
      <c r="A117" t="s">
        <v>180</v>
      </c>
      <c r="B117" s="14">
        <v>43292</v>
      </c>
      <c r="C117" t="s">
        <v>48</v>
      </c>
      <c r="D117" t="s">
        <v>64</v>
      </c>
      <c r="E117">
        <v>16</v>
      </c>
      <c r="F117">
        <v>40</v>
      </c>
      <c r="G117">
        <v>0.11</v>
      </c>
      <c r="H117" t="s">
        <v>72</v>
      </c>
      <c r="I117">
        <v>640</v>
      </c>
      <c r="J117">
        <v>70</v>
      </c>
      <c r="K117">
        <v>569.6</v>
      </c>
    </row>
    <row r="118" spans="1:11">
      <c r="A118" t="s">
        <v>181</v>
      </c>
      <c r="B118" s="14">
        <v>43292</v>
      </c>
      <c r="C118" t="s">
        <v>44</v>
      </c>
      <c r="D118" t="s">
        <v>60</v>
      </c>
      <c r="E118">
        <v>2</v>
      </c>
      <c r="F118">
        <v>80</v>
      </c>
      <c r="G118">
        <v>0.08</v>
      </c>
      <c r="H118" t="s">
        <v>74</v>
      </c>
      <c r="I118">
        <v>160</v>
      </c>
      <c r="J118">
        <v>13</v>
      </c>
      <c r="K118">
        <v>147.2</v>
      </c>
    </row>
    <row r="119" spans="1:11">
      <c r="A119" t="s">
        <v>182</v>
      </c>
      <c r="B119" s="14">
        <v>43292</v>
      </c>
      <c r="C119" t="s">
        <v>67</v>
      </c>
      <c r="D119" t="s">
        <v>49</v>
      </c>
      <c r="E119">
        <v>22</v>
      </c>
      <c r="F119">
        <v>150</v>
      </c>
      <c r="G119">
        <v>0.02</v>
      </c>
      <c r="H119" t="s">
        <v>76</v>
      </c>
      <c r="I119">
        <v>3300</v>
      </c>
      <c r="J119">
        <v>66</v>
      </c>
      <c r="K119">
        <v>3234</v>
      </c>
    </row>
    <row r="120" spans="1:11">
      <c r="A120" t="s">
        <v>183</v>
      </c>
      <c r="B120" s="14">
        <v>43292</v>
      </c>
      <c r="C120" t="s">
        <v>44</v>
      </c>
      <c r="D120" t="s">
        <v>45</v>
      </c>
      <c r="E120">
        <v>16</v>
      </c>
      <c r="F120">
        <v>80</v>
      </c>
      <c r="G120">
        <v>0.03</v>
      </c>
      <c r="H120" t="s">
        <v>46</v>
      </c>
      <c r="I120">
        <v>1280</v>
      </c>
      <c r="J120">
        <v>38</v>
      </c>
      <c r="K120">
        <v>1241.6</v>
      </c>
    </row>
    <row r="121" spans="1:11">
      <c r="A121" t="s">
        <v>184</v>
      </c>
      <c r="B121" s="14">
        <v>43293</v>
      </c>
      <c r="C121" t="s">
        <v>63</v>
      </c>
      <c r="D121" t="s">
        <v>45</v>
      </c>
      <c r="E121">
        <v>20</v>
      </c>
      <c r="F121">
        <v>16</v>
      </c>
      <c r="G121">
        <v>0.11</v>
      </c>
      <c r="H121" t="s">
        <v>50</v>
      </c>
      <c r="I121">
        <v>320</v>
      </c>
      <c r="J121">
        <v>35</v>
      </c>
      <c r="K121">
        <v>284.8</v>
      </c>
    </row>
    <row r="122" spans="1:11">
      <c r="A122" t="s">
        <v>185</v>
      </c>
      <c r="B122" s="14">
        <v>43293</v>
      </c>
      <c r="C122" t="s">
        <v>44</v>
      </c>
      <c r="D122" t="s">
        <v>64</v>
      </c>
      <c r="E122">
        <v>9</v>
      </c>
      <c r="F122">
        <v>80</v>
      </c>
      <c r="G122">
        <v>0.07</v>
      </c>
      <c r="H122" t="s">
        <v>53</v>
      </c>
      <c r="I122">
        <v>720</v>
      </c>
      <c r="J122">
        <v>50</v>
      </c>
      <c r="K122">
        <v>669.6</v>
      </c>
    </row>
    <row r="123" spans="1:11">
      <c r="A123" t="s">
        <v>186</v>
      </c>
      <c r="B123" s="14">
        <v>43293</v>
      </c>
      <c r="C123" t="s">
        <v>52</v>
      </c>
      <c r="D123" t="s">
        <v>64</v>
      </c>
      <c r="E123">
        <v>5</v>
      </c>
      <c r="F123">
        <v>230</v>
      </c>
      <c r="G123">
        <v>0.12</v>
      </c>
      <c r="H123" t="s">
        <v>55</v>
      </c>
      <c r="I123">
        <v>1150</v>
      </c>
      <c r="J123">
        <v>138</v>
      </c>
      <c r="K123">
        <v>1012</v>
      </c>
    </row>
    <row r="124" spans="1:11">
      <c r="A124" t="s">
        <v>187</v>
      </c>
      <c r="B124" s="14">
        <v>43293</v>
      </c>
      <c r="C124" t="s">
        <v>63</v>
      </c>
      <c r="D124" t="s">
        <v>45</v>
      </c>
      <c r="E124">
        <v>20</v>
      </c>
      <c r="F124">
        <v>16</v>
      </c>
      <c r="G124">
        <v>0.01</v>
      </c>
      <c r="H124" t="s">
        <v>58</v>
      </c>
      <c r="I124">
        <v>320</v>
      </c>
      <c r="J124">
        <v>3</v>
      </c>
      <c r="K124">
        <v>316.8</v>
      </c>
    </row>
    <row r="125" spans="1:11">
      <c r="A125" t="s">
        <v>188</v>
      </c>
      <c r="B125" s="14">
        <v>43293</v>
      </c>
      <c r="C125" t="s">
        <v>63</v>
      </c>
      <c r="D125" t="s">
        <v>45</v>
      </c>
      <c r="E125">
        <v>16</v>
      </c>
      <c r="F125">
        <v>16</v>
      </c>
      <c r="G125">
        <v>0.03</v>
      </c>
      <c r="H125" t="s">
        <v>61</v>
      </c>
      <c r="I125">
        <v>256</v>
      </c>
      <c r="J125">
        <v>8</v>
      </c>
      <c r="K125">
        <v>248.32</v>
      </c>
    </row>
    <row r="126" spans="1:11">
      <c r="A126" t="s">
        <v>189</v>
      </c>
      <c r="B126" s="14">
        <v>43293</v>
      </c>
      <c r="C126" t="s">
        <v>67</v>
      </c>
      <c r="D126" t="s">
        <v>60</v>
      </c>
      <c r="E126">
        <v>15</v>
      </c>
      <c r="F126">
        <v>150</v>
      </c>
      <c r="G126">
        <v>0.05</v>
      </c>
      <c r="H126" t="s">
        <v>65</v>
      </c>
      <c r="I126">
        <v>2250</v>
      </c>
      <c r="J126">
        <v>112</v>
      </c>
      <c r="K126">
        <v>2137.5</v>
      </c>
    </row>
    <row r="127" spans="1:11">
      <c r="A127" t="s">
        <v>190</v>
      </c>
      <c r="B127" s="14">
        <v>43293</v>
      </c>
      <c r="C127" t="s">
        <v>52</v>
      </c>
      <c r="D127" t="s">
        <v>49</v>
      </c>
      <c r="E127">
        <v>19</v>
      </c>
      <c r="F127">
        <v>230</v>
      </c>
      <c r="G127">
        <v>0.11</v>
      </c>
      <c r="H127" t="s">
        <v>68</v>
      </c>
      <c r="I127">
        <v>4370</v>
      </c>
      <c r="J127">
        <v>481</v>
      </c>
      <c r="K127">
        <v>3889.3</v>
      </c>
    </row>
    <row r="128" spans="1:11">
      <c r="A128" t="s">
        <v>191</v>
      </c>
      <c r="B128" s="14">
        <v>43294</v>
      </c>
      <c r="C128" t="s">
        <v>67</v>
      </c>
      <c r="D128" t="s">
        <v>57</v>
      </c>
      <c r="E128">
        <v>2</v>
      </c>
      <c r="F128">
        <v>150</v>
      </c>
      <c r="G128">
        <v>0.02</v>
      </c>
      <c r="H128" t="s">
        <v>70</v>
      </c>
      <c r="I128">
        <v>300</v>
      </c>
      <c r="J128">
        <v>6</v>
      </c>
      <c r="K128">
        <v>294</v>
      </c>
    </row>
    <row r="129" spans="1:11">
      <c r="A129" t="s">
        <v>192</v>
      </c>
      <c r="B129" s="14">
        <v>43294</v>
      </c>
      <c r="C129" t="s">
        <v>44</v>
      </c>
      <c r="D129" t="s">
        <v>64</v>
      </c>
      <c r="E129">
        <v>16</v>
      </c>
      <c r="F129">
        <v>80</v>
      </c>
      <c r="G129">
        <v>0.05</v>
      </c>
      <c r="H129" t="s">
        <v>72</v>
      </c>
      <c r="I129">
        <v>1280</v>
      </c>
      <c r="J129">
        <v>64</v>
      </c>
      <c r="K129">
        <v>1216</v>
      </c>
    </row>
    <row r="130" spans="1:11">
      <c r="A130" t="s">
        <v>193</v>
      </c>
      <c r="B130" s="14">
        <v>43294</v>
      </c>
      <c r="C130" t="s">
        <v>48</v>
      </c>
      <c r="D130" t="s">
        <v>57</v>
      </c>
      <c r="E130">
        <v>2</v>
      </c>
      <c r="F130">
        <v>40</v>
      </c>
      <c r="G130">
        <v>0.03</v>
      </c>
      <c r="H130" t="s">
        <v>74</v>
      </c>
      <c r="I130">
        <v>80</v>
      </c>
      <c r="J130">
        <v>2</v>
      </c>
      <c r="K130">
        <v>77.6</v>
      </c>
    </row>
    <row r="131" spans="1:11">
      <c r="A131" t="s">
        <v>194</v>
      </c>
      <c r="B131" s="14">
        <v>43294</v>
      </c>
      <c r="C131" t="s">
        <v>44</v>
      </c>
      <c r="D131" t="s">
        <v>49</v>
      </c>
      <c r="E131">
        <v>5</v>
      </c>
      <c r="F131">
        <v>80</v>
      </c>
      <c r="G131">
        <v>0.04</v>
      </c>
      <c r="H131" t="s">
        <v>76</v>
      </c>
      <c r="I131">
        <v>400</v>
      </c>
      <c r="J131">
        <v>16</v>
      </c>
      <c r="K131">
        <v>384</v>
      </c>
    </row>
    <row r="132" spans="1:11">
      <c r="A132" t="s">
        <v>195</v>
      </c>
      <c r="B132" s="14">
        <v>43294</v>
      </c>
      <c r="C132" t="s">
        <v>52</v>
      </c>
      <c r="D132" t="s">
        <v>60</v>
      </c>
      <c r="E132">
        <v>17</v>
      </c>
      <c r="F132">
        <v>230</v>
      </c>
      <c r="G132">
        <v>0.12</v>
      </c>
      <c r="H132" t="s">
        <v>46</v>
      </c>
      <c r="I132">
        <v>3910</v>
      </c>
      <c r="J132">
        <v>469</v>
      </c>
      <c r="K132">
        <v>3440.8</v>
      </c>
    </row>
    <row r="133" spans="1:11">
      <c r="A133" t="s">
        <v>196</v>
      </c>
      <c r="B133" s="14">
        <v>43294</v>
      </c>
      <c r="C133" t="s">
        <v>44</v>
      </c>
      <c r="D133" t="s">
        <v>45</v>
      </c>
      <c r="E133">
        <v>8</v>
      </c>
      <c r="F133">
        <v>80</v>
      </c>
      <c r="G133">
        <v>0.08</v>
      </c>
      <c r="H133" t="s">
        <v>50</v>
      </c>
      <c r="I133">
        <v>640</v>
      </c>
      <c r="J133">
        <v>51</v>
      </c>
      <c r="K133">
        <v>588.8</v>
      </c>
    </row>
    <row r="134" spans="1:11">
      <c r="A134" t="s">
        <v>197</v>
      </c>
      <c r="B134" s="14">
        <v>43294</v>
      </c>
      <c r="C134" t="s">
        <v>48</v>
      </c>
      <c r="D134" t="s">
        <v>49</v>
      </c>
      <c r="E134">
        <v>4</v>
      </c>
      <c r="F134">
        <v>40</v>
      </c>
      <c r="G134">
        <v>0.06</v>
      </c>
      <c r="H134" t="s">
        <v>53</v>
      </c>
      <c r="I134">
        <v>160</v>
      </c>
      <c r="J134">
        <v>10</v>
      </c>
      <c r="K134">
        <v>150.4</v>
      </c>
    </row>
    <row r="135" spans="1:11">
      <c r="A135" t="s">
        <v>198</v>
      </c>
      <c r="B135" s="14">
        <v>43294</v>
      </c>
      <c r="C135" t="s">
        <v>63</v>
      </c>
      <c r="D135" t="s">
        <v>57</v>
      </c>
      <c r="E135">
        <v>17</v>
      </c>
      <c r="F135">
        <v>16</v>
      </c>
      <c r="G135">
        <v>0.05</v>
      </c>
      <c r="H135" t="s">
        <v>55</v>
      </c>
      <c r="I135">
        <v>272</v>
      </c>
      <c r="J135">
        <v>14</v>
      </c>
      <c r="K135">
        <v>258.4</v>
      </c>
    </row>
    <row r="136" spans="1:11">
      <c r="A136" t="s">
        <v>199</v>
      </c>
      <c r="B136" s="14">
        <v>43294</v>
      </c>
      <c r="C136" t="s">
        <v>52</v>
      </c>
      <c r="D136" t="s">
        <v>60</v>
      </c>
      <c r="E136">
        <v>8</v>
      </c>
      <c r="F136">
        <v>230</v>
      </c>
      <c r="G136">
        <v>0.01</v>
      </c>
      <c r="H136" t="s">
        <v>58</v>
      </c>
      <c r="I136">
        <v>1840</v>
      </c>
      <c r="J136">
        <v>18</v>
      </c>
      <c r="K136">
        <v>1821.6</v>
      </c>
    </row>
    <row r="137" spans="1:11">
      <c r="A137" t="s">
        <v>200</v>
      </c>
      <c r="B137" s="14">
        <v>43294</v>
      </c>
      <c r="C137" t="s">
        <v>63</v>
      </c>
      <c r="D137" t="s">
        <v>64</v>
      </c>
      <c r="E137">
        <v>19</v>
      </c>
      <c r="F137">
        <v>16</v>
      </c>
      <c r="G137">
        <v>0.02</v>
      </c>
      <c r="H137" t="s">
        <v>61</v>
      </c>
      <c r="I137">
        <v>304</v>
      </c>
      <c r="J137">
        <v>6</v>
      </c>
      <c r="K137">
        <v>297.92</v>
      </c>
    </row>
    <row r="138" spans="1:11">
      <c r="A138" t="s">
        <v>201</v>
      </c>
      <c r="B138" s="14">
        <v>43295</v>
      </c>
      <c r="C138" t="s">
        <v>48</v>
      </c>
      <c r="D138" t="s">
        <v>45</v>
      </c>
      <c r="E138">
        <v>18</v>
      </c>
      <c r="F138">
        <v>40</v>
      </c>
      <c r="G138">
        <v>0.06</v>
      </c>
      <c r="H138" t="s">
        <v>65</v>
      </c>
      <c r="I138">
        <v>720</v>
      </c>
      <c r="J138">
        <v>43</v>
      </c>
      <c r="K138">
        <v>676.8</v>
      </c>
    </row>
    <row r="139" spans="1:11">
      <c r="A139" t="s">
        <v>202</v>
      </c>
      <c r="B139" s="14">
        <v>43295</v>
      </c>
      <c r="C139" t="s">
        <v>67</v>
      </c>
      <c r="D139" t="s">
        <v>64</v>
      </c>
      <c r="E139">
        <v>23</v>
      </c>
      <c r="F139">
        <v>150</v>
      </c>
      <c r="G139">
        <v>0.08</v>
      </c>
      <c r="H139" t="s">
        <v>68</v>
      </c>
      <c r="I139">
        <v>3450</v>
      </c>
      <c r="J139">
        <v>276</v>
      </c>
      <c r="K139">
        <v>3174</v>
      </c>
    </row>
    <row r="140" spans="1:11">
      <c r="A140" t="s">
        <v>203</v>
      </c>
      <c r="B140" s="14">
        <v>43295</v>
      </c>
      <c r="C140" t="s">
        <v>52</v>
      </c>
      <c r="D140" t="s">
        <v>45</v>
      </c>
      <c r="E140">
        <v>5</v>
      </c>
      <c r="F140">
        <v>230</v>
      </c>
      <c r="G140">
        <v>0.1</v>
      </c>
      <c r="H140" t="s">
        <v>70</v>
      </c>
      <c r="I140">
        <v>1150</v>
      </c>
      <c r="J140">
        <v>115</v>
      </c>
      <c r="K140">
        <v>1035</v>
      </c>
    </row>
    <row r="141" spans="1:11">
      <c r="A141" t="s">
        <v>204</v>
      </c>
      <c r="B141" s="14">
        <v>43295</v>
      </c>
      <c r="C141" t="s">
        <v>44</v>
      </c>
      <c r="D141" t="s">
        <v>60</v>
      </c>
      <c r="E141">
        <v>21</v>
      </c>
      <c r="F141">
        <v>80</v>
      </c>
      <c r="G141">
        <v>0.02</v>
      </c>
      <c r="H141" t="s">
        <v>72</v>
      </c>
      <c r="I141">
        <v>1680</v>
      </c>
      <c r="J141">
        <v>34</v>
      </c>
      <c r="K141">
        <v>1646.4</v>
      </c>
    </row>
    <row r="142" spans="1:11">
      <c r="A142" t="s">
        <v>205</v>
      </c>
      <c r="B142" s="14">
        <v>43295</v>
      </c>
      <c r="C142" t="s">
        <v>63</v>
      </c>
      <c r="D142" t="s">
        <v>57</v>
      </c>
      <c r="E142">
        <v>6</v>
      </c>
      <c r="F142">
        <v>16</v>
      </c>
      <c r="G142">
        <v>0.07</v>
      </c>
      <c r="H142" t="s">
        <v>46</v>
      </c>
      <c r="I142">
        <v>96</v>
      </c>
      <c r="J142">
        <v>7</v>
      </c>
      <c r="K142">
        <v>89.28</v>
      </c>
    </row>
    <row r="143" spans="1:11">
      <c r="A143" t="s">
        <v>206</v>
      </c>
      <c r="B143" s="14">
        <v>43295</v>
      </c>
      <c r="C143" t="s">
        <v>48</v>
      </c>
      <c r="D143" t="s">
        <v>45</v>
      </c>
      <c r="E143">
        <v>9</v>
      </c>
      <c r="F143">
        <v>40</v>
      </c>
      <c r="G143">
        <v>0.01</v>
      </c>
      <c r="H143" t="s">
        <v>50</v>
      </c>
      <c r="I143">
        <v>360</v>
      </c>
      <c r="J143">
        <v>4</v>
      </c>
      <c r="K143">
        <v>356.4</v>
      </c>
    </row>
    <row r="144" spans="1:11">
      <c r="A144" t="s">
        <v>207</v>
      </c>
      <c r="B144" s="14">
        <v>43295</v>
      </c>
      <c r="C144" t="s">
        <v>52</v>
      </c>
      <c r="D144" t="s">
        <v>49</v>
      </c>
      <c r="E144">
        <v>9</v>
      </c>
      <c r="F144">
        <v>230</v>
      </c>
      <c r="G144">
        <v>0.03</v>
      </c>
      <c r="H144" t="s">
        <v>53</v>
      </c>
      <c r="I144">
        <v>2070</v>
      </c>
      <c r="J144">
        <v>62</v>
      </c>
      <c r="K144">
        <v>2007.9</v>
      </c>
    </row>
    <row r="145" spans="1:11">
      <c r="A145" t="s">
        <v>208</v>
      </c>
      <c r="B145" s="14">
        <v>43295</v>
      </c>
      <c r="C145" t="s">
        <v>52</v>
      </c>
      <c r="D145" t="s">
        <v>57</v>
      </c>
      <c r="E145">
        <v>5</v>
      </c>
      <c r="F145">
        <v>230</v>
      </c>
      <c r="G145">
        <v>0.1</v>
      </c>
      <c r="H145" t="s">
        <v>55</v>
      </c>
      <c r="I145">
        <v>1150</v>
      </c>
      <c r="J145">
        <v>115</v>
      </c>
      <c r="K145">
        <v>1035</v>
      </c>
    </row>
    <row r="146" spans="1:11">
      <c r="A146" t="s">
        <v>209</v>
      </c>
      <c r="B146" s="14">
        <v>43295</v>
      </c>
      <c r="C146" t="s">
        <v>48</v>
      </c>
      <c r="D146" t="s">
        <v>60</v>
      </c>
      <c r="E146">
        <v>7</v>
      </c>
      <c r="F146">
        <v>40</v>
      </c>
      <c r="G146">
        <v>0.11</v>
      </c>
      <c r="H146" t="s">
        <v>58</v>
      </c>
      <c r="I146">
        <v>280</v>
      </c>
      <c r="J146">
        <v>31</v>
      </c>
      <c r="K146">
        <v>249.2</v>
      </c>
    </row>
    <row r="147" spans="1:11">
      <c r="A147" t="s">
        <v>210</v>
      </c>
      <c r="B147" s="14">
        <v>43295</v>
      </c>
      <c r="C147" t="s">
        <v>52</v>
      </c>
      <c r="D147" t="s">
        <v>45</v>
      </c>
      <c r="E147">
        <v>20</v>
      </c>
      <c r="F147">
        <v>230</v>
      </c>
      <c r="G147">
        <v>0.04</v>
      </c>
      <c r="H147" t="s">
        <v>61</v>
      </c>
      <c r="I147">
        <v>4600</v>
      </c>
      <c r="J147">
        <v>184</v>
      </c>
      <c r="K147">
        <v>4416</v>
      </c>
    </row>
    <row r="148" spans="1:11">
      <c r="A148" t="s">
        <v>211</v>
      </c>
      <c r="B148" s="14">
        <v>43295</v>
      </c>
      <c r="C148" t="s">
        <v>67</v>
      </c>
      <c r="D148" t="s">
        <v>45</v>
      </c>
      <c r="E148">
        <v>22</v>
      </c>
      <c r="F148">
        <v>150</v>
      </c>
      <c r="G148">
        <v>0.07</v>
      </c>
      <c r="H148" t="s">
        <v>65</v>
      </c>
      <c r="I148">
        <v>3300</v>
      </c>
      <c r="J148">
        <v>231</v>
      </c>
      <c r="K148">
        <v>3069</v>
      </c>
    </row>
    <row r="149" spans="1:11">
      <c r="A149" t="s">
        <v>212</v>
      </c>
      <c r="B149" s="14">
        <v>43296</v>
      </c>
      <c r="C149" t="s">
        <v>52</v>
      </c>
      <c r="D149" t="s">
        <v>57</v>
      </c>
      <c r="E149">
        <v>6</v>
      </c>
      <c r="F149">
        <v>230</v>
      </c>
      <c r="G149">
        <v>0.05</v>
      </c>
      <c r="H149" t="s">
        <v>68</v>
      </c>
      <c r="I149">
        <v>1380</v>
      </c>
      <c r="J149">
        <v>69</v>
      </c>
      <c r="K149">
        <v>1311</v>
      </c>
    </row>
    <row r="150" spans="1:11">
      <c r="A150" t="s">
        <v>213</v>
      </c>
      <c r="B150" s="14">
        <v>43296</v>
      </c>
      <c r="C150" t="s">
        <v>52</v>
      </c>
      <c r="D150" t="s">
        <v>57</v>
      </c>
      <c r="E150">
        <v>15</v>
      </c>
      <c r="F150">
        <v>230</v>
      </c>
      <c r="G150">
        <v>0.11</v>
      </c>
      <c r="H150" t="s">
        <v>70</v>
      </c>
      <c r="I150">
        <v>3450</v>
      </c>
      <c r="J150">
        <v>380</v>
      </c>
      <c r="K150">
        <v>3070.5</v>
      </c>
    </row>
    <row r="151" spans="1:11">
      <c r="A151" t="s">
        <v>214</v>
      </c>
      <c r="B151" s="14">
        <v>43296</v>
      </c>
      <c r="C151" t="s">
        <v>48</v>
      </c>
      <c r="D151" t="s">
        <v>49</v>
      </c>
      <c r="E151">
        <v>8</v>
      </c>
      <c r="F151">
        <v>40</v>
      </c>
      <c r="G151">
        <v>0.09</v>
      </c>
      <c r="H151" t="s">
        <v>72</v>
      </c>
      <c r="I151">
        <v>320</v>
      </c>
      <c r="J151">
        <v>29</v>
      </c>
      <c r="K151">
        <v>291.2</v>
      </c>
    </row>
    <row r="152" spans="1:11">
      <c r="A152" t="s">
        <v>215</v>
      </c>
      <c r="B152" s="14">
        <v>43296</v>
      </c>
      <c r="C152" t="s">
        <v>48</v>
      </c>
      <c r="D152" t="s">
        <v>45</v>
      </c>
      <c r="E152">
        <v>5</v>
      </c>
      <c r="F152">
        <v>40</v>
      </c>
      <c r="G152">
        <v>0.06</v>
      </c>
      <c r="H152" t="s">
        <v>74</v>
      </c>
      <c r="I152">
        <v>200</v>
      </c>
      <c r="J152">
        <v>12</v>
      </c>
      <c r="K152">
        <v>188</v>
      </c>
    </row>
    <row r="153" spans="1:11">
      <c r="A153" t="s">
        <v>216</v>
      </c>
      <c r="B153" s="14">
        <v>43296</v>
      </c>
      <c r="C153" t="s">
        <v>44</v>
      </c>
      <c r="D153" t="s">
        <v>64</v>
      </c>
      <c r="E153">
        <v>6</v>
      </c>
      <c r="F153">
        <v>80</v>
      </c>
      <c r="G153">
        <v>0.09</v>
      </c>
      <c r="H153" t="s">
        <v>76</v>
      </c>
      <c r="I153">
        <v>480</v>
      </c>
      <c r="J153">
        <v>43</v>
      </c>
      <c r="K153">
        <v>436.8</v>
      </c>
    </row>
    <row r="154" spans="1:11">
      <c r="A154" t="s">
        <v>217</v>
      </c>
      <c r="B154" s="14">
        <v>43296</v>
      </c>
      <c r="C154" t="s">
        <v>48</v>
      </c>
      <c r="D154" t="s">
        <v>60</v>
      </c>
      <c r="E154">
        <v>22</v>
      </c>
      <c r="F154">
        <v>40</v>
      </c>
      <c r="G154">
        <v>0.01</v>
      </c>
      <c r="H154" t="s">
        <v>46</v>
      </c>
      <c r="I154">
        <v>880</v>
      </c>
      <c r="J154">
        <v>9</v>
      </c>
      <c r="K154">
        <v>871.2</v>
      </c>
    </row>
    <row r="155" spans="1:11">
      <c r="A155" t="s">
        <v>218</v>
      </c>
      <c r="B155" s="14">
        <v>43296</v>
      </c>
      <c r="C155" t="s">
        <v>63</v>
      </c>
      <c r="D155" t="s">
        <v>45</v>
      </c>
      <c r="E155">
        <v>7</v>
      </c>
      <c r="F155">
        <v>16</v>
      </c>
      <c r="G155">
        <v>0.08</v>
      </c>
      <c r="H155" t="s">
        <v>50</v>
      </c>
      <c r="I155">
        <v>112</v>
      </c>
      <c r="J155">
        <v>9</v>
      </c>
      <c r="K155">
        <v>103.04</v>
      </c>
    </row>
    <row r="156" spans="1:11">
      <c r="A156" t="s">
        <v>219</v>
      </c>
      <c r="B156" s="14">
        <v>43296</v>
      </c>
      <c r="C156" t="s">
        <v>67</v>
      </c>
      <c r="D156" t="s">
        <v>57</v>
      </c>
      <c r="E156">
        <v>22</v>
      </c>
      <c r="F156">
        <v>150</v>
      </c>
      <c r="G156">
        <v>0.04</v>
      </c>
      <c r="H156" t="s">
        <v>53</v>
      </c>
      <c r="I156">
        <v>3300</v>
      </c>
      <c r="J156">
        <v>132</v>
      </c>
      <c r="K156">
        <v>3168</v>
      </c>
    </row>
    <row r="157" spans="1:11">
      <c r="A157" t="s">
        <v>220</v>
      </c>
      <c r="B157" s="14">
        <v>43296</v>
      </c>
      <c r="C157" t="s">
        <v>63</v>
      </c>
      <c r="D157" t="s">
        <v>60</v>
      </c>
      <c r="E157">
        <v>15</v>
      </c>
      <c r="F157">
        <v>16</v>
      </c>
      <c r="G157">
        <v>0.12</v>
      </c>
      <c r="H157" t="s">
        <v>55</v>
      </c>
      <c r="I157">
        <v>240</v>
      </c>
      <c r="J157">
        <v>29</v>
      </c>
      <c r="K157">
        <v>211.2</v>
      </c>
    </row>
    <row r="158" spans="1:11">
      <c r="A158" t="s">
        <v>221</v>
      </c>
      <c r="B158" s="14">
        <v>43296</v>
      </c>
      <c r="C158" t="s">
        <v>44</v>
      </c>
      <c r="D158" t="s">
        <v>57</v>
      </c>
      <c r="E158">
        <v>20</v>
      </c>
      <c r="F158">
        <v>80</v>
      </c>
      <c r="G158">
        <v>0.07</v>
      </c>
      <c r="H158" t="s">
        <v>58</v>
      </c>
      <c r="I158">
        <v>1600</v>
      </c>
      <c r="J158">
        <v>112</v>
      </c>
      <c r="K158">
        <v>1488</v>
      </c>
    </row>
    <row r="159" spans="1:11">
      <c r="A159" t="s">
        <v>222</v>
      </c>
      <c r="B159" s="14">
        <v>43296</v>
      </c>
      <c r="C159" t="s">
        <v>44</v>
      </c>
      <c r="D159" t="s">
        <v>57</v>
      </c>
      <c r="E159">
        <v>7</v>
      </c>
      <c r="F159">
        <v>80</v>
      </c>
      <c r="G159">
        <v>0.05</v>
      </c>
      <c r="H159" t="s">
        <v>61</v>
      </c>
      <c r="I159">
        <v>560</v>
      </c>
      <c r="J159">
        <v>28</v>
      </c>
      <c r="K159">
        <v>532</v>
      </c>
    </row>
    <row r="160" spans="1:11">
      <c r="A160" t="s">
        <v>223</v>
      </c>
      <c r="B160" s="14">
        <v>43296</v>
      </c>
      <c r="C160" t="s">
        <v>44</v>
      </c>
      <c r="D160" t="s">
        <v>49</v>
      </c>
      <c r="E160">
        <v>10</v>
      </c>
      <c r="F160">
        <v>80</v>
      </c>
      <c r="G160">
        <v>0.11</v>
      </c>
      <c r="H160" t="s">
        <v>65</v>
      </c>
      <c r="I160">
        <v>800</v>
      </c>
      <c r="J160">
        <v>88</v>
      </c>
      <c r="K160">
        <v>712</v>
      </c>
    </row>
    <row r="161" spans="1:11">
      <c r="A161" t="s">
        <v>224</v>
      </c>
      <c r="B161" s="14">
        <v>43296</v>
      </c>
      <c r="C161" t="s">
        <v>44</v>
      </c>
      <c r="D161" t="s">
        <v>49</v>
      </c>
      <c r="E161">
        <v>2</v>
      </c>
      <c r="F161">
        <v>80</v>
      </c>
      <c r="G161">
        <v>0.07</v>
      </c>
      <c r="H161" t="s">
        <v>68</v>
      </c>
      <c r="I161">
        <v>160</v>
      </c>
      <c r="J161">
        <v>11</v>
      </c>
      <c r="K161">
        <v>148.8</v>
      </c>
    </row>
    <row r="162" spans="1:11">
      <c r="A162" t="s">
        <v>225</v>
      </c>
      <c r="B162" s="14">
        <v>43296</v>
      </c>
      <c r="C162" t="s">
        <v>63</v>
      </c>
      <c r="D162" t="s">
        <v>64</v>
      </c>
      <c r="E162">
        <v>23</v>
      </c>
      <c r="F162">
        <v>16</v>
      </c>
      <c r="G162">
        <v>0.01</v>
      </c>
      <c r="H162" t="s">
        <v>70</v>
      </c>
      <c r="I162">
        <v>368</v>
      </c>
      <c r="J162">
        <v>4</v>
      </c>
      <c r="K162">
        <v>364.32</v>
      </c>
    </row>
    <row r="163" spans="1:11">
      <c r="A163" t="s">
        <v>226</v>
      </c>
      <c r="B163" s="14">
        <v>43296</v>
      </c>
      <c r="C163" t="s">
        <v>52</v>
      </c>
      <c r="D163" t="s">
        <v>49</v>
      </c>
      <c r="E163">
        <v>12</v>
      </c>
      <c r="F163">
        <v>230</v>
      </c>
      <c r="G163">
        <v>0.03</v>
      </c>
      <c r="H163" t="s">
        <v>72</v>
      </c>
      <c r="I163">
        <v>2760</v>
      </c>
      <c r="J163">
        <v>83</v>
      </c>
      <c r="K163">
        <v>2677.2</v>
      </c>
    </row>
    <row r="164" spans="1:11">
      <c r="A164" t="s">
        <v>227</v>
      </c>
      <c r="B164" s="14">
        <v>43297</v>
      </c>
      <c r="C164" t="s">
        <v>52</v>
      </c>
      <c r="D164" t="s">
        <v>45</v>
      </c>
      <c r="E164">
        <v>7</v>
      </c>
      <c r="F164">
        <v>230</v>
      </c>
      <c r="G164">
        <v>0.08</v>
      </c>
      <c r="H164" t="s">
        <v>74</v>
      </c>
      <c r="I164">
        <v>1610</v>
      </c>
      <c r="J164">
        <v>129</v>
      </c>
      <c r="K164">
        <v>1481.2</v>
      </c>
    </row>
    <row r="165" spans="1:11">
      <c r="A165" t="s">
        <v>228</v>
      </c>
      <c r="B165" s="14">
        <v>43297</v>
      </c>
      <c r="C165" t="s">
        <v>48</v>
      </c>
      <c r="D165" t="s">
        <v>60</v>
      </c>
      <c r="E165">
        <v>11</v>
      </c>
      <c r="F165">
        <v>40</v>
      </c>
      <c r="G165">
        <v>0.06</v>
      </c>
      <c r="H165" t="s">
        <v>76</v>
      </c>
      <c r="I165">
        <v>440</v>
      </c>
      <c r="J165">
        <v>26</v>
      </c>
      <c r="K165">
        <v>413.6</v>
      </c>
    </row>
    <row r="166" spans="1:11">
      <c r="A166" t="s">
        <v>229</v>
      </c>
      <c r="B166" s="14">
        <v>43297</v>
      </c>
      <c r="C166" t="s">
        <v>52</v>
      </c>
      <c r="D166" t="s">
        <v>49</v>
      </c>
      <c r="E166">
        <v>7</v>
      </c>
      <c r="F166">
        <v>230</v>
      </c>
      <c r="G166">
        <v>0.08</v>
      </c>
      <c r="H166" t="s">
        <v>46</v>
      </c>
      <c r="I166">
        <v>1610</v>
      </c>
      <c r="J166">
        <v>129</v>
      </c>
      <c r="K166">
        <v>1481.2</v>
      </c>
    </row>
    <row r="167" spans="1:11">
      <c r="A167" t="s">
        <v>230</v>
      </c>
      <c r="B167" s="14">
        <v>43297</v>
      </c>
      <c r="C167" t="s">
        <v>44</v>
      </c>
      <c r="D167" t="s">
        <v>45</v>
      </c>
      <c r="E167">
        <v>8</v>
      </c>
      <c r="F167">
        <v>80</v>
      </c>
      <c r="G167">
        <v>0.09</v>
      </c>
      <c r="H167" t="s">
        <v>50</v>
      </c>
      <c r="I167">
        <v>640</v>
      </c>
      <c r="J167">
        <v>58</v>
      </c>
      <c r="K167">
        <v>582.4</v>
      </c>
    </row>
    <row r="168" spans="1:11">
      <c r="A168" t="s">
        <v>231</v>
      </c>
      <c r="B168" s="14">
        <v>43297</v>
      </c>
      <c r="C168" t="s">
        <v>44</v>
      </c>
      <c r="D168" t="s">
        <v>60</v>
      </c>
      <c r="E168">
        <v>16</v>
      </c>
      <c r="F168">
        <v>80</v>
      </c>
      <c r="G168">
        <v>0.07</v>
      </c>
      <c r="H168" t="s">
        <v>53</v>
      </c>
      <c r="I168">
        <v>1280</v>
      </c>
      <c r="J168">
        <v>90</v>
      </c>
      <c r="K168">
        <v>1190.4</v>
      </c>
    </row>
    <row r="169" spans="1:11">
      <c r="A169" t="s">
        <v>232</v>
      </c>
      <c r="B169" s="14">
        <v>43297</v>
      </c>
      <c r="C169" t="s">
        <v>44</v>
      </c>
      <c r="D169" t="s">
        <v>57</v>
      </c>
      <c r="E169">
        <v>16</v>
      </c>
      <c r="F169">
        <v>80</v>
      </c>
      <c r="G169">
        <v>0.04</v>
      </c>
      <c r="H169" t="s">
        <v>55</v>
      </c>
      <c r="I169">
        <v>1280</v>
      </c>
      <c r="J169">
        <v>51</v>
      </c>
      <c r="K169">
        <v>1228.8</v>
      </c>
    </row>
    <row r="170" spans="1:11">
      <c r="A170" t="s">
        <v>233</v>
      </c>
      <c r="B170" s="14">
        <v>43297</v>
      </c>
      <c r="C170" t="s">
        <v>63</v>
      </c>
      <c r="D170" t="s">
        <v>57</v>
      </c>
      <c r="E170">
        <v>9</v>
      </c>
      <c r="F170">
        <v>16</v>
      </c>
      <c r="G170">
        <v>0.05</v>
      </c>
      <c r="H170" t="s">
        <v>58</v>
      </c>
      <c r="I170">
        <v>144</v>
      </c>
      <c r="J170">
        <v>7</v>
      </c>
      <c r="K170">
        <v>136.8</v>
      </c>
    </row>
    <row r="171" spans="1:11">
      <c r="A171" t="s">
        <v>234</v>
      </c>
      <c r="B171" s="14">
        <v>43297</v>
      </c>
      <c r="C171" t="s">
        <v>67</v>
      </c>
      <c r="D171" t="s">
        <v>64</v>
      </c>
      <c r="E171">
        <v>11</v>
      </c>
      <c r="F171">
        <v>150</v>
      </c>
      <c r="G171">
        <v>0.09</v>
      </c>
      <c r="H171" t="s">
        <v>61</v>
      </c>
      <c r="I171">
        <v>1650</v>
      </c>
      <c r="J171">
        <v>148</v>
      </c>
      <c r="K171">
        <v>1501.5</v>
      </c>
    </row>
    <row r="172" spans="1:11">
      <c r="A172" t="s">
        <v>235</v>
      </c>
      <c r="B172" s="14">
        <v>43297</v>
      </c>
      <c r="C172" t="s">
        <v>63</v>
      </c>
      <c r="D172" t="s">
        <v>45</v>
      </c>
      <c r="E172">
        <v>4</v>
      </c>
      <c r="F172">
        <v>16</v>
      </c>
      <c r="G172">
        <v>0.12</v>
      </c>
      <c r="H172" t="s">
        <v>65</v>
      </c>
      <c r="I172">
        <v>64</v>
      </c>
      <c r="J172">
        <v>8</v>
      </c>
      <c r="K172">
        <v>56.32</v>
      </c>
    </row>
    <row r="173" spans="1:11">
      <c r="A173" t="s">
        <v>236</v>
      </c>
      <c r="B173" s="14">
        <v>43297</v>
      </c>
      <c r="C173" t="s">
        <v>48</v>
      </c>
      <c r="D173" t="s">
        <v>60</v>
      </c>
      <c r="E173">
        <v>15</v>
      </c>
      <c r="F173">
        <v>40</v>
      </c>
      <c r="G173">
        <v>0.03</v>
      </c>
      <c r="H173" t="s">
        <v>68</v>
      </c>
      <c r="I173">
        <v>600</v>
      </c>
      <c r="J173">
        <v>18</v>
      </c>
      <c r="K173">
        <v>582</v>
      </c>
    </row>
    <row r="174" spans="1:11">
      <c r="A174" t="s">
        <v>237</v>
      </c>
      <c r="B174" s="14">
        <v>43297</v>
      </c>
      <c r="C174" t="s">
        <v>48</v>
      </c>
      <c r="D174" t="s">
        <v>64</v>
      </c>
      <c r="E174">
        <v>20</v>
      </c>
      <c r="F174">
        <v>40</v>
      </c>
      <c r="G174">
        <v>0.03</v>
      </c>
      <c r="H174" t="s">
        <v>70</v>
      </c>
      <c r="I174">
        <v>800</v>
      </c>
      <c r="J174">
        <v>24</v>
      </c>
      <c r="K174">
        <v>776</v>
      </c>
    </row>
    <row r="175" spans="1:11">
      <c r="A175" t="s">
        <v>238</v>
      </c>
      <c r="B175" s="14">
        <v>43298</v>
      </c>
      <c r="C175" t="s">
        <v>67</v>
      </c>
      <c r="D175" t="s">
        <v>57</v>
      </c>
      <c r="E175">
        <v>9</v>
      </c>
      <c r="F175">
        <v>150</v>
      </c>
      <c r="G175">
        <v>0.06</v>
      </c>
      <c r="H175" t="s">
        <v>72</v>
      </c>
      <c r="I175">
        <v>1350</v>
      </c>
      <c r="J175">
        <v>81</v>
      </c>
      <c r="K175">
        <v>1269</v>
      </c>
    </row>
    <row r="176" spans="1:11">
      <c r="A176" t="s">
        <v>239</v>
      </c>
      <c r="B176" s="14">
        <v>43298</v>
      </c>
      <c r="C176" t="s">
        <v>48</v>
      </c>
      <c r="D176" t="s">
        <v>49</v>
      </c>
      <c r="E176">
        <v>23</v>
      </c>
      <c r="F176">
        <v>40</v>
      </c>
      <c r="G176">
        <v>0.06</v>
      </c>
      <c r="H176" t="s">
        <v>74</v>
      </c>
      <c r="I176">
        <v>920</v>
      </c>
      <c r="J176">
        <v>55</v>
      </c>
      <c r="K176">
        <v>864.8</v>
      </c>
    </row>
    <row r="177" spans="1:11">
      <c r="A177" t="s">
        <v>240</v>
      </c>
      <c r="B177" s="14">
        <v>43298</v>
      </c>
      <c r="C177" t="s">
        <v>44</v>
      </c>
      <c r="D177" t="s">
        <v>64</v>
      </c>
      <c r="E177">
        <v>13</v>
      </c>
      <c r="F177">
        <v>80</v>
      </c>
      <c r="G177">
        <v>0.05</v>
      </c>
      <c r="H177" t="s">
        <v>76</v>
      </c>
      <c r="I177">
        <v>1040</v>
      </c>
      <c r="J177">
        <v>52</v>
      </c>
      <c r="K177">
        <v>988</v>
      </c>
    </row>
    <row r="178" spans="1:11">
      <c r="A178" t="s">
        <v>241</v>
      </c>
      <c r="B178" s="14">
        <v>43298</v>
      </c>
      <c r="C178" t="s">
        <v>63</v>
      </c>
      <c r="D178" t="s">
        <v>45</v>
      </c>
      <c r="E178">
        <v>22</v>
      </c>
      <c r="F178">
        <v>16</v>
      </c>
      <c r="G178">
        <v>0.01</v>
      </c>
      <c r="H178" t="s">
        <v>46</v>
      </c>
      <c r="I178">
        <v>352</v>
      </c>
      <c r="J178">
        <v>4</v>
      </c>
      <c r="K178">
        <v>348.48</v>
      </c>
    </row>
    <row r="179" spans="1:11">
      <c r="A179" t="s">
        <v>242</v>
      </c>
      <c r="B179" s="14">
        <v>43298</v>
      </c>
      <c r="C179" t="s">
        <v>48</v>
      </c>
      <c r="D179" t="s">
        <v>45</v>
      </c>
      <c r="E179">
        <v>19</v>
      </c>
      <c r="F179">
        <v>40</v>
      </c>
      <c r="G179">
        <v>0.04</v>
      </c>
      <c r="H179" t="s">
        <v>50</v>
      </c>
      <c r="I179">
        <v>760</v>
      </c>
      <c r="J179">
        <v>30</v>
      </c>
      <c r="K179">
        <v>729.6</v>
      </c>
    </row>
    <row r="180" spans="1:11">
      <c r="A180" t="s">
        <v>243</v>
      </c>
      <c r="B180" s="14">
        <v>43298</v>
      </c>
      <c r="C180" t="s">
        <v>44</v>
      </c>
      <c r="D180" t="s">
        <v>60</v>
      </c>
      <c r="E180">
        <v>4</v>
      </c>
      <c r="F180">
        <v>80</v>
      </c>
      <c r="G180">
        <v>0.11</v>
      </c>
      <c r="H180" t="s">
        <v>53</v>
      </c>
      <c r="I180">
        <v>320</v>
      </c>
      <c r="J180">
        <v>35</v>
      </c>
      <c r="K180">
        <v>284.8</v>
      </c>
    </row>
    <row r="181" spans="1:11">
      <c r="A181" t="s">
        <v>244</v>
      </c>
      <c r="B181" s="14">
        <v>43298</v>
      </c>
      <c r="C181" t="s">
        <v>63</v>
      </c>
      <c r="D181" t="s">
        <v>45</v>
      </c>
      <c r="E181">
        <v>12</v>
      </c>
      <c r="F181">
        <v>16</v>
      </c>
      <c r="G181">
        <v>0.11</v>
      </c>
      <c r="H181" t="s">
        <v>55</v>
      </c>
      <c r="I181">
        <v>192</v>
      </c>
      <c r="J181">
        <v>21</v>
      </c>
      <c r="K181">
        <v>170.88</v>
      </c>
    </row>
    <row r="182" spans="1:11">
      <c r="A182" t="s">
        <v>245</v>
      </c>
      <c r="B182" s="14">
        <v>43298</v>
      </c>
      <c r="C182" t="s">
        <v>67</v>
      </c>
      <c r="D182" t="s">
        <v>49</v>
      </c>
      <c r="E182">
        <v>16</v>
      </c>
      <c r="F182">
        <v>150</v>
      </c>
      <c r="G182">
        <v>0.08</v>
      </c>
      <c r="H182" t="s">
        <v>58</v>
      </c>
      <c r="I182">
        <v>2400</v>
      </c>
      <c r="J182">
        <v>192</v>
      </c>
      <c r="K182">
        <v>2208</v>
      </c>
    </row>
    <row r="183" spans="1:11">
      <c r="A183" t="s">
        <v>246</v>
      </c>
      <c r="B183" s="14">
        <v>43298</v>
      </c>
      <c r="C183" t="s">
        <v>44</v>
      </c>
      <c r="D183" t="s">
        <v>45</v>
      </c>
      <c r="E183">
        <v>7</v>
      </c>
      <c r="F183">
        <v>80</v>
      </c>
      <c r="G183">
        <v>0.02</v>
      </c>
      <c r="H183" t="s">
        <v>61</v>
      </c>
      <c r="I183">
        <v>560</v>
      </c>
      <c r="J183">
        <v>11</v>
      </c>
      <c r="K183">
        <v>548.8</v>
      </c>
    </row>
    <row r="184" spans="1:11">
      <c r="A184" t="s">
        <v>247</v>
      </c>
      <c r="B184" s="14">
        <v>43298</v>
      </c>
      <c r="C184" t="s">
        <v>48</v>
      </c>
      <c r="D184" t="s">
        <v>64</v>
      </c>
      <c r="E184">
        <v>20</v>
      </c>
      <c r="F184">
        <v>40</v>
      </c>
      <c r="G184">
        <v>0.07</v>
      </c>
      <c r="H184" t="s">
        <v>65</v>
      </c>
      <c r="I184">
        <v>800</v>
      </c>
      <c r="J184">
        <v>56</v>
      </c>
      <c r="K184">
        <v>744</v>
      </c>
    </row>
    <row r="185" spans="1:11">
      <c r="A185" t="s">
        <v>248</v>
      </c>
      <c r="B185" s="14">
        <v>43298</v>
      </c>
      <c r="C185" t="s">
        <v>44</v>
      </c>
      <c r="D185" t="s">
        <v>49</v>
      </c>
      <c r="E185">
        <v>15</v>
      </c>
      <c r="F185">
        <v>80</v>
      </c>
      <c r="G185">
        <v>0.12</v>
      </c>
      <c r="H185" t="s">
        <v>68</v>
      </c>
      <c r="I185">
        <v>1200</v>
      </c>
      <c r="J185">
        <v>144</v>
      </c>
      <c r="K185">
        <v>1056</v>
      </c>
    </row>
    <row r="186" spans="1:11">
      <c r="A186" t="s">
        <v>249</v>
      </c>
      <c r="B186" s="14">
        <v>43298</v>
      </c>
      <c r="C186" t="s">
        <v>48</v>
      </c>
      <c r="D186" t="s">
        <v>45</v>
      </c>
      <c r="E186">
        <v>5</v>
      </c>
      <c r="F186">
        <v>40</v>
      </c>
      <c r="G186">
        <v>0.09</v>
      </c>
      <c r="H186" t="s">
        <v>70</v>
      </c>
      <c r="I186">
        <v>200</v>
      </c>
      <c r="J186">
        <v>18</v>
      </c>
      <c r="K186">
        <v>182</v>
      </c>
    </row>
    <row r="187" spans="1:11">
      <c r="A187" t="s">
        <v>250</v>
      </c>
      <c r="B187" s="14">
        <v>43298</v>
      </c>
      <c r="C187" t="s">
        <v>63</v>
      </c>
      <c r="D187" t="s">
        <v>64</v>
      </c>
      <c r="E187">
        <v>12</v>
      </c>
      <c r="F187">
        <v>16</v>
      </c>
      <c r="G187">
        <v>0.04</v>
      </c>
      <c r="H187" t="s">
        <v>72</v>
      </c>
      <c r="I187">
        <v>192</v>
      </c>
      <c r="J187">
        <v>8</v>
      </c>
      <c r="K187">
        <v>184.32</v>
      </c>
    </row>
    <row r="188" spans="1:11">
      <c r="A188" t="s">
        <v>251</v>
      </c>
      <c r="B188" s="14">
        <v>43299</v>
      </c>
      <c r="C188" t="s">
        <v>67</v>
      </c>
      <c r="D188" t="s">
        <v>60</v>
      </c>
      <c r="E188">
        <v>3</v>
      </c>
      <c r="F188">
        <v>150</v>
      </c>
      <c r="G188">
        <v>0.01</v>
      </c>
      <c r="H188" t="s">
        <v>74</v>
      </c>
      <c r="I188">
        <v>450</v>
      </c>
      <c r="J188">
        <v>4</v>
      </c>
      <c r="K188">
        <v>445.5</v>
      </c>
    </row>
    <row r="189" spans="1:11">
      <c r="A189" t="s">
        <v>252</v>
      </c>
      <c r="B189" s="14">
        <v>43299</v>
      </c>
      <c r="C189" t="s">
        <v>48</v>
      </c>
      <c r="D189" t="s">
        <v>64</v>
      </c>
      <c r="E189">
        <v>7</v>
      </c>
      <c r="F189">
        <v>40</v>
      </c>
      <c r="G189">
        <v>0.12</v>
      </c>
      <c r="H189" t="s">
        <v>76</v>
      </c>
      <c r="I189">
        <v>280</v>
      </c>
      <c r="J189">
        <v>34</v>
      </c>
      <c r="K189">
        <v>246.4</v>
      </c>
    </row>
    <row r="190" spans="1:11">
      <c r="A190" t="s">
        <v>253</v>
      </c>
      <c r="B190" s="14">
        <v>43299</v>
      </c>
      <c r="C190" t="s">
        <v>44</v>
      </c>
      <c r="D190" t="s">
        <v>49</v>
      </c>
      <c r="E190">
        <v>2</v>
      </c>
      <c r="F190">
        <v>80</v>
      </c>
      <c r="G190">
        <v>0.04</v>
      </c>
      <c r="H190" t="s">
        <v>46</v>
      </c>
      <c r="I190">
        <v>160</v>
      </c>
      <c r="J190">
        <v>6</v>
      </c>
      <c r="K190">
        <v>153.6</v>
      </c>
    </row>
    <row r="191" spans="1:11">
      <c r="A191" t="s">
        <v>254</v>
      </c>
      <c r="B191" s="14">
        <v>43299</v>
      </c>
      <c r="C191" t="s">
        <v>48</v>
      </c>
      <c r="D191" t="s">
        <v>60</v>
      </c>
      <c r="E191">
        <v>6</v>
      </c>
      <c r="F191">
        <v>40</v>
      </c>
      <c r="G191">
        <v>0.07</v>
      </c>
      <c r="H191" t="s">
        <v>50</v>
      </c>
      <c r="I191">
        <v>240</v>
      </c>
      <c r="J191">
        <v>17</v>
      </c>
      <c r="K191">
        <v>223.2</v>
      </c>
    </row>
    <row r="192" spans="1:11">
      <c r="A192" t="s">
        <v>255</v>
      </c>
      <c r="B192" s="14">
        <v>43299</v>
      </c>
      <c r="C192" t="s">
        <v>63</v>
      </c>
      <c r="D192" t="s">
        <v>57</v>
      </c>
      <c r="E192">
        <v>6</v>
      </c>
      <c r="F192">
        <v>16</v>
      </c>
      <c r="G192">
        <v>0.06</v>
      </c>
      <c r="H192" t="s">
        <v>53</v>
      </c>
      <c r="I192">
        <v>96</v>
      </c>
      <c r="J192">
        <v>6</v>
      </c>
      <c r="K192">
        <v>90.24</v>
      </c>
    </row>
    <row r="193" spans="1:11">
      <c r="A193" t="s">
        <v>256</v>
      </c>
      <c r="B193" s="14">
        <v>43299</v>
      </c>
      <c r="C193" t="s">
        <v>63</v>
      </c>
      <c r="D193" t="s">
        <v>45</v>
      </c>
      <c r="E193">
        <v>7</v>
      </c>
      <c r="F193">
        <v>16</v>
      </c>
      <c r="G193">
        <v>0.02</v>
      </c>
      <c r="H193" t="s">
        <v>55</v>
      </c>
      <c r="I193">
        <v>112</v>
      </c>
      <c r="J193">
        <v>2</v>
      </c>
      <c r="K193">
        <v>109.76</v>
      </c>
    </row>
    <row r="194" spans="1:11">
      <c r="A194" t="s">
        <v>257</v>
      </c>
      <c r="B194" s="14">
        <v>43299</v>
      </c>
      <c r="C194" t="s">
        <v>63</v>
      </c>
      <c r="D194" t="s">
        <v>49</v>
      </c>
      <c r="E194">
        <v>20</v>
      </c>
      <c r="F194">
        <v>16</v>
      </c>
      <c r="G194">
        <v>0.06</v>
      </c>
      <c r="H194" t="s">
        <v>58</v>
      </c>
      <c r="I194">
        <v>320</v>
      </c>
      <c r="J194">
        <v>19</v>
      </c>
      <c r="K194">
        <v>300.8</v>
      </c>
    </row>
    <row r="195" spans="1:11">
      <c r="A195" t="s">
        <v>258</v>
      </c>
      <c r="B195" s="14">
        <v>43299</v>
      </c>
      <c r="C195" t="s">
        <v>63</v>
      </c>
      <c r="D195" t="s">
        <v>49</v>
      </c>
      <c r="E195">
        <v>21</v>
      </c>
      <c r="F195">
        <v>16</v>
      </c>
      <c r="G195">
        <v>0.02</v>
      </c>
      <c r="H195" t="s">
        <v>61</v>
      </c>
      <c r="I195">
        <v>336</v>
      </c>
      <c r="J195">
        <v>7</v>
      </c>
      <c r="K195">
        <v>329.28</v>
      </c>
    </row>
    <row r="196" spans="1:11">
      <c r="A196" t="s">
        <v>259</v>
      </c>
      <c r="B196" s="14">
        <v>43299</v>
      </c>
      <c r="C196" t="s">
        <v>44</v>
      </c>
      <c r="D196" t="s">
        <v>60</v>
      </c>
      <c r="E196">
        <v>21</v>
      </c>
      <c r="F196">
        <v>80</v>
      </c>
      <c r="G196">
        <v>0.05</v>
      </c>
      <c r="H196" t="s">
        <v>65</v>
      </c>
      <c r="I196">
        <v>1680</v>
      </c>
      <c r="J196">
        <v>84</v>
      </c>
      <c r="K196">
        <v>1596</v>
      </c>
    </row>
    <row r="197" spans="1:11">
      <c r="A197" t="s">
        <v>260</v>
      </c>
      <c r="B197" s="14">
        <v>43299</v>
      </c>
      <c r="C197" t="s">
        <v>63</v>
      </c>
      <c r="D197" t="s">
        <v>60</v>
      </c>
      <c r="E197">
        <v>10</v>
      </c>
      <c r="F197">
        <v>16</v>
      </c>
      <c r="G197">
        <v>0.01</v>
      </c>
      <c r="H197" t="s">
        <v>68</v>
      </c>
      <c r="I197">
        <v>160</v>
      </c>
      <c r="J197">
        <v>2</v>
      </c>
      <c r="K197">
        <v>158.4</v>
      </c>
    </row>
    <row r="198" spans="1:11">
      <c r="A198" t="s">
        <v>261</v>
      </c>
      <c r="B198" s="14">
        <v>43300</v>
      </c>
      <c r="C198" t="s">
        <v>52</v>
      </c>
      <c r="D198" t="s">
        <v>60</v>
      </c>
      <c r="E198">
        <v>2</v>
      </c>
      <c r="F198">
        <v>230</v>
      </c>
      <c r="G198">
        <v>0.09</v>
      </c>
      <c r="H198" t="s">
        <v>70</v>
      </c>
      <c r="I198">
        <v>460</v>
      </c>
      <c r="J198">
        <v>41</v>
      </c>
      <c r="K198">
        <v>418.6</v>
      </c>
    </row>
    <row r="199" spans="1:11">
      <c r="A199" t="s">
        <v>262</v>
      </c>
      <c r="B199" s="14">
        <v>43300</v>
      </c>
      <c r="C199" t="s">
        <v>67</v>
      </c>
      <c r="D199" t="s">
        <v>45</v>
      </c>
      <c r="E199">
        <v>20</v>
      </c>
      <c r="F199">
        <v>150</v>
      </c>
      <c r="G199">
        <v>0.03</v>
      </c>
      <c r="H199" t="s">
        <v>72</v>
      </c>
      <c r="I199">
        <v>3000</v>
      </c>
      <c r="J199">
        <v>90</v>
      </c>
      <c r="K199">
        <v>2910</v>
      </c>
    </row>
    <row r="200" spans="1:11">
      <c r="A200" t="s">
        <v>263</v>
      </c>
      <c r="B200" s="14">
        <v>43300</v>
      </c>
      <c r="C200" t="s">
        <v>48</v>
      </c>
      <c r="D200" t="s">
        <v>45</v>
      </c>
      <c r="E200">
        <v>23</v>
      </c>
      <c r="F200">
        <v>40</v>
      </c>
      <c r="G200">
        <v>0.03</v>
      </c>
      <c r="H200" t="s">
        <v>74</v>
      </c>
      <c r="I200">
        <v>920</v>
      </c>
      <c r="J200">
        <v>28</v>
      </c>
      <c r="K200">
        <v>892.4</v>
      </c>
    </row>
    <row r="201" spans="1:11">
      <c r="A201" t="s">
        <v>264</v>
      </c>
      <c r="B201" s="14">
        <v>43300</v>
      </c>
      <c r="C201" t="s">
        <v>44</v>
      </c>
      <c r="D201" t="s">
        <v>60</v>
      </c>
      <c r="E201">
        <v>17</v>
      </c>
      <c r="F201">
        <v>80</v>
      </c>
      <c r="G201">
        <v>0.05</v>
      </c>
      <c r="H201" t="s">
        <v>76</v>
      </c>
      <c r="I201">
        <v>1360</v>
      </c>
      <c r="J201">
        <v>68</v>
      </c>
      <c r="K201">
        <v>1292</v>
      </c>
    </row>
    <row r="202" spans="1:11">
      <c r="A202" t="s">
        <v>265</v>
      </c>
      <c r="B202" s="14">
        <v>43300</v>
      </c>
      <c r="C202" t="s">
        <v>52</v>
      </c>
      <c r="D202" t="s">
        <v>60</v>
      </c>
      <c r="E202">
        <v>11</v>
      </c>
      <c r="F202">
        <v>230</v>
      </c>
      <c r="G202">
        <v>0.12</v>
      </c>
      <c r="H202" t="s">
        <v>46</v>
      </c>
      <c r="I202">
        <v>2530</v>
      </c>
      <c r="J202">
        <v>304</v>
      </c>
      <c r="K202">
        <v>2226.4</v>
      </c>
    </row>
    <row r="203" spans="1:11">
      <c r="A203" t="s">
        <v>266</v>
      </c>
      <c r="B203" s="14">
        <v>43300</v>
      </c>
      <c r="C203" t="s">
        <v>67</v>
      </c>
      <c r="D203" t="s">
        <v>49</v>
      </c>
      <c r="E203">
        <v>10</v>
      </c>
      <c r="F203">
        <v>150</v>
      </c>
      <c r="G203">
        <v>0.01</v>
      </c>
      <c r="H203" t="s">
        <v>50</v>
      </c>
      <c r="I203">
        <v>1500</v>
      </c>
      <c r="J203">
        <v>15</v>
      </c>
      <c r="K203">
        <v>1485</v>
      </c>
    </row>
    <row r="204" spans="1:11">
      <c r="A204" t="s">
        <v>267</v>
      </c>
      <c r="B204" s="14">
        <v>43300</v>
      </c>
      <c r="C204" t="s">
        <v>44</v>
      </c>
      <c r="D204" t="s">
        <v>49</v>
      </c>
      <c r="E204">
        <v>17</v>
      </c>
      <c r="F204">
        <v>80</v>
      </c>
      <c r="G204">
        <v>0.03</v>
      </c>
      <c r="H204" t="s">
        <v>53</v>
      </c>
      <c r="I204">
        <v>1360</v>
      </c>
      <c r="J204">
        <v>41</v>
      </c>
      <c r="K204">
        <v>1319.2</v>
      </c>
    </row>
    <row r="205" spans="1:11">
      <c r="A205" t="s">
        <v>268</v>
      </c>
      <c r="B205" s="14">
        <v>43301</v>
      </c>
      <c r="C205" t="s">
        <v>52</v>
      </c>
      <c r="D205" t="s">
        <v>45</v>
      </c>
      <c r="E205">
        <v>9</v>
      </c>
      <c r="F205">
        <v>230</v>
      </c>
      <c r="G205">
        <v>0.07</v>
      </c>
      <c r="H205" t="s">
        <v>55</v>
      </c>
      <c r="I205">
        <v>2070</v>
      </c>
      <c r="J205">
        <v>145</v>
      </c>
      <c r="K205">
        <v>1925.1</v>
      </c>
    </row>
    <row r="206" spans="1:11">
      <c r="A206" t="s">
        <v>269</v>
      </c>
      <c r="B206" s="14">
        <v>43301</v>
      </c>
      <c r="C206" t="s">
        <v>52</v>
      </c>
      <c r="D206" t="s">
        <v>45</v>
      </c>
      <c r="E206">
        <v>11</v>
      </c>
      <c r="F206">
        <v>230</v>
      </c>
      <c r="G206">
        <v>0.02</v>
      </c>
      <c r="H206" t="s">
        <v>58</v>
      </c>
      <c r="I206">
        <v>2530</v>
      </c>
      <c r="J206">
        <v>51</v>
      </c>
      <c r="K206">
        <v>2479.4</v>
      </c>
    </row>
    <row r="207" spans="1:11">
      <c r="A207" t="s">
        <v>270</v>
      </c>
      <c r="B207" s="14">
        <v>43301</v>
      </c>
      <c r="C207" t="s">
        <v>48</v>
      </c>
      <c r="D207" t="s">
        <v>57</v>
      </c>
      <c r="E207">
        <v>2</v>
      </c>
      <c r="F207">
        <v>40</v>
      </c>
      <c r="G207">
        <v>0.02</v>
      </c>
      <c r="H207" t="s">
        <v>61</v>
      </c>
      <c r="I207">
        <v>80</v>
      </c>
      <c r="J207">
        <v>2</v>
      </c>
      <c r="K207">
        <v>78.4</v>
      </c>
    </row>
    <row r="208" spans="1:11">
      <c r="A208" t="s">
        <v>271</v>
      </c>
      <c r="B208" s="14">
        <v>43301</v>
      </c>
      <c r="C208" t="s">
        <v>52</v>
      </c>
      <c r="D208" t="s">
        <v>64</v>
      </c>
      <c r="E208">
        <v>3</v>
      </c>
      <c r="F208">
        <v>230</v>
      </c>
      <c r="G208">
        <v>0.1</v>
      </c>
      <c r="H208" t="s">
        <v>65</v>
      </c>
      <c r="I208">
        <v>690</v>
      </c>
      <c r="J208">
        <v>69</v>
      </c>
      <c r="K208">
        <v>621</v>
      </c>
    </row>
    <row r="209" spans="1:11">
      <c r="A209" t="s">
        <v>272</v>
      </c>
      <c r="B209" s="14">
        <v>43301</v>
      </c>
      <c r="C209" t="s">
        <v>48</v>
      </c>
      <c r="D209" t="s">
        <v>64</v>
      </c>
      <c r="E209">
        <v>7</v>
      </c>
      <c r="F209">
        <v>40</v>
      </c>
      <c r="G209">
        <v>0.05</v>
      </c>
      <c r="H209" t="s">
        <v>68</v>
      </c>
      <c r="I209">
        <v>280</v>
      </c>
      <c r="J209">
        <v>14</v>
      </c>
      <c r="K209">
        <v>266</v>
      </c>
    </row>
    <row r="210" spans="1:11">
      <c r="A210" t="s">
        <v>273</v>
      </c>
      <c r="B210" s="14">
        <v>43301</v>
      </c>
      <c r="C210" t="s">
        <v>67</v>
      </c>
      <c r="D210" t="s">
        <v>49</v>
      </c>
      <c r="E210">
        <v>20</v>
      </c>
      <c r="F210">
        <v>150</v>
      </c>
      <c r="G210">
        <v>0.09</v>
      </c>
      <c r="H210" t="s">
        <v>70</v>
      </c>
      <c r="I210">
        <v>3000</v>
      </c>
      <c r="J210">
        <v>270</v>
      </c>
      <c r="K210">
        <v>2730</v>
      </c>
    </row>
    <row r="211" spans="1:11">
      <c r="A211" t="s">
        <v>274</v>
      </c>
      <c r="B211" s="14">
        <v>43301</v>
      </c>
      <c r="C211" t="s">
        <v>48</v>
      </c>
      <c r="D211" t="s">
        <v>57</v>
      </c>
      <c r="E211">
        <v>4</v>
      </c>
      <c r="F211">
        <v>40</v>
      </c>
      <c r="G211">
        <v>0.11</v>
      </c>
      <c r="H211" t="s">
        <v>72</v>
      </c>
      <c r="I211">
        <v>160</v>
      </c>
      <c r="J211">
        <v>18</v>
      </c>
      <c r="K211">
        <v>142.4</v>
      </c>
    </row>
    <row r="212" spans="1:11">
      <c r="A212" t="s">
        <v>275</v>
      </c>
      <c r="B212" s="14">
        <v>43302</v>
      </c>
      <c r="C212" t="s">
        <v>52</v>
      </c>
      <c r="D212" t="s">
        <v>57</v>
      </c>
      <c r="E212">
        <v>2</v>
      </c>
      <c r="F212">
        <v>230</v>
      </c>
      <c r="G212">
        <v>0.09</v>
      </c>
      <c r="H212" t="s">
        <v>46</v>
      </c>
      <c r="I212">
        <v>460</v>
      </c>
      <c r="J212">
        <v>41</v>
      </c>
      <c r="K212">
        <v>418.6</v>
      </c>
    </row>
    <row r="213" spans="1:11">
      <c r="A213" t="s">
        <v>276</v>
      </c>
      <c r="B213" s="14">
        <v>43302</v>
      </c>
      <c r="C213" t="s">
        <v>48</v>
      </c>
      <c r="D213" t="s">
        <v>49</v>
      </c>
      <c r="E213">
        <v>7</v>
      </c>
      <c r="F213">
        <v>40</v>
      </c>
      <c r="G213">
        <v>0.01</v>
      </c>
      <c r="H213" t="s">
        <v>50</v>
      </c>
      <c r="I213">
        <v>280</v>
      </c>
      <c r="J213">
        <v>3</v>
      </c>
      <c r="K213">
        <v>277.2</v>
      </c>
    </row>
    <row r="214" spans="1:11">
      <c r="A214" t="s">
        <v>277</v>
      </c>
      <c r="B214" s="14">
        <v>43302</v>
      </c>
      <c r="C214" t="s">
        <v>48</v>
      </c>
      <c r="D214" t="s">
        <v>45</v>
      </c>
      <c r="E214">
        <v>2</v>
      </c>
      <c r="F214">
        <v>40</v>
      </c>
      <c r="G214">
        <v>0.12</v>
      </c>
      <c r="H214" t="s">
        <v>53</v>
      </c>
      <c r="I214">
        <v>80</v>
      </c>
      <c r="J214">
        <v>10</v>
      </c>
      <c r="K214">
        <v>70.4</v>
      </c>
    </row>
    <row r="215" spans="1:11">
      <c r="A215" t="s">
        <v>278</v>
      </c>
      <c r="B215" s="14">
        <v>43302</v>
      </c>
      <c r="C215" t="s">
        <v>44</v>
      </c>
      <c r="D215" t="s">
        <v>49</v>
      </c>
      <c r="E215">
        <v>3</v>
      </c>
      <c r="F215">
        <v>80</v>
      </c>
      <c r="G215">
        <v>0.02</v>
      </c>
      <c r="H215" t="s">
        <v>55</v>
      </c>
      <c r="I215">
        <v>240</v>
      </c>
      <c r="J215">
        <v>5</v>
      </c>
      <c r="K215">
        <v>235.2</v>
      </c>
    </row>
    <row r="216" spans="1:11">
      <c r="A216" t="s">
        <v>279</v>
      </c>
      <c r="B216" s="14">
        <v>43302</v>
      </c>
      <c r="C216" t="s">
        <v>63</v>
      </c>
      <c r="D216" t="s">
        <v>45</v>
      </c>
      <c r="E216">
        <v>18</v>
      </c>
      <c r="F216">
        <v>16</v>
      </c>
      <c r="G216">
        <v>0.11</v>
      </c>
      <c r="H216" t="s">
        <v>58</v>
      </c>
      <c r="I216">
        <v>288</v>
      </c>
      <c r="J216">
        <v>32</v>
      </c>
      <c r="K216">
        <v>256.32</v>
      </c>
    </row>
    <row r="217" spans="1:11">
      <c r="A217" t="s">
        <v>280</v>
      </c>
      <c r="B217" s="14">
        <v>43302</v>
      </c>
      <c r="C217" t="s">
        <v>44</v>
      </c>
      <c r="D217" t="s">
        <v>49</v>
      </c>
      <c r="E217">
        <v>5</v>
      </c>
      <c r="F217">
        <v>80</v>
      </c>
      <c r="G217">
        <v>0.07</v>
      </c>
      <c r="H217" t="s">
        <v>61</v>
      </c>
      <c r="I217">
        <v>400</v>
      </c>
      <c r="J217">
        <v>28</v>
      </c>
      <c r="K217">
        <v>372</v>
      </c>
    </row>
    <row r="218" spans="1:11">
      <c r="A218" t="s">
        <v>281</v>
      </c>
      <c r="B218" s="14">
        <v>43302</v>
      </c>
      <c r="C218" t="s">
        <v>63</v>
      </c>
      <c r="D218" t="s">
        <v>57</v>
      </c>
      <c r="E218">
        <v>3</v>
      </c>
      <c r="F218">
        <v>16</v>
      </c>
      <c r="G218">
        <v>0.05</v>
      </c>
      <c r="H218" t="s">
        <v>65</v>
      </c>
      <c r="I218">
        <v>48</v>
      </c>
      <c r="J218">
        <v>2</v>
      </c>
      <c r="K218">
        <v>45.6</v>
      </c>
    </row>
    <row r="219" spans="1:11">
      <c r="A219" t="s">
        <v>282</v>
      </c>
      <c r="B219" s="14">
        <v>43302</v>
      </c>
      <c r="C219" t="s">
        <v>44</v>
      </c>
      <c r="D219" t="s">
        <v>60</v>
      </c>
      <c r="E219">
        <v>7</v>
      </c>
      <c r="F219">
        <v>80</v>
      </c>
      <c r="G219">
        <v>0.02</v>
      </c>
      <c r="H219" t="s">
        <v>68</v>
      </c>
      <c r="I219">
        <v>560</v>
      </c>
      <c r="J219">
        <v>11</v>
      </c>
      <c r="K219">
        <v>548.8</v>
      </c>
    </row>
    <row r="220" spans="1:11">
      <c r="A220" t="s">
        <v>283</v>
      </c>
      <c r="B220" s="14">
        <v>43302</v>
      </c>
      <c r="C220" t="s">
        <v>67</v>
      </c>
      <c r="D220" t="s">
        <v>60</v>
      </c>
      <c r="E220">
        <v>15</v>
      </c>
      <c r="F220">
        <v>150</v>
      </c>
      <c r="G220">
        <v>0.08</v>
      </c>
      <c r="H220" t="s">
        <v>70</v>
      </c>
      <c r="I220">
        <v>2250</v>
      </c>
      <c r="J220">
        <v>180</v>
      </c>
      <c r="K220">
        <v>2070</v>
      </c>
    </row>
    <row r="221" spans="1:11">
      <c r="A221" t="s">
        <v>284</v>
      </c>
      <c r="B221" s="14">
        <v>43302</v>
      </c>
      <c r="C221" t="s">
        <v>44</v>
      </c>
      <c r="D221" t="s">
        <v>57</v>
      </c>
      <c r="E221">
        <v>10</v>
      </c>
      <c r="F221">
        <v>80</v>
      </c>
      <c r="G221">
        <v>0.11</v>
      </c>
      <c r="H221" t="s">
        <v>72</v>
      </c>
      <c r="I221">
        <v>800</v>
      </c>
      <c r="J221">
        <v>88</v>
      </c>
      <c r="K221">
        <v>712</v>
      </c>
    </row>
    <row r="222" spans="1:11">
      <c r="A222" t="s">
        <v>285</v>
      </c>
      <c r="B222" s="14">
        <v>43302</v>
      </c>
      <c r="C222" t="s">
        <v>52</v>
      </c>
      <c r="D222" t="s">
        <v>64</v>
      </c>
      <c r="E222">
        <v>13</v>
      </c>
      <c r="F222">
        <v>230</v>
      </c>
      <c r="G222">
        <v>0.06</v>
      </c>
      <c r="H222" t="s">
        <v>74</v>
      </c>
      <c r="I222">
        <v>2990</v>
      </c>
      <c r="J222">
        <v>179</v>
      </c>
      <c r="K222">
        <v>2810.6</v>
      </c>
    </row>
    <row r="223" spans="1:11">
      <c r="A223" t="s">
        <v>286</v>
      </c>
      <c r="B223" s="14">
        <v>43302</v>
      </c>
      <c r="C223" t="s">
        <v>48</v>
      </c>
      <c r="D223" t="s">
        <v>45</v>
      </c>
      <c r="E223">
        <v>7</v>
      </c>
      <c r="F223">
        <v>40</v>
      </c>
      <c r="G223">
        <v>0.1</v>
      </c>
      <c r="H223" t="s">
        <v>76</v>
      </c>
      <c r="I223">
        <v>280</v>
      </c>
      <c r="J223">
        <v>28</v>
      </c>
      <c r="K223">
        <v>252</v>
      </c>
    </row>
    <row r="224" spans="1:11">
      <c r="A224" t="s">
        <v>287</v>
      </c>
      <c r="B224" s="14">
        <v>43302</v>
      </c>
      <c r="C224" t="s">
        <v>63</v>
      </c>
      <c r="D224" t="s">
        <v>57</v>
      </c>
      <c r="E224">
        <v>6</v>
      </c>
      <c r="F224">
        <v>16</v>
      </c>
      <c r="G224">
        <v>0.01</v>
      </c>
      <c r="H224" t="s">
        <v>46</v>
      </c>
      <c r="I224">
        <v>96</v>
      </c>
      <c r="J224">
        <v>1</v>
      </c>
      <c r="K224">
        <v>95.04</v>
      </c>
    </row>
    <row r="225" spans="1:11">
      <c r="A225" t="s">
        <v>288</v>
      </c>
      <c r="B225" s="14">
        <v>43303</v>
      </c>
      <c r="C225" t="s">
        <v>48</v>
      </c>
      <c r="D225" t="s">
        <v>57</v>
      </c>
      <c r="E225">
        <v>11</v>
      </c>
      <c r="F225">
        <v>40</v>
      </c>
      <c r="G225">
        <v>0.05</v>
      </c>
      <c r="H225" t="s">
        <v>50</v>
      </c>
      <c r="I225">
        <v>440</v>
      </c>
      <c r="J225">
        <v>22</v>
      </c>
      <c r="K225">
        <v>418</v>
      </c>
    </row>
    <row r="226" spans="1:11">
      <c r="A226" t="s">
        <v>289</v>
      </c>
      <c r="B226" s="14">
        <v>43303</v>
      </c>
      <c r="C226" t="s">
        <v>44</v>
      </c>
      <c r="D226" t="s">
        <v>60</v>
      </c>
      <c r="E226">
        <v>8</v>
      </c>
      <c r="F226">
        <v>80</v>
      </c>
      <c r="G226">
        <v>0.06</v>
      </c>
      <c r="H226" t="s">
        <v>53</v>
      </c>
      <c r="I226">
        <v>640</v>
      </c>
      <c r="J226">
        <v>38</v>
      </c>
      <c r="K226">
        <v>601.6</v>
      </c>
    </row>
    <row r="227" spans="1:11">
      <c r="A227" t="s">
        <v>290</v>
      </c>
      <c r="B227" s="14">
        <v>43303</v>
      </c>
      <c r="C227" t="s">
        <v>44</v>
      </c>
      <c r="D227" t="s">
        <v>45</v>
      </c>
      <c r="E227">
        <v>9</v>
      </c>
      <c r="F227">
        <v>80</v>
      </c>
      <c r="G227">
        <v>0.04</v>
      </c>
      <c r="H227" t="s">
        <v>55</v>
      </c>
      <c r="I227">
        <v>720</v>
      </c>
      <c r="J227">
        <v>29</v>
      </c>
      <c r="K227">
        <v>691.2</v>
      </c>
    </row>
    <row r="228" spans="1:11">
      <c r="A228" t="s">
        <v>291</v>
      </c>
      <c r="B228" s="14">
        <v>43303</v>
      </c>
      <c r="C228" t="s">
        <v>48</v>
      </c>
      <c r="D228" t="s">
        <v>64</v>
      </c>
      <c r="E228">
        <v>4</v>
      </c>
      <c r="F228">
        <v>40</v>
      </c>
      <c r="G228">
        <v>0.09</v>
      </c>
      <c r="H228" t="s">
        <v>58</v>
      </c>
      <c r="I228">
        <v>160</v>
      </c>
      <c r="J228">
        <v>14</v>
      </c>
      <c r="K228">
        <v>145.6</v>
      </c>
    </row>
    <row r="229" spans="1:11">
      <c r="A229" t="s">
        <v>292</v>
      </c>
      <c r="B229" s="14">
        <v>43303</v>
      </c>
      <c r="C229" t="s">
        <v>44</v>
      </c>
      <c r="D229" t="s">
        <v>49</v>
      </c>
      <c r="E229">
        <v>13</v>
      </c>
      <c r="F229">
        <v>80</v>
      </c>
      <c r="G229">
        <v>0.06</v>
      </c>
      <c r="H229" t="s">
        <v>61</v>
      </c>
      <c r="I229">
        <v>1040</v>
      </c>
      <c r="J229">
        <v>62</v>
      </c>
      <c r="K229">
        <v>977.6</v>
      </c>
    </row>
    <row r="230" spans="1:11">
      <c r="A230" t="s">
        <v>293</v>
      </c>
      <c r="B230" s="14">
        <v>43303</v>
      </c>
      <c r="C230" t="s">
        <v>67</v>
      </c>
      <c r="D230" t="s">
        <v>64</v>
      </c>
      <c r="E230">
        <v>4</v>
      </c>
      <c r="F230">
        <v>150</v>
      </c>
      <c r="G230">
        <v>0.05</v>
      </c>
      <c r="H230" t="s">
        <v>65</v>
      </c>
      <c r="I230">
        <v>600</v>
      </c>
      <c r="J230">
        <v>30</v>
      </c>
      <c r="K230">
        <v>570</v>
      </c>
    </row>
    <row r="231" spans="1:11">
      <c r="A231" t="s">
        <v>294</v>
      </c>
      <c r="B231" s="14">
        <v>43303</v>
      </c>
      <c r="C231" t="s">
        <v>52</v>
      </c>
      <c r="D231" t="s">
        <v>57</v>
      </c>
      <c r="E231">
        <v>14</v>
      </c>
      <c r="F231">
        <v>230</v>
      </c>
      <c r="G231">
        <v>0.12</v>
      </c>
      <c r="H231" t="s">
        <v>68</v>
      </c>
      <c r="I231">
        <v>3220</v>
      </c>
      <c r="J231">
        <v>386</v>
      </c>
      <c r="K231">
        <v>2833.6</v>
      </c>
    </row>
    <row r="232" spans="1:11">
      <c r="A232" t="s">
        <v>295</v>
      </c>
      <c r="B232" s="14">
        <v>43303</v>
      </c>
      <c r="C232" t="s">
        <v>67</v>
      </c>
      <c r="D232" t="s">
        <v>64</v>
      </c>
      <c r="E232">
        <v>13</v>
      </c>
      <c r="F232">
        <v>150</v>
      </c>
      <c r="G232">
        <v>0.11</v>
      </c>
      <c r="H232" t="s">
        <v>70</v>
      </c>
      <c r="I232">
        <v>1950</v>
      </c>
      <c r="J232">
        <v>214</v>
      </c>
      <c r="K232">
        <v>1735.5</v>
      </c>
    </row>
    <row r="233" spans="1:11">
      <c r="A233" t="s">
        <v>296</v>
      </c>
      <c r="B233" s="14">
        <v>43303</v>
      </c>
      <c r="C233" t="s">
        <v>67</v>
      </c>
      <c r="D233" t="s">
        <v>49</v>
      </c>
      <c r="E233">
        <v>16</v>
      </c>
      <c r="F233">
        <v>150</v>
      </c>
      <c r="G233">
        <v>0.03</v>
      </c>
      <c r="H233" t="s">
        <v>72</v>
      </c>
      <c r="I233">
        <v>2400</v>
      </c>
      <c r="J233">
        <v>72</v>
      </c>
      <c r="K233">
        <v>2328</v>
      </c>
    </row>
    <row r="234" spans="1:11">
      <c r="A234" t="s">
        <v>297</v>
      </c>
      <c r="B234" s="14">
        <v>43303</v>
      </c>
      <c r="C234" t="s">
        <v>63</v>
      </c>
      <c r="D234" t="s">
        <v>45</v>
      </c>
      <c r="E234">
        <v>7</v>
      </c>
      <c r="F234">
        <v>16</v>
      </c>
      <c r="G234">
        <v>0.12</v>
      </c>
      <c r="H234" t="s">
        <v>74</v>
      </c>
      <c r="I234">
        <v>112</v>
      </c>
      <c r="J234">
        <v>13</v>
      </c>
      <c r="K234">
        <v>98.56</v>
      </c>
    </row>
    <row r="235" spans="1:11">
      <c r="A235" t="s">
        <v>298</v>
      </c>
      <c r="B235" s="14">
        <v>43303</v>
      </c>
      <c r="C235" t="s">
        <v>67</v>
      </c>
      <c r="D235" t="s">
        <v>60</v>
      </c>
      <c r="E235">
        <v>9</v>
      </c>
      <c r="F235">
        <v>150</v>
      </c>
      <c r="G235">
        <v>0.02</v>
      </c>
      <c r="H235" t="s">
        <v>76</v>
      </c>
      <c r="I235">
        <v>1350</v>
      </c>
      <c r="J235">
        <v>27</v>
      </c>
      <c r="K235">
        <v>1323</v>
      </c>
    </row>
    <row r="236" spans="1:11">
      <c r="A236" t="s">
        <v>299</v>
      </c>
      <c r="B236" s="14">
        <v>43303</v>
      </c>
      <c r="C236" t="s">
        <v>63</v>
      </c>
      <c r="D236" t="s">
        <v>45</v>
      </c>
      <c r="E236">
        <v>10</v>
      </c>
      <c r="F236">
        <v>16</v>
      </c>
      <c r="G236">
        <v>0.08</v>
      </c>
      <c r="H236" t="s">
        <v>46</v>
      </c>
      <c r="I236">
        <v>160</v>
      </c>
      <c r="J236">
        <v>13</v>
      </c>
      <c r="K236">
        <v>147.2</v>
      </c>
    </row>
    <row r="237" spans="1:11">
      <c r="A237" t="s">
        <v>300</v>
      </c>
      <c r="B237" s="14">
        <v>43303</v>
      </c>
      <c r="C237" t="s">
        <v>44</v>
      </c>
      <c r="D237" t="s">
        <v>60</v>
      </c>
      <c r="E237">
        <v>15</v>
      </c>
      <c r="F237">
        <v>80</v>
      </c>
      <c r="G237">
        <v>0.08</v>
      </c>
      <c r="H237" t="s">
        <v>50</v>
      </c>
      <c r="I237">
        <v>1200</v>
      </c>
      <c r="J237">
        <v>96</v>
      </c>
      <c r="K237">
        <v>1104</v>
      </c>
    </row>
    <row r="238" spans="1:11">
      <c r="A238" t="s">
        <v>301</v>
      </c>
      <c r="B238" s="14">
        <v>43303</v>
      </c>
      <c r="C238" t="s">
        <v>44</v>
      </c>
      <c r="D238" t="s">
        <v>64</v>
      </c>
      <c r="E238">
        <v>9</v>
      </c>
      <c r="F238">
        <v>80</v>
      </c>
      <c r="G238">
        <v>0.06</v>
      </c>
      <c r="H238" t="s">
        <v>53</v>
      </c>
      <c r="I238">
        <v>720</v>
      </c>
      <c r="J238">
        <v>43</v>
      </c>
      <c r="K238">
        <v>676.8</v>
      </c>
    </row>
    <row r="239" spans="1:11">
      <c r="A239" t="s">
        <v>302</v>
      </c>
      <c r="B239" s="14">
        <v>43304</v>
      </c>
      <c r="C239" t="s">
        <v>63</v>
      </c>
      <c r="D239" t="s">
        <v>60</v>
      </c>
      <c r="E239">
        <v>7</v>
      </c>
      <c r="F239">
        <v>16</v>
      </c>
      <c r="G239">
        <v>0.08</v>
      </c>
      <c r="H239" t="s">
        <v>55</v>
      </c>
      <c r="I239">
        <v>112</v>
      </c>
      <c r="J239">
        <v>9</v>
      </c>
      <c r="K239">
        <v>103.04</v>
      </c>
    </row>
    <row r="240" spans="1:11">
      <c r="A240" t="s">
        <v>303</v>
      </c>
      <c r="B240" s="14">
        <v>43304</v>
      </c>
      <c r="C240" t="s">
        <v>67</v>
      </c>
      <c r="D240" t="s">
        <v>64</v>
      </c>
      <c r="E240">
        <v>7</v>
      </c>
      <c r="F240">
        <v>150</v>
      </c>
      <c r="G240">
        <v>0.03</v>
      </c>
      <c r="H240" t="s">
        <v>58</v>
      </c>
      <c r="I240">
        <v>1050</v>
      </c>
      <c r="J240">
        <v>32</v>
      </c>
      <c r="K240">
        <v>1018.5</v>
      </c>
    </row>
    <row r="241" spans="1:11">
      <c r="A241" t="s">
        <v>304</v>
      </c>
      <c r="B241" s="14">
        <v>43304</v>
      </c>
      <c r="C241" t="s">
        <v>52</v>
      </c>
      <c r="D241" t="s">
        <v>60</v>
      </c>
      <c r="E241">
        <v>16</v>
      </c>
      <c r="F241">
        <v>230</v>
      </c>
      <c r="G241">
        <v>0.11</v>
      </c>
      <c r="H241" t="s">
        <v>61</v>
      </c>
      <c r="I241">
        <v>3680</v>
      </c>
      <c r="J241">
        <v>405</v>
      </c>
      <c r="K241">
        <v>3275.2</v>
      </c>
    </row>
    <row r="242" spans="1:11">
      <c r="A242" t="s">
        <v>305</v>
      </c>
      <c r="B242" s="14">
        <v>43304</v>
      </c>
      <c r="C242" t="s">
        <v>63</v>
      </c>
      <c r="D242" t="s">
        <v>60</v>
      </c>
      <c r="E242">
        <v>18</v>
      </c>
      <c r="F242">
        <v>16</v>
      </c>
      <c r="G242">
        <v>0.04</v>
      </c>
      <c r="H242" t="s">
        <v>65</v>
      </c>
      <c r="I242">
        <v>288</v>
      </c>
      <c r="J242">
        <v>12</v>
      </c>
      <c r="K242">
        <v>276.48</v>
      </c>
    </row>
    <row r="243" spans="1:11">
      <c r="A243" t="s">
        <v>306</v>
      </c>
      <c r="B243" s="14">
        <v>43304</v>
      </c>
      <c r="C243" t="s">
        <v>52</v>
      </c>
      <c r="D243" t="s">
        <v>64</v>
      </c>
      <c r="E243">
        <v>20</v>
      </c>
      <c r="F243">
        <v>230</v>
      </c>
      <c r="G243">
        <v>0.11</v>
      </c>
      <c r="H243" t="s">
        <v>68</v>
      </c>
      <c r="I243">
        <v>4600</v>
      </c>
      <c r="J243">
        <v>506</v>
      </c>
      <c r="K243">
        <v>4094</v>
      </c>
    </row>
    <row r="244" spans="1:11">
      <c r="A244" t="s">
        <v>307</v>
      </c>
      <c r="B244" s="14">
        <v>43304</v>
      </c>
      <c r="C244" t="s">
        <v>67</v>
      </c>
      <c r="D244" t="s">
        <v>45</v>
      </c>
      <c r="E244">
        <v>7</v>
      </c>
      <c r="F244">
        <v>150</v>
      </c>
      <c r="G244">
        <v>0.02</v>
      </c>
      <c r="H244" t="s">
        <v>70</v>
      </c>
      <c r="I244">
        <v>1050</v>
      </c>
      <c r="J244">
        <v>21</v>
      </c>
      <c r="K244">
        <v>1029</v>
      </c>
    </row>
    <row r="245" spans="1:11">
      <c r="A245" t="s">
        <v>308</v>
      </c>
      <c r="B245" s="14">
        <v>43304</v>
      </c>
      <c r="C245" t="s">
        <v>63</v>
      </c>
      <c r="D245" t="s">
        <v>57</v>
      </c>
      <c r="E245">
        <v>11</v>
      </c>
      <c r="F245">
        <v>16</v>
      </c>
      <c r="G245">
        <v>0.12</v>
      </c>
      <c r="H245" t="s">
        <v>72</v>
      </c>
      <c r="I245">
        <v>176</v>
      </c>
      <c r="J245">
        <v>21</v>
      </c>
      <c r="K245">
        <v>154.88</v>
      </c>
    </row>
    <row r="246" spans="1:11">
      <c r="A246" t="s">
        <v>309</v>
      </c>
      <c r="B246" s="14">
        <v>43304</v>
      </c>
      <c r="C246" t="s">
        <v>48</v>
      </c>
      <c r="D246" t="s">
        <v>57</v>
      </c>
      <c r="E246">
        <v>12</v>
      </c>
      <c r="F246">
        <v>40</v>
      </c>
      <c r="G246">
        <v>0.02</v>
      </c>
      <c r="H246" t="s">
        <v>74</v>
      </c>
      <c r="I246">
        <v>480</v>
      </c>
      <c r="J246">
        <v>10</v>
      </c>
      <c r="K246">
        <v>470.4</v>
      </c>
    </row>
    <row r="247" spans="1:11">
      <c r="A247" t="s">
        <v>310</v>
      </c>
      <c r="B247" s="14">
        <v>43304</v>
      </c>
      <c r="C247" t="s">
        <v>67</v>
      </c>
      <c r="D247" t="s">
        <v>64</v>
      </c>
      <c r="E247">
        <v>7</v>
      </c>
      <c r="F247">
        <v>150</v>
      </c>
      <c r="G247">
        <v>0.02</v>
      </c>
      <c r="H247" t="s">
        <v>76</v>
      </c>
      <c r="I247">
        <v>1050</v>
      </c>
      <c r="J247">
        <v>21</v>
      </c>
      <c r="K247">
        <v>1029</v>
      </c>
    </row>
    <row r="248" spans="1:11">
      <c r="A248" t="s">
        <v>311</v>
      </c>
      <c r="B248" s="14">
        <v>43304</v>
      </c>
      <c r="C248" t="s">
        <v>44</v>
      </c>
      <c r="D248" t="s">
        <v>57</v>
      </c>
      <c r="E248">
        <v>14</v>
      </c>
      <c r="F248">
        <v>80</v>
      </c>
      <c r="G248">
        <v>0.1</v>
      </c>
      <c r="H248" t="s">
        <v>46</v>
      </c>
      <c r="I248">
        <v>1120</v>
      </c>
      <c r="J248">
        <v>112</v>
      </c>
      <c r="K248">
        <v>1008</v>
      </c>
    </row>
    <row r="249" spans="1:11">
      <c r="A249" t="s">
        <v>312</v>
      </c>
      <c r="B249" s="14">
        <v>43304</v>
      </c>
      <c r="C249" t="s">
        <v>52</v>
      </c>
      <c r="D249" t="s">
        <v>57</v>
      </c>
      <c r="E249">
        <v>12</v>
      </c>
      <c r="F249">
        <v>230</v>
      </c>
      <c r="G249">
        <v>0.06</v>
      </c>
      <c r="H249" t="s">
        <v>50</v>
      </c>
      <c r="I249">
        <v>2760</v>
      </c>
      <c r="J249">
        <v>166</v>
      </c>
      <c r="K249">
        <v>2594.4</v>
      </c>
    </row>
    <row r="250" spans="1:11">
      <c r="A250" t="s">
        <v>313</v>
      </c>
      <c r="B250" s="14">
        <v>43305</v>
      </c>
      <c r="C250" t="s">
        <v>44</v>
      </c>
      <c r="D250" t="s">
        <v>49</v>
      </c>
      <c r="E250">
        <v>21</v>
      </c>
      <c r="F250">
        <v>80</v>
      </c>
      <c r="G250">
        <v>0.04</v>
      </c>
      <c r="H250" t="s">
        <v>53</v>
      </c>
      <c r="I250">
        <v>1680</v>
      </c>
      <c r="J250">
        <v>67</v>
      </c>
      <c r="K250">
        <v>1612.8</v>
      </c>
    </row>
    <row r="251" spans="1:11">
      <c r="A251" t="s">
        <v>314</v>
      </c>
      <c r="B251" s="14">
        <v>43305</v>
      </c>
      <c r="C251" t="s">
        <v>67</v>
      </c>
      <c r="D251" t="s">
        <v>45</v>
      </c>
      <c r="E251">
        <v>8</v>
      </c>
      <c r="F251">
        <v>150</v>
      </c>
      <c r="G251">
        <v>0.09</v>
      </c>
      <c r="H251" t="s">
        <v>55</v>
      </c>
      <c r="I251">
        <v>1200</v>
      </c>
      <c r="J251">
        <v>108</v>
      </c>
      <c r="K251">
        <v>1092</v>
      </c>
    </row>
    <row r="252" spans="1:11">
      <c r="A252" t="s">
        <v>315</v>
      </c>
      <c r="B252" s="14">
        <v>43305</v>
      </c>
      <c r="C252" t="s">
        <v>44</v>
      </c>
      <c r="D252" t="s">
        <v>49</v>
      </c>
      <c r="E252">
        <v>16</v>
      </c>
      <c r="F252">
        <v>80</v>
      </c>
      <c r="G252">
        <v>0.04</v>
      </c>
      <c r="H252" t="s">
        <v>58</v>
      </c>
      <c r="I252">
        <v>1280</v>
      </c>
      <c r="J252">
        <v>51</v>
      </c>
      <c r="K252">
        <v>1228.8</v>
      </c>
    </row>
    <row r="253" spans="1:11">
      <c r="A253" t="s">
        <v>316</v>
      </c>
      <c r="B253" s="14">
        <v>43305</v>
      </c>
      <c r="C253" t="s">
        <v>52</v>
      </c>
      <c r="D253" t="s">
        <v>49</v>
      </c>
      <c r="E253">
        <v>14</v>
      </c>
      <c r="F253">
        <v>230</v>
      </c>
      <c r="G253">
        <v>0.05</v>
      </c>
      <c r="H253" t="s">
        <v>61</v>
      </c>
      <c r="I253">
        <v>3220</v>
      </c>
      <c r="J253">
        <v>161</v>
      </c>
      <c r="K253">
        <v>3059</v>
      </c>
    </row>
    <row r="254" spans="1:11">
      <c r="A254" t="s">
        <v>317</v>
      </c>
      <c r="B254" s="14">
        <v>43305</v>
      </c>
      <c r="C254" t="s">
        <v>48</v>
      </c>
      <c r="D254" t="s">
        <v>57</v>
      </c>
      <c r="E254">
        <v>2</v>
      </c>
      <c r="F254">
        <v>40</v>
      </c>
      <c r="G254">
        <v>0.03</v>
      </c>
      <c r="H254" t="s">
        <v>65</v>
      </c>
      <c r="I254">
        <v>80</v>
      </c>
      <c r="J254">
        <v>2</v>
      </c>
      <c r="K254">
        <v>77.6</v>
      </c>
    </row>
    <row r="255" spans="1:11">
      <c r="A255" t="s">
        <v>318</v>
      </c>
      <c r="B255" s="14">
        <v>43305</v>
      </c>
      <c r="C255" t="s">
        <v>67</v>
      </c>
      <c r="D255" t="s">
        <v>45</v>
      </c>
      <c r="E255">
        <v>4</v>
      </c>
      <c r="F255">
        <v>150</v>
      </c>
      <c r="G255">
        <v>0.1</v>
      </c>
      <c r="H255" t="s">
        <v>68</v>
      </c>
      <c r="I255">
        <v>600</v>
      </c>
      <c r="J255">
        <v>60</v>
      </c>
      <c r="K255">
        <v>540</v>
      </c>
    </row>
    <row r="256" spans="1:11">
      <c r="A256" t="s">
        <v>319</v>
      </c>
      <c r="B256" s="14">
        <v>43305</v>
      </c>
      <c r="C256" t="s">
        <v>44</v>
      </c>
      <c r="D256" t="s">
        <v>57</v>
      </c>
      <c r="E256">
        <v>6</v>
      </c>
      <c r="F256">
        <v>80</v>
      </c>
      <c r="G256">
        <v>0.01</v>
      </c>
      <c r="H256" t="s">
        <v>70</v>
      </c>
      <c r="I256">
        <v>480</v>
      </c>
      <c r="J256">
        <v>5</v>
      </c>
      <c r="K256">
        <v>475.2</v>
      </c>
    </row>
    <row r="257" spans="1:11">
      <c r="A257" t="s">
        <v>320</v>
      </c>
      <c r="B257" s="14">
        <v>43305</v>
      </c>
      <c r="C257" t="s">
        <v>48</v>
      </c>
      <c r="D257" t="s">
        <v>57</v>
      </c>
      <c r="E257">
        <v>6</v>
      </c>
      <c r="F257">
        <v>40</v>
      </c>
      <c r="G257">
        <v>0.06</v>
      </c>
      <c r="H257" t="s">
        <v>72</v>
      </c>
      <c r="I257">
        <v>240</v>
      </c>
      <c r="J257">
        <v>14</v>
      </c>
      <c r="K257">
        <v>225.6</v>
      </c>
    </row>
    <row r="258" spans="1:11">
      <c r="A258" t="s">
        <v>321</v>
      </c>
      <c r="B258" s="14">
        <v>43305</v>
      </c>
      <c r="C258" t="s">
        <v>67</v>
      </c>
      <c r="D258" t="s">
        <v>45</v>
      </c>
      <c r="E258">
        <v>20</v>
      </c>
      <c r="F258">
        <v>150</v>
      </c>
      <c r="G258">
        <v>0.04</v>
      </c>
      <c r="H258" t="s">
        <v>74</v>
      </c>
      <c r="I258">
        <v>3000</v>
      </c>
      <c r="J258">
        <v>120</v>
      </c>
      <c r="K258">
        <v>2880</v>
      </c>
    </row>
    <row r="259" spans="1:11">
      <c r="A259" t="s">
        <v>322</v>
      </c>
      <c r="B259" s="14">
        <v>43305</v>
      </c>
      <c r="C259" t="s">
        <v>48</v>
      </c>
      <c r="D259" t="s">
        <v>57</v>
      </c>
      <c r="E259">
        <v>18</v>
      </c>
      <c r="F259">
        <v>40</v>
      </c>
      <c r="G259">
        <v>0.03</v>
      </c>
      <c r="H259" t="s">
        <v>76</v>
      </c>
      <c r="I259">
        <v>720</v>
      </c>
      <c r="J259">
        <v>22</v>
      </c>
      <c r="K259">
        <v>698.4</v>
      </c>
    </row>
    <row r="260" spans="1:11">
      <c r="A260" t="s">
        <v>323</v>
      </c>
      <c r="B260" s="14">
        <v>43305</v>
      </c>
      <c r="C260" t="s">
        <v>52</v>
      </c>
      <c r="D260" t="s">
        <v>60</v>
      </c>
      <c r="E260">
        <v>18</v>
      </c>
      <c r="F260">
        <v>230</v>
      </c>
      <c r="G260">
        <v>0.01</v>
      </c>
      <c r="H260" t="s">
        <v>46</v>
      </c>
      <c r="I260">
        <v>4140</v>
      </c>
      <c r="J260">
        <v>41</v>
      </c>
      <c r="K260">
        <v>4098.6</v>
      </c>
    </row>
    <row r="261" spans="1:11">
      <c r="A261" t="s">
        <v>324</v>
      </c>
      <c r="B261" s="14">
        <v>43305</v>
      </c>
      <c r="C261" t="s">
        <v>52</v>
      </c>
      <c r="D261" t="s">
        <v>57</v>
      </c>
      <c r="E261">
        <v>15</v>
      </c>
      <c r="F261">
        <v>230</v>
      </c>
      <c r="G261">
        <v>0.04</v>
      </c>
      <c r="H261" t="s">
        <v>50</v>
      </c>
      <c r="I261">
        <v>3450</v>
      </c>
      <c r="J261">
        <v>138</v>
      </c>
      <c r="K261">
        <v>3312</v>
      </c>
    </row>
    <row r="262" spans="1:11">
      <c r="A262" t="s">
        <v>325</v>
      </c>
      <c r="B262" s="14">
        <v>43305</v>
      </c>
      <c r="C262" t="s">
        <v>63</v>
      </c>
      <c r="D262" t="s">
        <v>49</v>
      </c>
      <c r="E262">
        <v>22</v>
      </c>
      <c r="F262">
        <v>16</v>
      </c>
      <c r="G262">
        <v>0.01</v>
      </c>
      <c r="H262" t="s">
        <v>53</v>
      </c>
      <c r="I262">
        <v>352</v>
      </c>
      <c r="J262">
        <v>4</v>
      </c>
      <c r="K262">
        <v>348.48</v>
      </c>
    </row>
    <row r="263" spans="1:11">
      <c r="A263" t="s">
        <v>326</v>
      </c>
      <c r="B263" s="14">
        <v>43305</v>
      </c>
      <c r="C263" t="s">
        <v>67</v>
      </c>
      <c r="D263" t="s">
        <v>45</v>
      </c>
      <c r="E263">
        <v>17</v>
      </c>
      <c r="F263">
        <v>150</v>
      </c>
      <c r="G263">
        <v>0.12</v>
      </c>
      <c r="H263" t="s">
        <v>55</v>
      </c>
      <c r="I263">
        <v>2550</v>
      </c>
      <c r="J263">
        <v>306</v>
      </c>
      <c r="K263">
        <v>2244</v>
      </c>
    </row>
    <row r="264" spans="1:11">
      <c r="A264" t="s">
        <v>327</v>
      </c>
      <c r="B264" s="14">
        <v>43306</v>
      </c>
      <c r="C264" t="s">
        <v>63</v>
      </c>
      <c r="D264" t="s">
        <v>49</v>
      </c>
      <c r="E264">
        <v>5</v>
      </c>
      <c r="F264">
        <v>16</v>
      </c>
      <c r="G264">
        <v>0.11</v>
      </c>
      <c r="H264" t="s">
        <v>58</v>
      </c>
      <c r="I264">
        <v>80</v>
      </c>
      <c r="J264">
        <v>9</v>
      </c>
      <c r="K264">
        <v>71.2</v>
      </c>
    </row>
    <row r="265" spans="1:11">
      <c r="A265" t="s">
        <v>328</v>
      </c>
      <c r="B265" s="14">
        <v>43306</v>
      </c>
      <c r="C265" t="s">
        <v>67</v>
      </c>
      <c r="D265" t="s">
        <v>45</v>
      </c>
      <c r="E265">
        <v>23</v>
      </c>
      <c r="F265">
        <v>150</v>
      </c>
      <c r="G265">
        <v>0.1</v>
      </c>
      <c r="H265" t="s">
        <v>61</v>
      </c>
      <c r="I265">
        <v>3450</v>
      </c>
      <c r="J265">
        <v>345</v>
      </c>
      <c r="K265">
        <v>3105</v>
      </c>
    </row>
    <row r="266" spans="1:11">
      <c r="A266" t="s">
        <v>329</v>
      </c>
      <c r="B266" s="14">
        <v>43306</v>
      </c>
      <c r="C266" t="s">
        <v>67</v>
      </c>
      <c r="D266" t="s">
        <v>60</v>
      </c>
      <c r="E266">
        <v>22</v>
      </c>
      <c r="F266">
        <v>150</v>
      </c>
      <c r="G266">
        <v>0.05</v>
      </c>
      <c r="H266" t="s">
        <v>65</v>
      </c>
      <c r="I266">
        <v>3300</v>
      </c>
      <c r="J266">
        <v>165</v>
      </c>
      <c r="K266">
        <v>3135</v>
      </c>
    </row>
    <row r="267" spans="1:11">
      <c r="A267" t="s">
        <v>330</v>
      </c>
      <c r="B267" s="14">
        <v>43306</v>
      </c>
      <c r="C267" t="s">
        <v>63</v>
      </c>
      <c r="D267" t="s">
        <v>64</v>
      </c>
      <c r="E267">
        <v>15</v>
      </c>
      <c r="F267">
        <v>16</v>
      </c>
      <c r="G267">
        <v>0.01</v>
      </c>
      <c r="H267" t="s">
        <v>68</v>
      </c>
      <c r="I267">
        <v>240</v>
      </c>
      <c r="J267">
        <v>2</v>
      </c>
      <c r="K267">
        <v>237.6</v>
      </c>
    </row>
    <row r="268" spans="1:11">
      <c r="A268" t="s">
        <v>331</v>
      </c>
      <c r="B268" s="14">
        <v>43306</v>
      </c>
      <c r="C268" t="s">
        <v>48</v>
      </c>
      <c r="D268" t="s">
        <v>60</v>
      </c>
      <c r="E268">
        <v>7</v>
      </c>
      <c r="F268">
        <v>40</v>
      </c>
      <c r="G268">
        <v>0.07</v>
      </c>
      <c r="H268" t="s">
        <v>70</v>
      </c>
      <c r="I268">
        <v>280</v>
      </c>
      <c r="J268">
        <v>20</v>
      </c>
      <c r="K268">
        <v>260.4</v>
      </c>
    </row>
    <row r="269" spans="1:11">
      <c r="A269" t="s">
        <v>332</v>
      </c>
      <c r="B269" s="14">
        <v>43306</v>
      </c>
      <c r="C269" t="s">
        <v>44</v>
      </c>
      <c r="D269" t="s">
        <v>64</v>
      </c>
      <c r="E269">
        <v>22</v>
      </c>
      <c r="F269">
        <v>80</v>
      </c>
      <c r="G269">
        <v>0.11</v>
      </c>
      <c r="H269" t="s">
        <v>72</v>
      </c>
      <c r="I269">
        <v>1760</v>
      </c>
      <c r="J269">
        <v>194</v>
      </c>
      <c r="K269">
        <v>1566.4</v>
      </c>
    </row>
    <row r="270" spans="1:11">
      <c r="A270" t="s">
        <v>333</v>
      </c>
      <c r="B270" s="14">
        <v>43306</v>
      </c>
      <c r="C270" t="s">
        <v>67</v>
      </c>
      <c r="D270" t="s">
        <v>57</v>
      </c>
      <c r="E270">
        <v>11</v>
      </c>
      <c r="F270">
        <v>150</v>
      </c>
      <c r="G270">
        <v>0.05</v>
      </c>
      <c r="H270" t="s">
        <v>74</v>
      </c>
      <c r="I270">
        <v>1650</v>
      </c>
      <c r="J270">
        <v>82</v>
      </c>
      <c r="K270">
        <v>1567.5</v>
      </c>
    </row>
    <row r="271" spans="1:11">
      <c r="A271" t="s">
        <v>334</v>
      </c>
      <c r="B271" s="14">
        <v>43306</v>
      </c>
      <c r="C271" t="s">
        <v>48</v>
      </c>
      <c r="D271" t="s">
        <v>49</v>
      </c>
      <c r="E271">
        <v>21</v>
      </c>
      <c r="F271">
        <v>40</v>
      </c>
      <c r="G271">
        <v>0.03</v>
      </c>
      <c r="H271" t="s">
        <v>76</v>
      </c>
      <c r="I271">
        <v>840</v>
      </c>
      <c r="J271">
        <v>25</v>
      </c>
      <c r="K271">
        <v>814.8</v>
      </c>
    </row>
    <row r="272" spans="1:11">
      <c r="A272" t="s">
        <v>335</v>
      </c>
      <c r="B272" s="14">
        <v>43306</v>
      </c>
      <c r="C272" t="s">
        <v>44</v>
      </c>
      <c r="D272" t="s">
        <v>60</v>
      </c>
      <c r="E272">
        <v>23</v>
      </c>
      <c r="F272">
        <v>80</v>
      </c>
      <c r="G272">
        <v>0.11</v>
      </c>
      <c r="H272" t="s">
        <v>46</v>
      </c>
      <c r="I272">
        <v>1840</v>
      </c>
      <c r="J272">
        <v>202</v>
      </c>
      <c r="K272">
        <v>1637.6</v>
      </c>
    </row>
    <row r="273" spans="1:11">
      <c r="A273" t="s">
        <v>336</v>
      </c>
      <c r="B273" s="14">
        <v>43306</v>
      </c>
      <c r="C273" t="s">
        <v>52</v>
      </c>
      <c r="D273" t="s">
        <v>57</v>
      </c>
      <c r="E273">
        <v>7</v>
      </c>
      <c r="F273">
        <v>230</v>
      </c>
      <c r="G273">
        <v>0.01</v>
      </c>
      <c r="H273" t="s">
        <v>50</v>
      </c>
      <c r="I273">
        <v>1610</v>
      </c>
      <c r="J273">
        <v>16</v>
      </c>
      <c r="K273">
        <v>1593.9</v>
      </c>
    </row>
    <row r="274" spans="1:11">
      <c r="A274" t="s">
        <v>337</v>
      </c>
      <c r="B274" s="14">
        <v>43306</v>
      </c>
      <c r="C274" t="s">
        <v>52</v>
      </c>
      <c r="D274" t="s">
        <v>45</v>
      </c>
      <c r="E274">
        <v>16</v>
      </c>
      <c r="F274">
        <v>230</v>
      </c>
      <c r="G274">
        <v>0.07</v>
      </c>
      <c r="H274" t="s">
        <v>53</v>
      </c>
      <c r="I274">
        <v>3680</v>
      </c>
      <c r="J274">
        <v>258</v>
      </c>
      <c r="K274">
        <v>3422.4</v>
      </c>
    </row>
    <row r="275" spans="1:11">
      <c r="A275" t="s">
        <v>338</v>
      </c>
      <c r="B275" s="14">
        <v>43306</v>
      </c>
      <c r="C275" t="s">
        <v>44</v>
      </c>
      <c r="D275" t="s">
        <v>49</v>
      </c>
      <c r="E275">
        <v>14</v>
      </c>
      <c r="F275">
        <v>80</v>
      </c>
      <c r="G275">
        <v>0.11</v>
      </c>
      <c r="H275" t="s">
        <v>55</v>
      </c>
      <c r="I275">
        <v>1120</v>
      </c>
      <c r="J275">
        <v>123</v>
      </c>
      <c r="K275">
        <v>996.8</v>
      </c>
    </row>
    <row r="276" spans="1:11">
      <c r="A276" t="s">
        <v>339</v>
      </c>
      <c r="B276" s="14">
        <v>43306</v>
      </c>
      <c r="C276" t="s">
        <v>67</v>
      </c>
      <c r="D276" t="s">
        <v>57</v>
      </c>
      <c r="E276">
        <v>22</v>
      </c>
      <c r="F276">
        <v>150</v>
      </c>
      <c r="G276">
        <v>0.09</v>
      </c>
      <c r="H276" t="s">
        <v>58</v>
      </c>
      <c r="I276">
        <v>3300</v>
      </c>
      <c r="J276">
        <v>297</v>
      </c>
      <c r="K276">
        <v>3003</v>
      </c>
    </row>
    <row r="277" spans="1:11">
      <c r="A277" t="s">
        <v>340</v>
      </c>
      <c r="B277" s="14">
        <v>43306</v>
      </c>
      <c r="C277" t="s">
        <v>67</v>
      </c>
      <c r="D277" t="s">
        <v>60</v>
      </c>
      <c r="E277">
        <v>4</v>
      </c>
      <c r="F277">
        <v>150</v>
      </c>
      <c r="G277">
        <v>0.12</v>
      </c>
      <c r="H277" t="s">
        <v>61</v>
      </c>
      <c r="I277">
        <v>600</v>
      </c>
      <c r="J277">
        <v>72</v>
      </c>
      <c r="K277">
        <v>528</v>
      </c>
    </row>
    <row r="278" spans="1:11">
      <c r="A278" t="s">
        <v>341</v>
      </c>
      <c r="B278" s="14">
        <v>43306</v>
      </c>
      <c r="C278" t="s">
        <v>67</v>
      </c>
      <c r="D278" t="s">
        <v>45</v>
      </c>
      <c r="E278">
        <v>3</v>
      </c>
      <c r="F278">
        <v>150</v>
      </c>
      <c r="G278">
        <v>0.03</v>
      </c>
      <c r="H278" t="s">
        <v>65</v>
      </c>
      <c r="I278">
        <v>450</v>
      </c>
      <c r="J278">
        <v>14</v>
      </c>
      <c r="K278">
        <v>436.5</v>
      </c>
    </row>
    <row r="279" spans="1:11">
      <c r="A279" t="s">
        <v>342</v>
      </c>
      <c r="B279" s="14">
        <v>43306</v>
      </c>
      <c r="C279" t="s">
        <v>48</v>
      </c>
      <c r="D279" t="s">
        <v>64</v>
      </c>
      <c r="E279">
        <v>17</v>
      </c>
      <c r="F279">
        <v>40</v>
      </c>
      <c r="G279">
        <v>0.02</v>
      </c>
      <c r="H279" t="s">
        <v>68</v>
      </c>
      <c r="I279">
        <v>680</v>
      </c>
      <c r="J279">
        <v>14</v>
      </c>
      <c r="K279">
        <v>666.4</v>
      </c>
    </row>
    <row r="280" spans="1:11">
      <c r="A280" t="s">
        <v>343</v>
      </c>
      <c r="B280" s="14">
        <v>43306</v>
      </c>
      <c r="C280" t="s">
        <v>44</v>
      </c>
      <c r="D280" t="s">
        <v>64</v>
      </c>
      <c r="E280">
        <v>22</v>
      </c>
      <c r="F280">
        <v>80</v>
      </c>
      <c r="G280">
        <v>0.1</v>
      </c>
      <c r="H280" t="s">
        <v>70</v>
      </c>
      <c r="I280">
        <v>1760</v>
      </c>
      <c r="J280">
        <v>176</v>
      </c>
      <c r="K280">
        <v>1584</v>
      </c>
    </row>
    <row r="281" spans="1:11">
      <c r="A281" t="s">
        <v>344</v>
      </c>
      <c r="B281" s="14">
        <v>43306</v>
      </c>
      <c r="C281" t="s">
        <v>67</v>
      </c>
      <c r="D281" t="s">
        <v>64</v>
      </c>
      <c r="E281">
        <v>18</v>
      </c>
      <c r="F281">
        <v>150</v>
      </c>
      <c r="G281">
        <v>0.12</v>
      </c>
      <c r="H281" t="s">
        <v>72</v>
      </c>
      <c r="I281">
        <v>2700</v>
      </c>
      <c r="J281">
        <v>324</v>
      </c>
      <c r="K281">
        <v>2376</v>
      </c>
    </row>
    <row r="282" spans="1:11">
      <c r="A282" t="s">
        <v>345</v>
      </c>
      <c r="B282" s="14">
        <v>43307</v>
      </c>
      <c r="C282" t="s">
        <v>67</v>
      </c>
      <c r="D282" t="s">
        <v>45</v>
      </c>
      <c r="E282">
        <v>4</v>
      </c>
      <c r="F282">
        <v>150</v>
      </c>
      <c r="G282">
        <v>0.06</v>
      </c>
      <c r="H282" t="s">
        <v>46</v>
      </c>
      <c r="I282">
        <v>600</v>
      </c>
      <c r="J282">
        <v>36</v>
      </c>
      <c r="K282">
        <v>564</v>
      </c>
    </row>
    <row r="283" spans="1:11">
      <c r="A283" t="s">
        <v>346</v>
      </c>
      <c r="B283" s="14">
        <v>43307</v>
      </c>
      <c r="C283" t="s">
        <v>52</v>
      </c>
      <c r="D283" t="s">
        <v>49</v>
      </c>
      <c r="E283">
        <v>22</v>
      </c>
      <c r="F283">
        <v>230</v>
      </c>
      <c r="G283">
        <v>0.04</v>
      </c>
      <c r="H283" t="s">
        <v>50</v>
      </c>
      <c r="I283">
        <v>5060</v>
      </c>
      <c r="J283">
        <v>202</v>
      </c>
      <c r="K283">
        <v>4857.6</v>
      </c>
    </row>
    <row r="284" spans="1:11">
      <c r="A284" t="s">
        <v>347</v>
      </c>
      <c r="B284" s="14">
        <v>43307</v>
      </c>
      <c r="C284" t="s">
        <v>67</v>
      </c>
      <c r="D284" t="s">
        <v>49</v>
      </c>
      <c r="E284">
        <v>15</v>
      </c>
      <c r="F284">
        <v>150</v>
      </c>
      <c r="G284">
        <v>0.12</v>
      </c>
      <c r="H284" t="s">
        <v>53</v>
      </c>
      <c r="I284">
        <v>2250</v>
      </c>
      <c r="J284">
        <v>270</v>
      </c>
      <c r="K284">
        <v>1980</v>
      </c>
    </row>
    <row r="285" spans="1:11">
      <c r="A285" t="s">
        <v>348</v>
      </c>
      <c r="B285" s="14">
        <v>43307</v>
      </c>
      <c r="C285" t="s">
        <v>44</v>
      </c>
      <c r="D285" t="s">
        <v>45</v>
      </c>
      <c r="E285">
        <v>17</v>
      </c>
      <c r="F285">
        <v>80</v>
      </c>
      <c r="G285">
        <v>0.07</v>
      </c>
      <c r="H285" t="s">
        <v>55</v>
      </c>
      <c r="I285">
        <v>1360</v>
      </c>
      <c r="J285">
        <v>95</v>
      </c>
      <c r="K285">
        <v>1264.8</v>
      </c>
    </row>
    <row r="286" spans="1:11">
      <c r="A286" t="s">
        <v>349</v>
      </c>
      <c r="B286" s="14">
        <v>43307</v>
      </c>
      <c r="C286" t="s">
        <v>48</v>
      </c>
      <c r="D286" t="s">
        <v>64</v>
      </c>
      <c r="E286">
        <v>10</v>
      </c>
      <c r="F286">
        <v>40</v>
      </c>
      <c r="G286">
        <v>0.03</v>
      </c>
      <c r="H286" t="s">
        <v>58</v>
      </c>
      <c r="I286">
        <v>400</v>
      </c>
      <c r="J286">
        <v>12</v>
      </c>
      <c r="K286">
        <v>388</v>
      </c>
    </row>
    <row r="287" spans="1:11">
      <c r="A287" t="s">
        <v>350</v>
      </c>
      <c r="B287" s="14">
        <v>43307</v>
      </c>
      <c r="C287" t="s">
        <v>48</v>
      </c>
      <c r="D287" t="s">
        <v>45</v>
      </c>
      <c r="E287">
        <v>23</v>
      </c>
      <c r="F287">
        <v>40</v>
      </c>
      <c r="G287">
        <v>0.07</v>
      </c>
      <c r="H287" t="s">
        <v>61</v>
      </c>
      <c r="I287">
        <v>920</v>
      </c>
      <c r="J287">
        <v>64</v>
      </c>
      <c r="K287">
        <v>855.6</v>
      </c>
    </row>
    <row r="288" spans="1:11">
      <c r="A288" t="s">
        <v>351</v>
      </c>
      <c r="B288" s="14">
        <v>43307</v>
      </c>
      <c r="C288" t="s">
        <v>63</v>
      </c>
      <c r="D288" t="s">
        <v>49</v>
      </c>
      <c r="E288">
        <v>22</v>
      </c>
      <c r="F288">
        <v>16</v>
      </c>
      <c r="G288">
        <v>0.04</v>
      </c>
      <c r="H288" t="s">
        <v>65</v>
      </c>
      <c r="I288">
        <v>352</v>
      </c>
      <c r="J288">
        <v>14</v>
      </c>
      <c r="K288">
        <v>337.92</v>
      </c>
    </row>
    <row r="289" spans="1:11">
      <c r="A289" t="s">
        <v>352</v>
      </c>
      <c r="B289" s="14">
        <v>43307</v>
      </c>
      <c r="C289" t="s">
        <v>44</v>
      </c>
      <c r="D289" t="s">
        <v>57</v>
      </c>
      <c r="E289">
        <v>8</v>
      </c>
      <c r="F289">
        <v>80</v>
      </c>
      <c r="G289">
        <v>0.02</v>
      </c>
      <c r="H289" t="s">
        <v>68</v>
      </c>
      <c r="I289">
        <v>640</v>
      </c>
      <c r="J289">
        <v>13</v>
      </c>
      <c r="K289">
        <v>627.2</v>
      </c>
    </row>
    <row r="290" spans="1:11">
      <c r="A290" t="s">
        <v>353</v>
      </c>
      <c r="B290" s="14">
        <v>43307</v>
      </c>
      <c r="C290" t="s">
        <v>63</v>
      </c>
      <c r="D290" t="s">
        <v>49</v>
      </c>
      <c r="E290">
        <v>4</v>
      </c>
      <c r="F290">
        <v>16</v>
      </c>
      <c r="G290">
        <v>0.09</v>
      </c>
      <c r="H290" t="s">
        <v>70</v>
      </c>
      <c r="I290">
        <v>64</v>
      </c>
      <c r="J290">
        <v>6</v>
      </c>
      <c r="K290">
        <v>58.24</v>
      </c>
    </row>
    <row r="291" spans="1:11">
      <c r="A291" t="s">
        <v>354</v>
      </c>
      <c r="B291" s="14">
        <v>43307</v>
      </c>
      <c r="C291" t="s">
        <v>48</v>
      </c>
      <c r="D291" t="s">
        <v>60</v>
      </c>
      <c r="E291">
        <v>11</v>
      </c>
      <c r="F291">
        <v>40</v>
      </c>
      <c r="G291">
        <v>0.09</v>
      </c>
      <c r="H291" t="s">
        <v>72</v>
      </c>
      <c r="I291">
        <v>440</v>
      </c>
      <c r="J291">
        <v>40</v>
      </c>
      <c r="K291">
        <v>400.4</v>
      </c>
    </row>
    <row r="292" spans="1:11">
      <c r="A292" t="s">
        <v>355</v>
      </c>
      <c r="B292" s="14">
        <v>43307</v>
      </c>
      <c r="C292" t="s">
        <v>52</v>
      </c>
      <c r="D292" t="s">
        <v>57</v>
      </c>
      <c r="E292">
        <v>18</v>
      </c>
      <c r="F292">
        <v>230</v>
      </c>
      <c r="G292">
        <v>0.01</v>
      </c>
      <c r="H292" t="s">
        <v>74</v>
      </c>
      <c r="I292">
        <v>4140</v>
      </c>
      <c r="J292">
        <v>41</v>
      </c>
      <c r="K292">
        <v>4098.6</v>
      </c>
    </row>
    <row r="293" spans="1:11">
      <c r="A293" t="s">
        <v>356</v>
      </c>
      <c r="B293" s="14">
        <v>43308</v>
      </c>
      <c r="C293" t="s">
        <v>52</v>
      </c>
      <c r="D293" t="s">
        <v>49</v>
      </c>
      <c r="E293">
        <v>11</v>
      </c>
      <c r="F293">
        <v>230</v>
      </c>
      <c r="G293">
        <v>0.1</v>
      </c>
      <c r="H293" t="s">
        <v>76</v>
      </c>
      <c r="I293">
        <v>2530</v>
      </c>
      <c r="J293">
        <v>253</v>
      </c>
      <c r="K293">
        <v>2277</v>
      </c>
    </row>
    <row r="294" spans="1:11">
      <c r="A294" t="s">
        <v>357</v>
      </c>
      <c r="B294" s="14">
        <v>43308</v>
      </c>
      <c r="C294" t="s">
        <v>52</v>
      </c>
      <c r="D294" t="s">
        <v>45</v>
      </c>
      <c r="E294">
        <v>15</v>
      </c>
      <c r="F294">
        <v>230</v>
      </c>
      <c r="G294">
        <v>0.05</v>
      </c>
      <c r="H294" t="s">
        <v>46</v>
      </c>
      <c r="I294">
        <v>3450</v>
      </c>
      <c r="J294">
        <v>172</v>
      </c>
      <c r="K294">
        <v>3277.5</v>
      </c>
    </row>
    <row r="295" spans="1:11">
      <c r="A295" t="s">
        <v>358</v>
      </c>
      <c r="B295" s="14">
        <v>43308</v>
      </c>
      <c r="C295" t="s">
        <v>48</v>
      </c>
      <c r="D295" t="s">
        <v>64</v>
      </c>
      <c r="E295">
        <v>7</v>
      </c>
      <c r="F295">
        <v>40</v>
      </c>
      <c r="G295">
        <v>0.04</v>
      </c>
      <c r="H295" t="s">
        <v>50</v>
      </c>
      <c r="I295">
        <v>280</v>
      </c>
      <c r="J295">
        <v>11</v>
      </c>
      <c r="K295">
        <v>268.8</v>
      </c>
    </row>
    <row r="296" spans="1:11">
      <c r="A296" t="s">
        <v>359</v>
      </c>
      <c r="B296" s="14">
        <v>43308</v>
      </c>
      <c r="C296" t="s">
        <v>67</v>
      </c>
      <c r="D296" t="s">
        <v>57</v>
      </c>
      <c r="E296">
        <v>20</v>
      </c>
      <c r="F296">
        <v>150</v>
      </c>
      <c r="G296">
        <v>0.12</v>
      </c>
      <c r="H296" t="s">
        <v>53</v>
      </c>
      <c r="I296">
        <v>3000</v>
      </c>
      <c r="J296">
        <v>360</v>
      </c>
      <c r="K296">
        <v>2640</v>
      </c>
    </row>
    <row r="297" spans="1:11">
      <c r="A297" t="s">
        <v>360</v>
      </c>
      <c r="B297" s="14">
        <v>43308</v>
      </c>
      <c r="C297" t="s">
        <v>44</v>
      </c>
      <c r="D297" t="s">
        <v>57</v>
      </c>
      <c r="E297">
        <v>5</v>
      </c>
      <c r="F297">
        <v>80</v>
      </c>
      <c r="G297">
        <v>0.09</v>
      </c>
      <c r="H297" t="s">
        <v>55</v>
      </c>
      <c r="I297">
        <v>400</v>
      </c>
      <c r="J297">
        <v>36</v>
      </c>
      <c r="K297">
        <v>364</v>
      </c>
    </row>
    <row r="298" spans="1:11">
      <c r="A298" t="s">
        <v>361</v>
      </c>
      <c r="B298" s="14">
        <v>43308</v>
      </c>
      <c r="C298" t="s">
        <v>44</v>
      </c>
      <c r="D298" t="s">
        <v>60</v>
      </c>
      <c r="E298">
        <v>14</v>
      </c>
      <c r="F298">
        <v>80</v>
      </c>
      <c r="G298">
        <v>0.05</v>
      </c>
      <c r="H298" t="s">
        <v>58</v>
      </c>
      <c r="I298">
        <v>1120</v>
      </c>
      <c r="J298">
        <v>56</v>
      </c>
      <c r="K298">
        <v>1064</v>
      </c>
    </row>
    <row r="299" spans="1:11">
      <c r="A299" t="s">
        <v>362</v>
      </c>
      <c r="B299" s="14">
        <v>43308</v>
      </c>
      <c r="C299" t="s">
        <v>52</v>
      </c>
      <c r="D299" t="s">
        <v>60</v>
      </c>
      <c r="E299">
        <v>7</v>
      </c>
      <c r="F299">
        <v>230</v>
      </c>
      <c r="G299">
        <v>0.06</v>
      </c>
      <c r="H299" t="s">
        <v>61</v>
      </c>
      <c r="I299">
        <v>1610</v>
      </c>
      <c r="J299">
        <v>97</v>
      </c>
      <c r="K299">
        <v>1513.4</v>
      </c>
    </row>
    <row r="300" spans="1:11">
      <c r="A300" t="s">
        <v>363</v>
      </c>
      <c r="B300" s="14">
        <v>43308</v>
      </c>
      <c r="C300" t="s">
        <v>48</v>
      </c>
      <c r="D300" t="s">
        <v>60</v>
      </c>
      <c r="E300">
        <v>13</v>
      </c>
      <c r="F300">
        <v>40</v>
      </c>
      <c r="G300">
        <v>0.06</v>
      </c>
      <c r="H300" t="s">
        <v>65</v>
      </c>
      <c r="I300">
        <v>520</v>
      </c>
      <c r="J300">
        <v>31</v>
      </c>
      <c r="K300">
        <v>488.8</v>
      </c>
    </row>
    <row r="301" spans="1:11">
      <c r="A301" t="s">
        <v>364</v>
      </c>
      <c r="B301" s="14">
        <v>43309</v>
      </c>
      <c r="C301" t="s">
        <v>63</v>
      </c>
      <c r="D301" t="s">
        <v>49</v>
      </c>
      <c r="E301">
        <v>15</v>
      </c>
      <c r="F301">
        <v>16</v>
      </c>
      <c r="G301">
        <v>0.02</v>
      </c>
      <c r="H301" t="s">
        <v>68</v>
      </c>
      <c r="I301">
        <v>240</v>
      </c>
      <c r="J301">
        <v>5</v>
      </c>
      <c r="K301">
        <v>235.2</v>
      </c>
    </row>
    <row r="302" spans="1:11">
      <c r="A302" t="s">
        <v>365</v>
      </c>
      <c r="B302" s="14">
        <v>43309</v>
      </c>
      <c r="C302" t="s">
        <v>63</v>
      </c>
      <c r="D302" t="s">
        <v>60</v>
      </c>
      <c r="E302">
        <v>5</v>
      </c>
      <c r="F302">
        <v>16</v>
      </c>
      <c r="G302">
        <v>0.09</v>
      </c>
      <c r="H302" t="s">
        <v>70</v>
      </c>
      <c r="I302">
        <v>80</v>
      </c>
      <c r="J302">
        <v>7</v>
      </c>
      <c r="K302">
        <v>72.8</v>
      </c>
    </row>
    <row r="303" spans="1:11">
      <c r="A303" t="s">
        <v>366</v>
      </c>
      <c r="B303" s="14">
        <v>43309</v>
      </c>
      <c r="C303" t="s">
        <v>63</v>
      </c>
      <c r="D303" t="s">
        <v>45</v>
      </c>
      <c r="E303">
        <v>22</v>
      </c>
      <c r="F303">
        <v>16</v>
      </c>
      <c r="G303">
        <v>0.06</v>
      </c>
      <c r="H303" t="s">
        <v>72</v>
      </c>
      <c r="I303">
        <v>352</v>
      </c>
      <c r="J303">
        <v>21</v>
      </c>
      <c r="K303">
        <v>330.88</v>
      </c>
    </row>
    <row r="304" spans="1:11">
      <c r="A304" t="s">
        <v>367</v>
      </c>
      <c r="B304" s="14">
        <v>43309</v>
      </c>
      <c r="C304" t="s">
        <v>67</v>
      </c>
      <c r="D304" t="s">
        <v>57</v>
      </c>
      <c r="E304">
        <v>15</v>
      </c>
      <c r="F304">
        <v>150</v>
      </c>
      <c r="G304">
        <v>0.05</v>
      </c>
      <c r="H304" t="s">
        <v>74</v>
      </c>
      <c r="I304">
        <v>2250</v>
      </c>
      <c r="J304">
        <v>112</v>
      </c>
      <c r="K304">
        <v>2137.5</v>
      </c>
    </row>
    <row r="305" spans="1:11">
      <c r="A305" t="s">
        <v>368</v>
      </c>
      <c r="B305" s="14">
        <v>43309</v>
      </c>
      <c r="C305" t="s">
        <v>52</v>
      </c>
      <c r="D305" t="s">
        <v>57</v>
      </c>
      <c r="E305">
        <v>5</v>
      </c>
      <c r="F305">
        <v>230</v>
      </c>
      <c r="G305">
        <v>0.01</v>
      </c>
      <c r="H305" t="s">
        <v>76</v>
      </c>
      <c r="I305">
        <v>1150</v>
      </c>
      <c r="J305">
        <v>12</v>
      </c>
      <c r="K305">
        <v>1138.5</v>
      </c>
    </row>
    <row r="306" spans="1:11">
      <c r="A306" t="s">
        <v>369</v>
      </c>
      <c r="B306" s="14">
        <v>43309</v>
      </c>
      <c r="C306" t="s">
        <v>48</v>
      </c>
      <c r="D306" t="s">
        <v>45</v>
      </c>
      <c r="E306">
        <v>11</v>
      </c>
      <c r="F306">
        <v>40</v>
      </c>
      <c r="G306">
        <v>0.04</v>
      </c>
      <c r="H306" t="s">
        <v>46</v>
      </c>
      <c r="I306">
        <v>440</v>
      </c>
      <c r="J306">
        <v>18</v>
      </c>
      <c r="K306">
        <v>422.4</v>
      </c>
    </row>
    <row r="307" spans="1:11">
      <c r="A307" t="s">
        <v>370</v>
      </c>
      <c r="B307" s="14">
        <v>43309</v>
      </c>
      <c r="C307" t="s">
        <v>67</v>
      </c>
      <c r="D307" t="s">
        <v>49</v>
      </c>
      <c r="E307">
        <v>13</v>
      </c>
      <c r="F307">
        <v>150</v>
      </c>
      <c r="G307">
        <v>0.08</v>
      </c>
      <c r="H307" t="s">
        <v>50</v>
      </c>
      <c r="I307">
        <v>1950</v>
      </c>
      <c r="J307">
        <v>156</v>
      </c>
      <c r="K307">
        <v>1794</v>
      </c>
    </row>
    <row r="308" spans="1:11">
      <c r="A308" t="s">
        <v>371</v>
      </c>
      <c r="B308" s="14">
        <v>43309</v>
      </c>
      <c r="C308" t="s">
        <v>63</v>
      </c>
      <c r="D308" t="s">
        <v>64</v>
      </c>
      <c r="E308">
        <v>13</v>
      </c>
      <c r="F308">
        <v>16</v>
      </c>
      <c r="G308">
        <v>0.07</v>
      </c>
      <c r="H308" t="s">
        <v>53</v>
      </c>
      <c r="I308">
        <v>208</v>
      </c>
      <c r="J308">
        <v>15</v>
      </c>
      <c r="K308">
        <v>193.44</v>
      </c>
    </row>
    <row r="309" spans="1:11">
      <c r="A309" t="s">
        <v>372</v>
      </c>
      <c r="B309" s="14">
        <v>43309</v>
      </c>
      <c r="C309" t="s">
        <v>63</v>
      </c>
      <c r="D309" t="s">
        <v>64</v>
      </c>
      <c r="E309">
        <v>3</v>
      </c>
      <c r="F309">
        <v>16</v>
      </c>
      <c r="G309">
        <v>0.03</v>
      </c>
      <c r="H309" t="s">
        <v>55</v>
      </c>
      <c r="I309">
        <v>48</v>
      </c>
      <c r="J309">
        <v>1</v>
      </c>
      <c r="K309">
        <v>46.56</v>
      </c>
    </row>
    <row r="310" spans="1:11">
      <c r="A310" t="s">
        <v>373</v>
      </c>
      <c r="B310" s="14">
        <v>43310</v>
      </c>
      <c r="C310" t="s">
        <v>67</v>
      </c>
      <c r="D310" t="s">
        <v>49</v>
      </c>
      <c r="E310">
        <v>2</v>
      </c>
      <c r="F310">
        <v>150</v>
      </c>
      <c r="G310">
        <v>0.09</v>
      </c>
      <c r="H310" t="s">
        <v>58</v>
      </c>
      <c r="I310">
        <v>300</v>
      </c>
      <c r="J310">
        <v>27</v>
      </c>
      <c r="K310">
        <v>273</v>
      </c>
    </row>
    <row r="311" spans="1:11">
      <c r="A311" t="s">
        <v>374</v>
      </c>
      <c r="B311" s="14">
        <v>43310</v>
      </c>
      <c r="C311" t="s">
        <v>52</v>
      </c>
      <c r="D311" t="s">
        <v>57</v>
      </c>
      <c r="E311">
        <v>14</v>
      </c>
      <c r="F311">
        <v>230</v>
      </c>
      <c r="G311">
        <v>0.03</v>
      </c>
      <c r="H311" t="s">
        <v>61</v>
      </c>
      <c r="I311">
        <v>3220</v>
      </c>
      <c r="J311">
        <v>97</v>
      </c>
      <c r="K311">
        <v>3123.4</v>
      </c>
    </row>
    <row r="312" spans="1:11">
      <c r="A312" t="s">
        <v>375</v>
      </c>
      <c r="B312" s="14">
        <v>43310</v>
      </c>
      <c r="C312" t="s">
        <v>48</v>
      </c>
      <c r="D312" t="s">
        <v>57</v>
      </c>
      <c r="E312">
        <v>11</v>
      </c>
      <c r="F312">
        <v>40</v>
      </c>
      <c r="G312">
        <v>0.12</v>
      </c>
      <c r="H312" t="s">
        <v>65</v>
      </c>
      <c r="I312">
        <v>440</v>
      </c>
      <c r="J312">
        <v>53</v>
      </c>
      <c r="K312">
        <v>387.2</v>
      </c>
    </row>
    <row r="313" spans="1:11">
      <c r="A313" t="s">
        <v>376</v>
      </c>
      <c r="B313" s="14">
        <v>43310</v>
      </c>
      <c r="C313" t="s">
        <v>63</v>
      </c>
      <c r="D313" t="s">
        <v>64</v>
      </c>
      <c r="E313">
        <v>3</v>
      </c>
      <c r="F313">
        <v>16</v>
      </c>
      <c r="G313">
        <v>0.06</v>
      </c>
      <c r="H313" t="s">
        <v>68</v>
      </c>
      <c r="I313">
        <v>48</v>
      </c>
      <c r="J313">
        <v>3</v>
      </c>
      <c r="K313">
        <v>45.12</v>
      </c>
    </row>
    <row r="314" spans="1:11">
      <c r="A314" t="s">
        <v>377</v>
      </c>
      <c r="B314" s="14">
        <v>43310</v>
      </c>
      <c r="C314" t="s">
        <v>48</v>
      </c>
      <c r="D314" t="s">
        <v>64</v>
      </c>
      <c r="E314">
        <v>18</v>
      </c>
      <c r="F314">
        <v>40</v>
      </c>
      <c r="G314">
        <v>0.06</v>
      </c>
      <c r="H314" t="s">
        <v>70</v>
      </c>
      <c r="I314">
        <v>720</v>
      </c>
      <c r="J314">
        <v>43</v>
      </c>
      <c r="K314">
        <v>676.8</v>
      </c>
    </row>
    <row r="315" spans="1:11">
      <c r="A315" t="s">
        <v>378</v>
      </c>
      <c r="B315" s="14">
        <v>43310</v>
      </c>
      <c r="C315" t="s">
        <v>52</v>
      </c>
      <c r="D315" t="s">
        <v>64</v>
      </c>
      <c r="E315">
        <v>7</v>
      </c>
      <c r="F315">
        <v>230</v>
      </c>
      <c r="G315">
        <v>0.05</v>
      </c>
      <c r="H315" t="s">
        <v>72</v>
      </c>
      <c r="I315">
        <v>1610</v>
      </c>
      <c r="J315">
        <v>80</v>
      </c>
      <c r="K315">
        <v>1529.5</v>
      </c>
    </row>
    <row r="316" spans="1:11">
      <c r="A316" t="s">
        <v>379</v>
      </c>
      <c r="B316" s="14">
        <v>43310</v>
      </c>
      <c r="C316" t="s">
        <v>48</v>
      </c>
      <c r="D316" t="s">
        <v>64</v>
      </c>
      <c r="E316">
        <v>23</v>
      </c>
      <c r="F316">
        <v>40</v>
      </c>
      <c r="G316">
        <v>0.05</v>
      </c>
      <c r="H316" t="s">
        <v>74</v>
      </c>
      <c r="I316">
        <v>920</v>
      </c>
      <c r="J316">
        <v>46</v>
      </c>
      <c r="K316">
        <v>874</v>
      </c>
    </row>
    <row r="317" spans="1:11">
      <c r="A317" t="s">
        <v>380</v>
      </c>
      <c r="B317" s="14">
        <v>43311</v>
      </c>
      <c r="C317" t="s">
        <v>52</v>
      </c>
      <c r="D317" t="s">
        <v>64</v>
      </c>
      <c r="E317">
        <v>2</v>
      </c>
      <c r="F317">
        <v>230</v>
      </c>
      <c r="G317">
        <v>0.08</v>
      </c>
      <c r="H317" t="s">
        <v>76</v>
      </c>
      <c r="I317">
        <v>460</v>
      </c>
      <c r="J317">
        <v>37</v>
      </c>
      <c r="K317">
        <v>423.2</v>
      </c>
    </row>
    <row r="318" spans="1:11">
      <c r="A318" t="s">
        <v>381</v>
      </c>
      <c r="B318" s="14">
        <v>43311</v>
      </c>
      <c r="C318" t="s">
        <v>48</v>
      </c>
      <c r="D318" t="s">
        <v>60</v>
      </c>
      <c r="E318">
        <v>18</v>
      </c>
      <c r="F318">
        <v>40</v>
      </c>
      <c r="G318">
        <v>0.04</v>
      </c>
      <c r="H318" t="s">
        <v>46</v>
      </c>
      <c r="I318">
        <v>720</v>
      </c>
      <c r="J318">
        <v>29</v>
      </c>
      <c r="K318">
        <v>691.2</v>
      </c>
    </row>
    <row r="319" spans="1:11">
      <c r="A319" t="s">
        <v>382</v>
      </c>
      <c r="B319" s="14">
        <v>43311</v>
      </c>
      <c r="C319" t="s">
        <v>52</v>
      </c>
      <c r="D319" t="s">
        <v>49</v>
      </c>
      <c r="E319">
        <v>7</v>
      </c>
      <c r="F319">
        <v>230</v>
      </c>
      <c r="G319">
        <v>0.05</v>
      </c>
      <c r="H319" t="s">
        <v>50</v>
      </c>
      <c r="I319">
        <v>1610</v>
      </c>
      <c r="J319">
        <v>80</v>
      </c>
      <c r="K319">
        <v>1529.5</v>
      </c>
    </row>
    <row r="320" spans="1:11">
      <c r="A320" t="s">
        <v>383</v>
      </c>
      <c r="B320" s="14">
        <v>43311</v>
      </c>
      <c r="C320" t="s">
        <v>48</v>
      </c>
      <c r="D320" t="s">
        <v>64</v>
      </c>
      <c r="E320">
        <v>14</v>
      </c>
      <c r="F320">
        <v>40</v>
      </c>
      <c r="G320">
        <v>0.11</v>
      </c>
      <c r="H320" t="s">
        <v>53</v>
      </c>
      <c r="I320">
        <v>560</v>
      </c>
      <c r="J320">
        <v>62</v>
      </c>
      <c r="K320">
        <v>498.4</v>
      </c>
    </row>
    <row r="321" spans="1:11">
      <c r="A321" t="s">
        <v>384</v>
      </c>
      <c r="B321" s="14">
        <v>43311</v>
      </c>
      <c r="C321" t="s">
        <v>67</v>
      </c>
      <c r="D321" t="s">
        <v>49</v>
      </c>
      <c r="E321">
        <v>13</v>
      </c>
      <c r="F321">
        <v>150</v>
      </c>
      <c r="G321">
        <v>0.02</v>
      </c>
      <c r="H321" t="s">
        <v>55</v>
      </c>
      <c r="I321">
        <v>1950</v>
      </c>
      <c r="J321">
        <v>39</v>
      </c>
      <c r="K321">
        <v>1911</v>
      </c>
    </row>
    <row r="322" spans="1:11">
      <c r="A322" t="s">
        <v>385</v>
      </c>
      <c r="B322" s="14">
        <v>43311</v>
      </c>
      <c r="C322" t="s">
        <v>44</v>
      </c>
      <c r="D322" t="s">
        <v>45</v>
      </c>
      <c r="E322">
        <v>12</v>
      </c>
      <c r="F322">
        <v>80</v>
      </c>
      <c r="G322">
        <v>0.04</v>
      </c>
      <c r="H322" t="s">
        <v>58</v>
      </c>
      <c r="I322">
        <v>960</v>
      </c>
      <c r="J322">
        <v>38</v>
      </c>
      <c r="K322">
        <v>921.6</v>
      </c>
    </row>
    <row r="323" spans="1:11">
      <c r="A323" t="s">
        <v>386</v>
      </c>
      <c r="B323" s="14">
        <v>43311</v>
      </c>
      <c r="C323" t="s">
        <v>52</v>
      </c>
      <c r="D323" t="s">
        <v>64</v>
      </c>
      <c r="E323">
        <v>20</v>
      </c>
      <c r="F323">
        <v>230</v>
      </c>
      <c r="G323">
        <v>0.09</v>
      </c>
      <c r="H323" t="s">
        <v>61</v>
      </c>
      <c r="I323">
        <v>4600</v>
      </c>
      <c r="J323">
        <v>414</v>
      </c>
      <c r="K323">
        <v>4186</v>
      </c>
    </row>
    <row r="324" spans="1:11">
      <c r="A324" t="s">
        <v>387</v>
      </c>
      <c r="B324" s="14">
        <v>43311</v>
      </c>
      <c r="C324" t="s">
        <v>48</v>
      </c>
      <c r="D324" t="s">
        <v>64</v>
      </c>
      <c r="E324">
        <v>5</v>
      </c>
      <c r="F324">
        <v>40</v>
      </c>
      <c r="G324">
        <v>0.03</v>
      </c>
      <c r="H324" t="s">
        <v>65</v>
      </c>
      <c r="I324">
        <v>200</v>
      </c>
      <c r="J324">
        <v>6</v>
      </c>
      <c r="K324">
        <v>194</v>
      </c>
    </row>
    <row r="325" spans="1:11">
      <c r="A325" t="s">
        <v>388</v>
      </c>
      <c r="B325" s="14">
        <v>43311</v>
      </c>
      <c r="C325" t="s">
        <v>63</v>
      </c>
      <c r="D325" t="s">
        <v>64</v>
      </c>
      <c r="E325">
        <v>2</v>
      </c>
      <c r="F325">
        <v>16</v>
      </c>
      <c r="G325">
        <v>0.04</v>
      </c>
      <c r="H325" t="s">
        <v>68</v>
      </c>
      <c r="I325">
        <v>32</v>
      </c>
      <c r="J325">
        <v>1</v>
      </c>
      <c r="K325">
        <v>30.72</v>
      </c>
    </row>
    <row r="326" spans="1:11">
      <c r="A326" t="s">
        <v>389</v>
      </c>
      <c r="B326" s="14">
        <v>43282</v>
      </c>
      <c r="C326" t="s">
        <v>44</v>
      </c>
      <c r="D326" t="s">
        <v>57</v>
      </c>
      <c r="E326">
        <v>10</v>
      </c>
      <c r="F326">
        <v>80</v>
      </c>
      <c r="G326">
        <v>0.08</v>
      </c>
      <c r="H326" t="s">
        <v>70</v>
      </c>
      <c r="I326">
        <v>800</v>
      </c>
      <c r="J326">
        <v>64</v>
      </c>
      <c r="K326">
        <v>736</v>
      </c>
    </row>
    <row r="327" spans="1:11">
      <c r="A327" t="s">
        <v>390</v>
      </c>
      <c r="B327" s="14">
        <v>43282</v>
      </c>
      <c r="C327" t="s">
        <v>48</v>
      </c>
      <c r="D327" t="s">
        <v>60</v>
      </c>
      <c r="E327">
        <v>18</v>
      </c>
      <c r="F327">
        <v>40</v>
      </c>
      <c r="G327">
        <v>0.06</v>
      </c>
      <c r="H327" t="s">
        <v>72</v>
      </c>
      <c r="I327">
        <v>720</v>
      </c>
      <c r="J327">
        <v>43</v>
      </c>
      <c r="K327">
        <v>676.8</v>
      </c>
    </row>
    <row r="328" spans="1:11">
      <c r="A328" t="s">
        <v>391</v>
      </c>
      <c r="B328" s="14">
        <v>43282</v>
      </c>
      <c r="C328" t="s">
        <v>52</v>
      </c>
      <c r="D328" t="s">
        <v>49</v>
      </c>
      <c r="E328">
        <v>7</v>
      </c>
      <c r="F328">
        <v>230</v>
      </c>
      <c r="G328">
        <v>0.08</v>
      </c>
      <c r="H328" t="s">
        <v>74</v>
      </c>
      <c r="I328">
        <v>1610</v>
      </c>
      <c r="J328">
        <v>129</v>
      </c>
      <c r="K328">
        <v>1481.2</v>
      </c>
    </row>
    <row r="329" spans="1:11">
      <c r="A329" t="s">
        <v>392</v>
      </c>
      <c r="B329" s="14">
        <v>43282</v>
      </c>
      <c r="C329" t="s">
        <v>48</v>
      </c>
      <c r="D329" t="s">
        <v>60</v>
      </c>
      <c r="E329">
        <v>15</v>
      </c>
      <c r="F329">
        <v>40</v>
      </c>
      <c r="G329">
        <v>0.03</v>
      </c>
      <c r="H329" t="s">
        <v>76</v>
      </c>
      <c r="I329">
        <v>600</v>
      </c>
      <c r="J329">
        <v>18</v>
      </c>
      <c r="K329">
        <v>582</v>
      </c>
    </row>
    <row r="330" spans="1:11">
      <c r="A330" t="s">
        <v>393</v>
      </c>
      <c r="B330" s="14">
        <v>43282</v>
      </c>
      <c r="C330" t="s">
        <v>63</v>
      </c>
      <c r="D330" t="s">
        <v>57</v>
      </c>
      <c r="E330">
        <v>6</v>
      </c>
      <c r="F330">
        <v>16</v>
      </c>
      <c r="G330">
        <v>0.01</v>
      </c>
      <c r="H330" t="s">
        <v>46</v>
      </c>
      <c r="I330">
        <v>96</v>
      </c>
      <c r="J330">
        <v>1</v>
      </c>
      <c r="K330">
        <v>95.04</v>
      </c>
    </row>
    <row r="331" spans="1:11">
      <c r="A331" t="s">
        <v>394</v>
      </c>
      <c r="B331" s="14">
        <v>43282</v>
      </c>
      <c r="C331" t="s">
        <v>67</v>
      </c>
      <c r="D331" t="s">
        <v>60</v>
      </c>
      <c r="E331">
        <v>9</v>
      </c>
      <c r="F331">
        <v>150</v>
      </c>
      <c r="G331">
        <v>0.02</v>
      </c>
      <c r="H331" t="s">
        <v>50</v>
      </c>
      <c r="I331">
        <v>1350</v>
      </c>
      <c r="J331">
        <v>27</v>
      </c>
      <c r="K331">
        <v>1323</v>
      </c>
    </row>
    <row r="332" spans="1:11">
      <c r="A332" t="s">
        <v>395</v>
      </c>
      <c r="B332" s="14">
        <v>43282</v>
      </c>
      <c r="C332" t="s">
        <v>63</v>
      </c>
      <c r="D332" t="s">
        <v>64</v>
      </c>
      <c r="E332">
        <v>15</v>
      </c>
      <c r="F332">
        <v>16</v>
      </c>
      <c r="G332">
        <v>0.01</v>
      </c>
      <c r="H332" t="s">
        <v>53</v>
      </c>
      <c r="I332">
        <v>240</v>
      </c>
      <c r="J332">
        <v>2</v>
      </c>
      <c r="K332">
        <v>237.6</v>
      </c>
    </row>
    <row r="333" spans="1:11">
      <c r="A333" t="s">
        <v>396</v>
      </c>
      <c r="B333" s="14">
        <v>43282</v>
      </c>
      <c r="C333" t="s">
        <v>44</v>
      </c>
      <c r="D333" t="s">
        <v>64</v>
      </c>
      <c r="E333">
        <v>22</v>
      </c>
      <c r="F333">
        <v>80</v>
      </c>
      <c r="G333">
        <v>0.11</v>
      </c>
      <c r="H333" t="s">
        <v>55</v>
      </c>
      <c r="I333">
        <v>1760</v>
      </c>
      <c r="J333">
        <v>194</v>
      </c>
      <c r="K333">
        <v>1566.4</v>
      </c>
    </row>
    <row r="334" spans="1:11">
      <c r="A334" t="s">
        <v>397</v>
      </c>
      <c r="B334" s="14">
        <v>43282</v>
      </c>
      <c r="C334" t="s">
        <v>67</v>
      </c>
      <c r="D334" t="s">
        <v>49</v>
      </c>
      <c r="E334">
        <v>13</v>
      </c>
      <c r="F334">
        <v>150</v>
      </c>
      <c r="G334">
        <v>0.02</v>
      </c>
      <c r="H334" t="s">
        <v>58</v>
      </c>
      <c r="I334">
        <v>1950</v>
      </c>
      <c r="J334">
        <v>39</v>
      </c>
      <c r="K334">
        <v>1911</v>
      </c>
    </row>
    <row r="335" spans="1:11">
      <c r="A335" t="s">
        <v>398</v>
      </c>
      <c r="B335" s="14">
        <v>43283</v>
      </c>
      <c r="C335" t="s">
        <v>63</v>
      </c>
      <c r="D335" t="s">
        <v>57</v>
      </c>
      <c r="E335">
        <v>12</v>
      </c>
      <c r="F335">
        <v>16</v>
      </c>
      <c r="G335">
        <v>0.03</v>
      </c>
      <c r="H335" t="s">
        <v>61</v>
      </c>
      <c r="I335">
        <v>192</v>
      </c>
      <c r="J335">
        <v>6</v>
      </c>
      <c r="K335">
        <v>186.24</v>
      </c>
    </row>
    <row r="336" spans="1:11">
      <c r="A336" t="s">
        <v>399</v>
      </c>
      <c r="B336" s="14">
        <v>43283</v>
      </c>
      <c r="C336" t="s">
        <v>48</v>
      </c>
      <c r="D336" t="s">
        <v>60</v>
      </c>
      <c r="E336">
        <v>4</v>
      </c>
      <c r="F336">
        <v>40</v>
      </c>
      <c r="G336">
        <v>0.05</v>
      </c>
      <c r="H336" t="s">
        <v>65</v>
      </c>
      <c r="I336">
        <v>160</v>
      </c>
      <c r="J336">
        <v>8</v>
      </c>
      <c r="K336">
        <v>152</v>
      </c>
    </row>
    <row r="337" spans="1:11">
      <c r="A337" t="s">
        <v>400</v>
      </c>
      <c r="B337" s="14">
        <v>43283</v>
      </c>
      <c r="C337" t="s">
        <v>52</v>
      </c>
      <c r="D337" t="s">
        <v>49</v>
      </c>
      <c r="E337">
        <v>19</v>
      </c>
      <c r="F337">
        <v>230</v>
      </c>
      <c r="G337">
        <v>0.11</v>
      </c>
      <c r="H337" t="s">
        <v>68</v>
      </c>
      <c r="I337">
        <v>4370</v>
      </c>
      <c r="J337">
        <v>481</v>
      </c>
      <c r="K337">
        <v>3889.3</v>
      </c>
    </row>
    <row r="338" spans="1:11">
      <c r="A338" t="s">
        <v>401</v>
      </c>
      <c r="B338" s="14">
        <v>43283</v>
      </c>
      <c r="C338" t="s">
        <v>48</v>
      </c>
      <c r="D338" t="s">
        <v>49</v>
      </c>
      <c r="E338">
        <v>4</v>
      </c>
      <c r="F338">
        <v>40</v>
      </c>
      <c r="G338">
        <v>0.06</v>
      </c>
      <c r="H338" t="s">
        <v>70</v>
      </c>
      <c r="I338">
        <v>160</v>
      </c>
      <c r="J338">
        <v>10</v>
      </c>
      <c r="K338">
        <v>150.4</v>
      </c>
    </row>
    <row r="339" spans="1:11">
      <c r="A339" t="s">
        <v>402</v>
      </c>
      <c r="B339" s="14">
        <v>43283</v>
      </c>
      <c r="C339" t="s">
        <v>63</v>
      </c>
      <c r="D339" t="s">
        <v>57</v>
      </c>
      <c r="E339">
        <v>6</v>
      </c>
      <c r="F339">
        <v>16</v>
      </c>
      <c r="G339">
        <v>0.07</v>
      </c>
      <c r="H339" t="s">
        <v>72</v>
      </c>
      <c r="I339">
        <v>96</v>
      </c>
      <c r="J339">
        <v>7</v>
      </c>
      <c r="K339">
        <v>89.28</v>
      </c>
    </row>
    <row r="340" spans="1:11">
      <c r="A340" t="s">
        <v>403</v>
      </c>
      <c r="B340" s="14">
        <v>43283</v>
      </c>
      <c r="C340" t="s">
        <v>52</v>
      </c>
      <c r="D340" t="s">
        <v>57</v>
      </c>
      <c r="E340">
        <v>15</v>
      </c>
      <c r="F340">
        <v>230</v>
      </c>
      <c r="G340">
        <v>0.11</v>
      </c>
      <c r="H340" t="s">
        <v>74</v>
      </c>
      <c r="I340">
        <v>3450</v>
      </c>
      <c r="J340">
        <v>380</v>
      </c>
      <c r="K340">
        <v>3070.5</v>
      </c>
    </row>
    <row r="341" spans="1:11">
      <c r="A341" t="s">
        <v>404</v>
      </c>
      <c r="B341" s="14">
        <v>43283</v>
      </c>
      <c r="C341" t="s">
        <v>44</v>
      </c>
      <c r="D341" t="s">
        <v>57</v>
      </c>
      <c r="E341">
        <v>16</v>
      </c>
      <c r="F341">
        <v>80</v>
      </c>
      <c r="G341">
        <v>0.04</v>
      </c>
      <c r="H341" t="s">
        <v>76</v>
      </c>
      <c r="I341">
        <v>1280</v>
      </c>
      <c r="J341">
        <v>51</v>
      </c>
      <c r="K341">
        <v>1228.8</v>
      </c>
    </row>
    <row r="342" spans="1:11">
      <c r="A342" t="s">
        <v>405</v>
      </c>
      <c r="B342" s="14">
        <v>43283</v>
      </c>
      <c r="C342" t="s">
        <v>48</v>
      </c>
      <c r="D342" t="s">
        <v>45</v>
      </c>
      <c r="E342">
        <v>7</v>
      </c>
      <c r="F342">
        <v>40</v>
      </c>
      <c r="G342">
        <v>0.1</v>
      </c>
      <c r="H342" t="s">
        <v>46</v>
      </c>
      <c r="I342">
        <v>280</v>
      </c>
      <c r="J342">
        <v>28</v>
      </c>
      <c r="K342">
        <v>252</v>
      </c>
    </row>
    <row r="343" spans="1:11">
      <c r="A343" t="s">
        <v>406</v>
      </c>
      <c r="B343" s="14">
        <v>43283</v>
      </c>
      <c r="C343" t="s">
        <v>48</v>
      </c>
      <c r="D343" t="s">
        <v>57</v>
      </c>
      <c r="E343">
        <v>11</v>
      </c>
      <c r="F343">
        <v>40</v>
      </c>
      <c r="G343">
        <v>0.05</v>
      </c>
      <c r="H343" t="s">
        <v>50</v>
      </c>
      <c r="I343">
        <v>440</v>
      </c>
      <c r="J343">
        <v>22</v>
      </c>
      <c r="K343">
        <v>418</v>
      </c>
    </row>
    <row r="344" spans="1:11">
      <c r="A344" t="s">
        <v>407</v>
      </c>
      <c r="B344" s="14">
        <v>43283</v>
      </c>
      <c r="C344" t="s">
        <v>44</v>
      </c>
      <c r="D344" t="s">
        <v>64</v>
      </c>
      <c r="E344">
        <v>9</v>
      </c>
      <c r="F344">
        <v>80</v>
      </c>
      <c r="G344">
        <v>0.06</v>
      </c>
      <c r="H344" t="s">
        <v>53</v>
      </c>
      <c r="I344">
        <v>720</v>
      </c>
      <c r="J344">
        <v>43</v>
      </c>
      <c r="K344">
        <v>676.8</v>
      </c>
    </row>
    <row r="345" spans="1:11">
      <c r="A345" t="s">
        <v>408</v>
      </c>
      <c r="B345" s="14">
        <v>43283</v>
      </c>
      <c r="C345" t="s">
        <v>44</v>
      </c>
      <c r="D345" t="s">
        <v>49</v>
      </c>
      <c r="E345">
        <v>21</v>
      </c>
      <c r="F345">
        <v>80</v>
      </c>
      <c r="G345">
        <v>0.04</v>
      </c>
      <c r="H345" t="s">
        <v>55</v>
      </c>
      <c r="I345">
        <v>1680</v>
      </c>
      <c r="J345">
        <v>67</v>
      </c>
      <c r="K345">
        <v>1612.8</v>
      </c>
    </row>
    <row r="346" spans="1:11">
      <c r="A346" t="s">
        <v>409</v>
      </c>
      <c r="B346" s="14">
        <v>43283</v>
      </c>
      <c r="C346" t="s">
        <v>48</v>
      </c>
      <c r="D346" t="s">
        <v>57</v>
      </c>
      <c r="E346">
        <v>2</v>
      </c>
      <c r="F346">
        <v>40</v>
      </c>
      <c r="G346">
        <v>0.03</v>
      </c>
      <c r="H346" t="s">
        <v>58</v>
      </c>
      <c r="I346">
        <v>80</v>
      </c>
      <c r="J346">
        <v>2</v>
      </c>
      <c r="K346">
        <v>77.6</v>
      </c>
    </row>
    <row r="347" spans="1:11">
      <c r="A347" t="s">
        <v>410</v>
      </c>
      <c r="B347" s="14">
        <v>43284</v>
      </c>
      <c r="C347" t="s">
        <v>63</v>
      </c>
      <c r="D347" t="s">
        <v>57</v>
      </c>
      <c r="E347">
        <v>17</v>
      </c>
      <c r="F347">
        <v>16</v>
      </c>
      <c r="G347">
        <v>0.05</v>
      </c>
      <c r="H347" t="s">
        <v>61</v>
      </c>
      <c r="I347">
        <v>272</v>
      </c>
      <c r="J347">
        <v>14</v>
      </c>
      <c r="K347">
        <v>258.4</v>
      </c>
    </row>
    <row r="348" spans="1:11">
      <c r="A348" t="s">
        <v>411</v>
      </c>
      <c r="B348" s="14">
        <v>43284</v>
      </c>
      <c r="C348" t="s">
        <v>48</v>
      </c>
      <c r="D348" t="s">
        <v>45</v>
      </c>
      <c r="E348">
        <v>18</v>
      </c>
      <c r="F348">
        <v>40</v>
      </c>
      <c r="G348">
        <v>0.06</v>
      </c>
      <c r="H348" t="s">
        <v>65</v>
      </c>
      <c r="I348">
        <v>720</v>
      </c>
      <c r="J348">
        <v>43</v>
      </c>
      <c r="K348">
        <v>676.8</v>
      </c>
    </row>
    <row r="349" spans="1:11">
      <c r="A349" t="s">
        <v>412</v>
      </c>
      <c r="B349" s="14">
        <v>43284</v>
      </c>
      <c r="C349" t="s">
        <v>48</v>
      </c>
      <c r="D349" t="s">
        <v>45</v>
      </c>
      <c r="E349">
        <v>9</v>
      </c>
      <c r="F349">
        <v>40</v>
      </c>
      <c r="G349">
        <v>0.01</v>
      </c>
      <c r="H349" t="s">
        <v>68</v>
      </c>
      <c r="I349">
        <v>360</v>
      </c>
      <c r="J349">
        <v>4</v>
      </c>
      <c r="K349">
        <v>356.4</v>
      </c>
    </row>
    <row r="350" spans="1:11">
      <c r="A350" t="s">
        <v>413</v>
      </c>
      <c r="B350" s="14">
        <v>43284</v>
      </c>
      <c r="C350" t="s">
        <v>48</v>
      </c>
      <c r="D350" t="s">
        <v>49</v>
      </c>
      <c r="E350">
        <v>7</v>
      </c>
      <c r="F350">
        <v>40</v>
      </c>
      <c r="G350">
        <v>0.01</v>
      </c>
      <c r="H350" t="s">
        <v>70</v>
      </c>
      <c r="I350">
        <v>280</v>
      </c>
      <c r="J350">
        <v>3</v>
      </c>
      <c r="K350">
        <v>277.2</v>
      </c>
    </row>
    <row r="351" spans="1:11">
      <c r="A351" t="s">
        <v>414</v>
      </c>
      <c r="B351" s="14">
        <v>43284</v>
      </c>
      <c r="C351" t="s">
        <v>52</v>
      </c>
      <c r="D351" t="s">
        <v>57</v>
      </c>
      <c r="E351">
        <v>12</v>
      </c>
      <c r="F351">
        <v>230</v>
      </c>
      <c r="G351">
        <v>0.06</v>
      </c>
      <c r="H351" t="s">
        <v>72</v>
      </c>
      <c r="I351">
        <v>2760</v>
      </c>
      <c r="J351">
        <v>166</v>
      </c>
      <c r="K351">
        <v>2594.4</v>
      </c>
    </row>
    <row r="352" spans="1:11">
      <c r="A352" t="s">
        <v>415</v>
      </c>
      <c r="B352" s="14">
        <v>43284</v>
      </c>
      <c r="C352" t="s">
        <v>63</v>
      </c>
      <c r="D352" t="s">
        <v>49</v>
      </c>
      <c r="E352">
        <v>22</v>
      </c>
      <c r="F352">
        <v>16</v>
      </c>
      <c r="G352">
        <v>0.04</v>
      </c>
      <c r="H352" t="s">
        <v>46</v>
      </c>
      <c r="I352">
        <v>352</v>
      </c>
      <c r="J352">
        <v>14</v>
      </c>
      <c r="K352">
        <v>337.92</v>
      </c>
    </row>
    <row r="353" spans="1:11">
      <c r="A353" t="s">
        <v>416</v>
      </c>
      <c r="B353" s="14">
        <v>43285</v>
      </c>
      <c r="C353" t="s">
        <v>67</v>
      </c>
      <c r="D353" t="s">
        <v>45</v>
      </c>
      <c r="E353">
        <v>5</v>
      </c>
      <c r="F353">
        <v>150</v>
      </c>
      <c r="G353">
        <v>0.11</v>
      </c>
      <c r="H353" t="s">
        <v>50</v>
      </c>
      <c r="I353">
        <v>750</v>
      </c>
      <c r="J353">
        <v>82</v>
      </c>
      <c r="K353">
        <v>667.5</v>
      </c>
    </row>
    <row r="354" spans="1:11">
      <c r="A354" t="s">
        <v>417</v>
      </c>
      <c r="B354" s="14">
        <v>43285</v>
      </c>
      <c r="C354" t="s">
        <v>44</v>
      </c>
      <c r="D354" t="s">
        <v>49</v>
      </c>
      <c r="E354">
        <v>14</v>
      </c>
      <c r="F354">
        <v>80</v>
      </c>
      <c r="G354">
        <v>0.11</v>
      </c>
      <c r="H354" t="s">
        <v>53</v>
      </c>
      <c r="I354">
        <v>1120</v>
      </c>
      <c r="J354">
        <v>123</v>
      </c>
      <c r="K354">
        <v>996.8</v>
      </c>
    </row>
    <row r="355" spans="1:11">
      <c r="A355" t="s">
        <v>418</v>
      </c>
      <c r="B355" s="14">
        <v>43285</v>
      </c>
      <c r="C355" t="s">
        <v>63</v>
      </c>
      <c r="D355" t="s">
        <v>57</v>
      </c>
      <c r="E355">
        <v>8</v>
      </c>
      <c r="F355">
        <v>16</v>
      </c>
      <c r="G355">
        <v>0.03</v>
      </c>
      <c r="H355" t="s">
        <v>55</v>
      </c>
      <c r="I355">
        <v>128</v>
      </c>
      <c r="J355">
        <v>4</v>
      </c>
      <c r="K355">
        <v>124.16</v>
      </c>
    </row>
    <row r="356" spans="1:11">
      <c r="A356" t="s">
        <v>419</v>
      </c>
      <c r="B356" s="14">
        <v>43285</v>
      </c>
      <c r="C356" t="s">
        <v>52</v>
      </c>
      <c r="D356" t="s">
        <v>57</v>
      </c>
      <c r="E356">
        <v>6</v>
      </c>
      <c r="F356">
        <v>230</v>
      </c>
      <c r="G356">
        <v>0.05</v>
      </c>
      <c r="H356" t="s">
        <v>58</v>
      </c>
      <c r="I356">
        <v>1380</v>
      </c>
      <c r="J356">
        <v>69</v>
      </c>
      <c r="K356">
        <v>1311</v>
      </c>
    </row>
    <row r="357" spans="1:11">
      <c r="A357" t="s">
        <v>420</v>
      </c>
      <c r="B357" s="14">
        <v>43285</v>
      </c>
      <c r="C357" t="s">
        <v>63</v>
      </c>
      <c r="D357" t="s">
        <v>60</v>
      </c>
      <c r="E357">
        <v>7</v>
      </c>
      <c r="F357">
        <v>16</v>
      </c>
      <c r="G357">
        <v>0.08</v>
      </c>
      <c r="H357" t="s">
        <v>61</v>
      </c>
      <c r="I357">
        <v>112</v>
      </c>
      <c r="J357">
        <v>9</v>
      </c>
      <c r="K357">
        <v>103.04</v>
      </c>
    </row>
    <row r="358" spans="1:11">
      <c r="A358" t="s">
        <v>421</v>
      </c>
      <c r="B358" s="14">
        <v>43285</v>
      </c>
      <c r="C358" t="s">
        <v>44</v>
      </c>
      <c r="D358" t="s">
        <v>49</v>
      </c>
      <c r="E358">
        <v>16</v>
      </c>
      <c r="F358">
        <v>80</v>
      </c>
      <c r="G358">
        <v>0.04</v>
      </c>
      <c r="H358" t="s">
        <v>65</v>
      </c>
      <c r="I358">
        <v>1280</v>
      </c>
      <c r="J358">
        <v>51</v>
      </c>
      <c r="K358">
        <v>1228.8</v>
      </c>
    </row>
    <row r="359" spans="1:11">
      <c r="A359" t="s">
        <v>422</v>
      </c>
      <c r="B359" s="14">
        <v>43285</v>
      </c>
      <c r="C359" t="s">
        <v>67</v>
      </c>
      <c r="D359" t="s">
        <v>45</v>
      </c>
      <c r="E359">
        <v>17</v>
      </c>
      <c r="F359">
        <v>150</v>
      </c>
      <c r="G359">
        <v>0.12</v>
      </c>
      <c r="H359" t="s">
        <v>68</v>
      </c>
      <c r="I359">
        <v>2550</v>
      </c>
      <c r="J359">
        <v>306</v>
      </c>
      <c r="K359">
        <v>2244</v>
      </c>
    </row>
    <row r="360" spans="1:11">
      <c r="A360" t="s">
        <v>423</v>
      </c>
      <c r="B360" s="14">
        <v>43285</v>
      </c>
      <c r="C360" t="s">
        <v>63</v>
      </c>
      <c r="D360" t="s">
        <v>49</v>
      </c>
      <c r="E360">
        <v>7</v>
      </c>
      <c r="F360">
        <v>16</v>
      </c>
      <c r="G360">
        <v>0.08</v>
      </c>
      <c r="H360" t="s">
        <v>70</v>
      </c>
      <c r="I360">
        <v>112</v>
      </c>
      <c r="J360">
        <v>9</v>
      </c>
      <c r="K360">
        <v>103.04</v>
      </c>
    </row>
    <row r="361" spans="1:11">
      <c r="A361" t="s">
        <v>424</v>
      </c>
      <c r="B361" s="14">
        <v>43286</v>
      </c>
      <c r="C361" t="s">
        <v>63</v>
      </c>
      <c r="D361" t="s">
        <v>45</v>
      </c>
      <c r="E361">
        <v>21</v>
      </c>
      <c r="F361">
        <v>16</v>
      </c>
      <c r="G361">
        <v>0.09</v>
      </c>
      <c r="H361" t="s">
        <v>72</v>
      </c>
      <c r="I361">
        <v>336</v>
      </c>
      <c r="J361">
        <v>30</v>
      </c>
      <c r="K361">
        <v>305.76</v>
      </c>
    </row>
    <row r="362" spans="1:11">
      <c r="A362" t="s">
        <v>425</v>
      </c>
      <c r="B362" s="14">
        <v>43286</v>
      </c>
      <c r="C362" t="s">
        <v>63</v>
      </c>
      <c r="D362" t="s">
        <v>57</v>
      </c>
      <c r="E362">
        <v>23</v>
      </c>
      <c r="F362">
        <v>16</v>
      </c>
      <c r="G362">
        <v>0.11</v>
      </c>
      <c r="H362" t="s">
        <v>74</v>
      </c>
      <c r="I362">
        <v>368</v>
      </c>
      <c r="J362">
        <v>40</v>
      </c>
      <c r="K362">
        <v>327.52</v>
      </c>
    </row>
    <row r="363" spans="1:11">
      <c r="A363" t="s">
        <v>426</v>
      </c>
      <c r="B363" s="14">
        <v>43286</v>
      </c>
      <c r="C363" t="s">
        <v>67</v>
      </c>
      <c r="D363" t="s">
        <v>57</v>
      </c>
      <c r="E363">
        <v>2</v>
      </c>
      <c r="F363">
        <v>150</v>
      </c>
      <c r="G363">
        <v>0.02</v>
      </c>
      <c r="H363" t="s">
        <v>76</v>
      </c>
      <c r="I363">
        <v>300</v>
      </c>
      <c r="J363">
        <v>6</v>
      </c>
      <c r="K363">
        <v>294</v>
      </c>
    </row>
    <row r="364" spans="1:11">
      <c r="A364" t="s">
        <v>427</v>
      </c>
      <c r="B364" s="14">
        <v>43286</v>
      </c>
      <c r="C364" t="s">
        <v>67</v>
      </c>
      <c r="D364" t="s">
        <v>45</v>
      </c>
      <c r="E364">
        <v>22</v>
      </c>
      <c r="F364">
        <v>150</v>
      </c>
      <c r="G364">
        <v>0.07</v>
      </c>
      <c r="H364" t="s">
        <v>46</v>
      </c>
      <c r="I364">
        <v>3300</v>
      </c>
      <c r="J364">
        <v>231</v>
      </c>
      <c r="K364">
        <v>3069</v>
      </c>
    </row>
    <row r="365" spans="1:11">
      <c r="A365" t="s">
        <v>428</v>
      </c>
      <c r="B365" s="14">
        <v>43286</v>
      </c>
      <c r="C365" t="s">
        <v>48</v>
      </c>
      <c r="D365" t="s">
        <v>60</v>
      </c>
      <c r="E365">
        <v>22</v>
      </c>
      <c r="F365">
        <v>40</v>
      </c>
      <c r="G365">
        <v>0.01</v>
      </c>
      <c r="H365" t="s">
        <v>50</v>
      </c>
      <c r="I365">
        <v>880</v>
      </c>
      <c r="J365">
        <v>9</v>
      </c>
      <c r="K365">
        <v>871.2</v>
      </c>
    </row>
    <row r="366" spans="1:11">
      <c r="A366" t="s">
        <v>429</v>
      </c>
      <c r="B366" s="14">
        <v>43286</v>
      </c>
      <c r="C366" t="s">
        <v>44</v>
      </c>
      <c r="D366" t="s">
        <v>49</v>
      </c>
      <c r="E366">
        <v>10</v>
      </c>
      <c r="F366">
        <v>80</v>
      </c>
      <c r="G366">
        <v>0.11</v>
      </c>
      <c r="H366" t="s">
        <v>53</v>
      </c>
      <c r="I366">
        <v>800</v>
      </c>
      <c r="J366">
        <v>88</v>
      </c>
      <c r="K366">
        <v>712</v>
      </c>
    </row>
    <row r="367" spans="1:11">
      <c r="A367" t="s">
        <v>430</v>
      </c>
      <c r="B367" s="14">
        <v>43286</v>
      </c>
      <c r="C367" t="s">
        <v>44</v>
      </c>
      <c r="D367" t="s">
        <v>64</v>
      </c>
      <c r="E367">
        <v>13</v>
      </c>
      <c r="F367">
        <v>80</v>
      </c>
      <c r="G367">
        <v>0.05</v>
      </c>
      <c r="H367" t="s">
        <v>55</v>
      </c>
      <c r="I367">
        <v>1040</v>
      </c>
      <c r="J367">
        <v>52</v>
      </c>
      <c r="K367">
        <v>988</v>
      </c>
    </row>
    <row r="368" spans="1:11">
      <c r="A368" t="s">
        <v>431</v>
      </c>
      <c r="B368" s="14">
        <v>43286</v>
      </c>
      <c r="C368" t="s">
        <v>52</v>
      </c>
      <c r="D368" t="s">
        <v>60</v>
      </c>
      <c r="E368">
        <v>11</v>
      </c>
      <c r="F368">
        <v>230</v>
      </c>
      <c r="G368">
        <v>0.12</v>
      </c>
      <c r="H368" t="s">
        <v>58</v>
      </c>
      <c r="I368">
        <v>2530</v>
      </c>
      <c r="J368">
        <v>304</v>
      </c>
      <c r="K368">
        <v>2226.4</v>
      </c>
    </row>
    <row r="369" spans="1:11">
      <c r="A369" t="s">
        <v>432</v>
      </c>
      <c r="B369" s="14">
        <v>43286</v>
      </c>
      <c r="C369" t="s">
        <v>52</v>
      </c>
      <c r="D369" t="s">
        <v>45</v>
      </c>
      <c r="E369">
        <v>9</v>
      </c>
      <c r="F369">
        <v>230</v>
      </c>
      <c r="G369">
        <v>0.07</v>
      </c>
      <c r="H369" t="s">
        <v>61</v>
      </c>
      <c r="I369">
        <v>2070</v>
      </c>
      <c r="J369">
        <v>145</v>
      </c>
      <c r="K369">
        <v>1925.1</v>
      </c>
    </row>
    <row r="370" spans="1:11">
      <c r="A370" t="s">
        <v>433</v>
      </c>
      <c r="B370" s="14">
        <v>43286</v>
      </c>
      <c r="C370" t="s">
        <v>52</v>
      </c>
      <c r="D370" t="s">
        <v>60</v>
      </c>
      <c r="E370">
        <v>16</v>
      </c>
      <c r="F370">
        <v>230</v>
      </c>
      <c r="G370">
        <v>0.11</v>
      </c>
      <c r="H370" t="s">
        <v>65</v>
      </c>
      <c r="I370">
        <v>3680</v>
      </c>
      <c r="J370">
        <v>405</v>
      </c>
      <c r="K370">
        <v>3275.2</v>
      </c>
    </row>
    <row r="371" spans="1:11">
      <c r="A371" t="s">
        <v>434</v>
      </c>
      <c r="B371" s="14">
        <v>43286</v>
      </c>
      <c r="C371" t="s">
        <v>52</v>
      </c>
      <c r="D371" t="s">
        <v>60</v>
      </c>
      <c r="E371">
        <v>18</v>
      </c>
      <c r="F371">
        <v>230</v>
      </c>
      <c r="G371">
        <v>0.01</v>
      </c>
      <c r="H371" t="s">
        <v>68</v>
      </c>
      <c r="I371">
        <v>4140</v>
      </c>
      <c r="J371">
        <v>41</v>
      </c>
      <c r="K371">
        <v>4098.6</v>
      </c>
    </row>
    <row r="372" spans="1:11">
      <c r="A372" t="s">
        <v>435</v>
      </c>
      <c r="B372" s="14">
        <v>43286</v>
      </c>
      <c r="C372" t="s">
        <v>63</v>
      </c>
      <c r="D372" t="s">
        <v>49</v>
      </c>
      <c r="E372">
        <v>15</v>
      </c>
      <c r="F372">
        <v>16</v>
      </c>
      <c r="G372">
        <v>0.02</v>
      </c>
      <c r="H372" t="s">
        <v>70</v>
      </c>
      <c r="I372">
        <v>240</v>
      </c>
      <c r="J372">
        <v>5</v>
      </c>
      <c r="K372">
        <v>235.2</v>
      </c>
    </row>
    <row r="373" spans="1:11">
      <c r="A373" t="s">
        <v>436</v>
      </c>
      <c r="B373" s="14">
        <v>43286</v>
      </c>
      <c r="C373" t="s">
        <v>48</v>
      </c>
      <c r="D373" t="s">
        <v>64</v>
      </c>
      <c r="E373">
        <v>18</v>
      </c>
      <c r="F373">
        <v>40</v>
      </c>
      <c r="G373">
        <v>0.06</v>
      </c>
      <c r="H373" t="s">
        <v>72</v>
      </c>
      <c r="I373">
        <v>720</v>
      </c>
      <c r="J373">
        <v>43</v>
      </c>
      <c r="K373">
        <v>676.8</v>
      </c>
    </row>
    <row r="374" spans="1:11">
      <c r="A374" t="s">
        <v>437</v>
      </c>
      <c r="B374" s="14">
        <v>43286</v>
      </c>
      <c r="C374" t="s">
        <v>48</v>
      </c>
      <c r="D374" t="s">
        <v>60</v>
      </c>
      <c r="E374">
        <v>18</v>
      </c>
      <c r="F374">
        <v>40</v>
      </c>
      <c r="G374">
        <v>0.04</v>
      </c>
      <c r="H374" t="s">
        <v>74</v>
      </c>
      <c r="I374">
        <v>720</v>
      </c>
      <c r="J374">
        <v>29</v>
      </c>
      <c r="K374">
        <v>691.2</v>
      </c>
    </row>
    <row r="375" spans="1:11">
      <c r="A375" t="s">
        <v>438</v>
      </c>
      <c r="B375" s="14">
        <v>43286</v>
      </c>
      <c r="C375" t="s">
        <v>63</v>
      </c>
      <c r="D375" t="s">
        <v>60</v>
      </c>
      <c r="E375">
        <v>22</v>
      </c>
      <c r="F375">
        <v>16</v>
      </c>
      <c r="G375">
        <v>0.03</v>
      </c>
      <c r="H375" t="s">
        <v>76</v>
      </c>
      <c r="I375">
        <v>352</v>
      </c>
      <c r="J375">
        <v>11</v>
      </c>
      <c r="K375">
        <v>341.44</v>
      </c>
    </row>
    <row r="376" spans="1:11">
      <c r="A376" t="s">
        <v>439</v>
      </c>
      <c r="B376" s="14">
        <v>43286</v>
      </c>
      <c r="C376" t="s">
        <v>63</v>
      </c>
      <c r="D376" t="s">
        <v>57</v>
      </c>
      <c r="E376">
        <v>12</v>
      </c>
      <c r="F376">
        <v>16</v>
      </c>
      <c r="G376">
        <v>0.11</v>
      </c>
      <c r="H376" t="s">
        <v>46</v>
      </c>
      <c r="I376">
        <v>192</v>
      </c>
      <c r="J376">
        <v>21</v>
      </c>
      <c r="K376">
        <v>170.88</v>
      </c>
    </row>
    <row r="377" spans="1:11">
      <c r="A377" t="s">
        <v>440</v>
      </c>
      <c r="B377" s="14">
        <v>43287</v>
      </c>
      <c r="C377" t="s">
        <v>44</v>
      </c>
      <c r="D377" t="s">
        <v>45</v>
      </c>
      <c r="E377">
        <v>20</v>
      </c>
      <c r="F377">
        <v>80</v>
      </c>
      <c r="G377">
        <v>0.01</v>
      </c>
      <c r="H377" t="s">
        <v>50</v>
      </c>
      <c r="I377">
        <v>1600</v>
      </c>
      <c r="J377">
        <v>16</v>
      </c>
      <c r="K377">
        <v>1584</v>
      </c>
    </row>
    <row r="378" spans="1:11">
      <c r="A378" t="s">
        <v>441</v>
      </c>
      <c r="B378" s="14">
        <v>43287</v>
      </c>
      <c r="C378" t="s">
        <v>52</v>
      </c>
      <c r="D378" t="s">
        <v>57</v>
      </c>
      <c r="E378">
        <v>10</v>
      </c>
      <c r="F378">
        <v>230</v>
      </c>
      <c r="G378">
        <v>0.02</v>
      </c>
      <c r="H378" t="s">
        <v>53</v>
      </c>
      <c r="I378">
        <v>2300</v>
      </c>
      <c r="J378">
        <v>46</v>
      </c>
      <c r="K378">
        <v>2254</v>
      </c>
    </row>
    <row r="379" spans="1:11">
      <c r="A379" t="s">
        <v>442</v>
      </c>
      <c r="B379" s="14">
        <v>43287</v>
      </c>
      <c r="C379" t="s">
        <v>52</v>
      </c>
      <c r="D379" t="s">
        <v>49</v>
      </c>
      <c r="E379">
        <v>9</v>
      </c>
      <c r="F379">
        <v>230</v>
      </c>
      <c r="G379">
        <v>0.03</v>
      </c>
      <c r="H379" t="s">
        <v>55</v>
      </c>
      <c r="I379">
        <v>2070</v>
      </c>
      <c r="J379">
        <v>62</v>
      </c>
      <c r="K379">
        <v>2007.9</v>
      </c>
    </row>
    <row r="380" spans="1:11">
      <c r="A380" t="s">
        <v>443</v>
      </c>
      <c r="B380" s="14">
        <v>43287</v>
      </c>
      <c r="C380" t="s">
        <v>44</v>
      </c>
      <c r="D380" t="s">
        <v>49</v>
      </c>
      <c r="E380">
        <v>17</v>
      </c>
      <c r="F380">
        <v>80</v>
      </c>
      <c r="G380">
        <v>0.03</v>
      </c>
      <c r="H380" t="s">
        <v>58</v>
      </c>
      <c r="I380">
        <v>1360</v>
      </c>
      <c r="J380">
        <v>41</v>
      </c>
      <c r="K380">
        <v>1319.2</v>
      </c>
    </row>
    <row r="381" spans="1:11">
      <c r="A381" t="s">
        <v>444</v>
      </c>
      <c r="B381" s="14">
        <v>43287</v>
      </c>
      <c r="C381" t="s">
        <v>48</v>
      </c>
      <c r="D381" t="s">
        <v>64</v>
      </c>
      <c r="E381">
        <v>4</v>
      </c>
      <c r="F381">
        <v>40</v>
      </c>
      <c r="G381">
        <v>0.09</v>
      </c>
      <c r="H381" t="s">
        <v>61</v>
      </c>
      <c r="I381">
        <v>160</v>
      </c>
      <c r="J381">
        <v>14</v>
      </c>
      <c r="K381">
        <v>145.6</v>
      </c>
    </row>
    <row r="382" spans="1:11">
      <c r="A382" t="s">
        <v>445</v>
      </c>
      <c r="B382" s="14">
        <v>43287</v>
      </c>
      <c r="C382" t="s">
        <v>67</v>
      </c>
      <c r="D382" t="s">
        <v>49</v>
      </c>
      <c r="E382">
        <v>16</v>
      </c>
      <c r="F382">
        <v>150</v>
      </c>
      <c r="G382">
        <v>0.03</v>
      </c>
      <c r="H382" t="s">
        <v>65</v>
      </c>
      <c r="I382">
        <v>2400</v>
      </c>
      <c r="J382">
        <v>72</v>
      </c>
      <c r="K382">
        <v>2328</v>
      </c>
    </row>
    <row r="383" spans="1:11">
      <c r="A383" t="s">
        <v>446</v>
      </c>
      <c r="B383" s="14">
        <v>43287</v>
      </c>
      <c r="C383" t="s">
        <v>44</v>
      </c>
      <c r="D383" t="s">
        <v>57</v>
      </c>
      <c r="E383">
        <v>8</v>
      </c>
      <c r="F383">
        <v>80</v>
      </c>
      <c r="G383">
        <v>0.02</v>
      </c>
      <c r="H383" t="s">
        <v>68</v>
      </c>
      <c r="I383">
        <v>640</v>
      </c>
      <c r="J383">
        <v>13</v>
      </c>
      <c r="K383">
        <v>627.2</v>
      </c>
    </row>
    <row r="384" spans="1:11">
      <c r="A384" t="s">
        <v>447</v>
      </c>
      <c r="B384" s="14">
        <v>43287</v>
      </c>
      <c r="C384" t="s">
        <v>48</v>
      </c>
      <c r="D384" t="s">
        <v>60</v>
      </c>
      <c r="E384">
        <v>23</v>
      </c>
      <c r="F384">
        <v>40</v>
      </c>
      <c r="G384">
        <v>0.06</v>
      </c>
      <c r="H384" t="s">
        <v>70</v>
      </c>
      <c r="I384">
        <v>920</v>
      </c>
      <c r="J384">
        <v>55</v>
      </c>
      <c r="K384">
        <v>864.8</v>
      </c>
    </row>
    <row r="385" spans="1:11">
      <c r="A385" t="s">
        <v>448</v>
      </c>
      <c r="B385" s="14">
        <v>43288</v>
      </c>
      <c r="C385" t="s">
        <v>67</v>
      </c>
      <c r="D385" t="s">
        <v>60</v>
      </c>
      <c r="E385">
        <v>20</v>
      </c>
      <c r="F385">
        <v>150</v>
      </c>
      <c r="G385">
        <v>0.1</v>
      </c>
      <c r="H385" t="s">
        <v>72</v>
      </c>
      <c r="I385">
        <v>3000</v>
      </c>
      <c r="J385">
        <v>300</v>
      </c>
      <c r="K385">
        <v>2700</v>
      </c>
    </row>
    <row r="386" spans="1:11">
      <c r="A386" t="s">
        <v>449</v>
      </c>
      <c r="B386" s="14">
        <v>43288</v>
      </c>
      <c r="C386" t="s">
        <v>52</v>
      </c>
      <c r="D386" t="s">
        <v>64</v>
      </c>
      <c r="E386">
        <v>22</v>
      </c>
      <c r="F386">
        <v>230</v>
      </c>
      <c r="G386">
        <v>0.1</v>
      </c>
      <c r="H386" t="s">
        <v>74</v>
      </c>
      <c r="I386">
        <v>5060</v>
      </c>
      <c r="J386">
        <v>506</v>
      </c>
      <c r="K386">
        <v>4554</v>
      </c>
    </row>
    <row r="387" spans="1:11">
      <c r="A387" t="s">
        <v>450</v>
      </c>
      <c r="B387" s="14">
        <v>43288</v>
      </c>
      <c r="C387" t="s">
        <v>52</v>
      </c>
      <c r="D387" t="s">
        <v>49</v>
      </c>
      <c r="E387">
        <v>6</v>
      </c>
      <c r="F387">
        <v>230</v>
      </c>
      <c r="G387">
        <v>0.1</v>
      </c>
      <c r="H387" t="s">
        <v>76</v>
      </c>
      <c r="I387">
        <v>1380</v>
      </c>
      <c r="J387">
        <v>138</v>
      </c>
      <c r="K387">
        <v>1242</v>
      </c>
    </row>
    <row r="388" spans="1:11">
      <c r="A388" t="s">
        <v>451</v>
      </c>
      <c r="B388" s="14">
        <v>43288</v>
      </c>
      <c r="C388" t="s">
        <v>44</v>
      </c>
      <c r="D388" t="s">
        <v>60</v>
      </c>
      <c r="E388">
        <v>10</v>
      </c>
      <c r="F388">
        <v>80</v>
      </c>
      <c r="G388">
        <v>0.1</v>
      </c>
      <c r="H388" t="s">
        <v>46</v>
      </c>
      <c r="I388">
        <v>800</v>
      </c>
      <c r="J388">
        <v>80</v>
      </c>
      <c r="K388">
        <v>720</v>
      </c>
    </row>
    <row r="389" spans="1:11">
      <c r="A389" t="s">
        <v>452</v>
      </c>
      <c r="B389" s="14">
        <v>43288</v>
      </c>
      <c r="C389" t="s">
        <v>52</v>
      </c>
      <c r="D389" t="s">
        <v>64</v>
      </c>
      <c r="E389">
        <v>21</v>
      </c>
      <c r="F389">
        <v>230</v>
      </c>
      <c r="G389">
        <v>0.05</v>
      </c>
      <c r="H389" t="s">
        <v>50</v>
      </c>
      <c r="I389">
        <v>4830</v>
      </c>
      <c r="J389">
        <v>242</v>
      </c>
      <c r="K389">
        <v>4588.5</v>
      </c>
    </row>
    <row r="390" spans="1:11">
      <c r="A390" t="s">
        <v>453</v>
      </c>
      <c r="B390" s="14">
        <v>43288</v>
      </c>
      <c r="C390" t="s">
        <v>52</v>
      </c>
      <c r="D390" t="s">
        <v>45</v>
      </c>
      <c r="E390">
        <v>20</v>
      </c>
      <c r="F390">
        <v>230</v>
      </c>
      <c r="G390">
        <v>0.04</v>
      </c>
      <c r="H390" t="s">
        <v>53</v>
      </c>
      <c r="I390">
        <v>4600</v>
      </c>
      <c r="J390">
        <v>184</v>
      </c>
      <c r="K390">
        <v>4416</v>
      </c>
    </row>
    <row r="391" spans="1:11">
      <c r="A391" t="s">
        <v>454</v>
      </c>
      <c r="B391" s="14">
        <v>43288</v>
      </c>
      <c r="C391" t="s">
        <v>44</v>
      </c>
      <c r="D391" t="s">
        <v>57</v>
      </c>
      <c r="E391">
        <v>20</v>
      </c>
      <c r="F391">
        <v>80</v>
      </c>
      <c r="G391">
        <v>0.07</v>
      </c>
      <c r="H391" t="s">
        <v>55</v>
      </c>
      <c r="I391">
        <v>1600</v>
      </c>
      <c r="J391">
        <v>112</v>
      </c>
      <c r="K391">
        <v>1488</v>
      </c>
    </row>
    <row r="392" spans="1:11">
      <c r="A392" t="s">
        <v>455</v>
      </c>
      <c r="B392" s="14">
        <v>43288</v>
      </c>
      <c r="C392" t="s">
        <v>44</v>
      </c>
      <c r="D392" t="s">
        <v>57</v>
      </c>
      <c r="E392">
        <v>7</v>
      </c>
      <c r="F392">
        <v>80</v>
      </c>
      <c r="G392">
        <v>0.05</v>
      </c>
      <c r="H392" t="s">
        <v>58</v>
      </c>
      <c r="I392">
        <v>560</v>
      </c>
      <c r="J392">
        <v>28</v>
      </c>
      <c r="K392">
        <v>532</v>
      </c>
    </row>
    <row r="393" spans="1:11">
      <c r="A393" t="s">
        <v>456</v>
      </c>
      <c r="B393" s="14">
        <v>43288</v>
      </c>
      <c r="C393" t="s">
        <v>44</v>
      </c>
      <c r="D393" t="s">
        <v>45</v>
      </c>
      <c r="E393">
        <v>8</v>
      </c>
      <c r="F393">
        <v>80</v>
      </c>
      <c r="G393">
        <v>0.09</v>
      </c>
      <c r="H393" t="s">
        <v>61</v>
      </c>
      <c r="I393">
        <v>640</v>
      </c>
      <c r="J393">
        <v>58</v>
      </c>
      <c r="K393">
        <v>582.4</v>
      </c>
    </row>
    <row r="394" spans="1:11">
      <c r="A394" t="s">
        <v>457</v>
      </c>
      <c r="B394" s="14">
        <v>43288</v>
      </c>
      <c r="C394" t="s">
        <v>44</v>
      </c>
      <c r="D394" t="s">
        <v>49</v>
      </c>
      <c r="E394">
        <v>3</v>
      </c>
      <c r="F394">
        <v>80</v>
      </c>
      <c r="G394">
        <v>0.02</v>
      </c>
      <c r="H394" t="s">
        <v>65</v>
      </c>
      <c r="I394">
        <v>240</v>
      </c>
      <c r="J394">
        <v>5</v>
      </c>
      <c r="K394">
        <v>235.2</v>
      </c>
    </row>
    <row r="395" spans="1:11">
      <c r="A395" t="s">
        <v>458</v>
      </c>
      <c r="B395" s="14">
        <v>43288</v>
      </c>
      <c r="C395" t="s">
        <v>44</v>
      </c>
      <c r="D395" t="s">
        <v>60</v>
      </c>
      <c r="E395">
        <v>8</v>
      </c>
      <c r="F395">
        <v>80</v>
      </c>
      <c r="G395">
        <v>0.06</v>
      </c>
      <c r="H395" t="s">
        <v>68</v>
      </c>
      <c r="I395">
        <v>640</v>
      </c>
      <c r="J395">
        <v>38</v>
      </c>
      <c r="K395">
        <v>601.6</v>
      </c>
    </row>
    <row r="396" spans="1:11">
      <c r="A396" t="s">
        <v>459</v>
      </c>
      <c r="B396" s="14">
        <v>43288</v>
      </c>
      <c r="C396" t="s">
        <v>67</v>
      </c>
      <c r="D396" t="s">
        <v>64</v>
      </c>
      <c r="E396">
        <v>13</v>
      </c>
      <c r="F396">
        <v>150</v>
      </c>
      <c r="G396">
        <v>0.11</v>
      </c>
      <c r="H396" t="s">
        <v>70</v>
      </c>
      <c r="I396">
        <v>1950</v>
      </c>
      <c r="J396">
        <v>214</v>
      </c>
      <c r="K396">
        <v>1735.5</v>
      </c>
    </row>
    <row r="397" spans="1:11">
      <c r="A397" t="s">
        <v>460</v>
      </c>
      <c r="B397" s="14">
        <v>43288</v>
      </c>
      <c r="C397" t="s">
        <v>44</v>
      </c>
      <c r="D397" t="s">
        <v>60</v>
      </c>
      <c r="E397">
        <v>15</v>
      </c>
      <c r="F397">
        <v>80</v>
      </c>
      <c r="G397">
        <v>0.08</v>
      </c>
      <c r="H397" t="s">
        <v>72</v>
      </c>
      <c r="I397">
        <v>1200</v>
      </c>
      <c r="J397">
        <v>96</v>
      </c>
      <c r="K397">
        <v>1104</v>
      </c>
    </row>
    <row r="398" spans="1:11">
      <c r="A398" t="s">
        <v>461</v>
      </c>
      <c r="B398" s="14">
        <v>43288</v>
      </c>
      <c r="C398" t="s">
        <v>67</v>
      </c>
      <c r="D398" t="s">
        <v>64</v>
      </c>
      <c r="E398">
        <v>7</v>
      </c>
      <c r="F398">
        <v>150</v>
      </c>
      <c r="G398">
        <v>0.02</v>
      </c>
      <c r="H398" t="s">
        <v>74</v>
      </c>
      <c r="I398">
        <v>1050</v>
      </c>
      <c r="J398">
        <v>21</v>
      </c>
      <c r="K398">
        <v>1029</v>
      </c>
    </row>
    <row r="399" spans="1:11">
      <c r="A399" t="s">
        <v>462</v>
      </c>
      <c r="B399" s="14">
        <v>43288</v>
      </c>
      <c r="C399" t="s">
        <v>48</v>
      </c>
      <c r="D399" t="s">
        <v>57</v>
      </c>
      <c r="E399">
        <v>6</v>
      </c>
      <c r="F399">
        <v>40</v>
      </c>
      <c r="G399">
        <v>0.06</v>
      </c>
      <c r="H399" t="s">
        <v>76</v>
      </c>
      <c r="I399">
        <v>240</v>
      </c>
      <c r="J399">
        <v>14</v>
      </c>
      <c r="K399">
        <v>225.6</v>
      </c>
    </row>
    <row r="400" spans="1:11">
      <c r="A400" t="s">
        <v>463</v>
      </c>
      <c r="B400" s="14">
        <v>43288</v>
      </c>
      <c r="C400" t="s">
        <v>44</v>
      </c>
      <c r="D400" t="s">
        <v>60</v>
      </c>
      <c r="E400">
        <v>23</v>
      </c>
      <c r="F400">
        <v>80</v>
      </c>
      <c r="G400">
        <v>0.11</v>
      </c>
      <c r="H400" t="s">
        <v>46</v>
      </c>
      <c r="I400">
        <v>1840</v>
      </c>
      <c r="J400">
        <v>202</v>
      </c>
      <c r="K400">
        <v>1637.6</v>
      </c>
    </row>
    <row r="401" spans="1:11">
      <c r="A401" t="s">
        <v>464</v>
      </c>
      <c r="B401" s="14">
        <v>43288</v>
      </c>
      <c r="C401" t="s">
        <v>52</v>
      </c>
      <c r="D401" t="s">
        <v>57</v>
      </c>
      <c r="E401">
        <v>18</v>
      </c>
      <c r="F401">
        <v>230</v>
      </c>
      <c r="G401">
        <v>0.01</v>
      </c>
      <c r="H401" t="s">
        <v>50</v>
      </c>
      <c r="I401">
        <v>4140</v>
      </c>
      <c r="J401">
        <v>41</v>
      </c>
      <c r="K401">
        <v>4098.6</v>
      </c>
    </row>
    <row r="402" spans="1:11">
      <c r="A402" t="s">
        <v>465</v>
      </c>
      <c r="B402" s="14">
        <v>43289</v>
      </c>
      <c r="C402" t="s">
        <v>44</v>
      </c>
      <c r="D402" t="s">
        <v>64</v>
      </c>
      <c r="E402">
        <v>21</v>
      </c>
      <c r="F402">
        <v>80</v>
      </c>
      <c r="G402">
        <v>0.09</v>
      </c>
      <c r="H402" t="s">
        <v>53</v>
      </c>
      <c r="I402">
        <v>1680</v>
      </c>
      <c r="J402">
        <v>151</v>
      </c>
      <c r="K402">
        <v>1528.8</v>
      </c>
    </row>
    <row r="403" spans="1:11">
      <c r="A403" t="s">
        <v>466</v>
      </c>
      <c r="B403" s="14">
        <v>43289</v>
      </c>
      <c r="C403" t="s">
        <v>48</v>
      </c>
      <c r="D403" t="s">
        <v>57</v>
      </c>
      <c r="E403">
        <v>13</v>
      </c>
      <c r="F403">
        <v>40</v>
      </c>
      <c r="G403">
        <v>0.02</v>
      </c>
      <c r="H403" t="s">
        <v>55</v>
      </c>
      <c r="I403">
        <v>520</v>
      </c>
      <c r="J403">
        <v>10</v>
      </c>
      <c r="K403">
        <v>509.6</v>
      </c>
    </row>
    <row r="404" spans="1:11">
      <c r="A404" t="s">
        <v>467</v>
      </c>
      <c r="B404" s="14">
        <v>43289</v>
      </c>
      <c r="C404" t="s">
        <v>44</v>
      </c>
      <c r="D404" t="s">
        <v>57</v>
      </c>
      <c r="E404">
        <v>23</v>
      </c>
      <c r="F404">
        <v>80</v>
      </c>
      <c r="G404">
        <v>0.05</v>
      </c>
      <c r="H404" t="s">
        <v>58</v>
      </c>
      <c r="I404">
        <v>1840</v>
      </c>
      <c r="J404">
        <v>92</v>
      </c>
      <c r="K404">
        <v>1748</v>
      </c>
    </row>
    <row r="405" spans="1:11">
      <c r="A405" t="s">
        <v>468</v>
      </c>
      <c r="B405" s="14">
        <v>43289</v>
      </c>
      <c r="C405" t="s">
        <v>67</v>
      </c>
      <c r="D405" t="s">
        <v>60</v>
      </c>
      <c r="E405">
        <v>15</v>
      </c>
      <c r="F405">
        <v>150</v>
      </c>
      <c r="G405">
        <v>0.05</v>
      </c>
      <c r="H405" t="s">
        <v>61</v>
      </c>
      <c r="I405">
        <v>2250</v>
      </c>
      <c r="J405">
        <v>112</v>
      </c>
      <c r="K405">
        <v>2137.5</v>
      </c>
    </row>
    <row r="406" spans="1:11">
      <c r="A406" t="s">
        <v>469</v>
      </c>
      <c r="B406" s="14">
        <v>43289</v>
      </c>
      <c r="C406" t="s">
        <v>48</v>
      </c>
      <c r="D406" t="s">
        <v>45</v>
      </c>
      <c r="E406">
        <v>5</v>
      </c>
      <c r="F406">
        <v>40</v>
      </c>
      <c r="G406">
        <v>0.09</v>
      </c>
      <c r="H406" t="s">
        <v>65</v>
      </c>
      <c r="I406">
        <v>200</v>
      </c>
      <c r="J406">
        <v>18</v>
      </c>
      <c r="K406">
        <v>182</v>
      </c>
    </row>
    <row r="407" spans="1:11">
      <c r="A407" t="s">
        <v>470</v>
      </c>
      <c r="B407" s="14">
        <v>43289</v>
      </c>
      <c r="C407" t="s">
        <v>63</v>
      </c>
      <c r="D407" t="s">
        <v>60</v>
      </c>
      <c r="E407">
        <v>10</v>
      </c>
      <c r="F407">
        <v>16</v>
      </c>
      <c r="G407">
        <v>0.01</v>
      </c>
      <c r="H407" t="s">
        <v>68</v>
      </c>
      <c r="I407">
        <v>160</v>
      </c>
      <c r="J407">
        <v>2</v>
      </c>
      <c r="K407">
        <v>158.4</v>
      </c>
    </row>
    <row r="408" spans="1:11">
      <c r="A408" t="s">
        <v>471</v>
      </c>
      <c r="B408" s="14">
        <v>43289</v>
      </c>
      <c r="C408" t="s">
        <v>52</v>
      </c>
      <c r="D408" t="s">
        <v>57</v>
      </c>
      <c r="E408">
        <v>2</v>
      </c>
      <c r="F408">
        <v>230</v>
      </c>
      <c r="G408">
        <v>0.09</v>
      </c>
      <c r="H408" t="s">
        <v>70</v>
      </c>
      <c r="I408">
        <v>460</v>
      </c>
      <c r="J408">
        <v>41</v>
      </c>
      <c r="K408">
        <v>418.6</v>
      </c>
    </row>
    <row r="409" spans="1:11">
      <c r="A409" t="s">
        <v>472</v>
      </c>
      <c r="B409" s="14">
        <v>43289</v>
      </c>
      <c r="C409" t="s">
        <v>44</v>
      </c>
      <c r="D409" t="s">
        <v>60</v>
      </c>
      <c r="E409">
        <v>7</v>
      </c>
      <c r="F409">
        <v>80</v>
      </c>
      <c r="G409">
        <v>0.02</v>
      </c>
      <c r="H409" t="s">
        <v>72</v>
      </c>
      <c r="I409">
        <v>560</v>
      </c>
      <c r="J409">
        <v>11</v>
      </c>
      <c r="K409">
        <v>548.8</v>
      </c>
    </row>
    <row r="410" spans="1:11">
      <c r="A410" t="s">
        <v>473</v>
      </c>
      <c r="B410" s="14">
        <v>43289</v>
      </c>
      <c r="C410" t="s">
        <v>67</v>
      </c>
      <c r="D410" t="s">
        <v>60</v>
      </c>
      <c r="E410">
        <v>22</v>
      </c>
      <c r="F410">
        <v>150</v>
      </c>
      <c r="G410">
        <v>0.05</v>
      </c>
      <c r="H410" t="s">
        <v>74</v>
      </c>
      <c r="I410">
        <v>3300</v>
      </c>
      <c r="J410">
        <v>165</v>
      </c>
      <c r="K410">
        <v>3135</v>
      </c>
    </row>
    <row r="411" spans="1:11">
      <c r="A411" t="s">
        <v>474</v>
      </c>
      <c r="B411" s="14">
        <v>43289</v>
      </c>
      <c r="C411" t="s">
        <v>48</v>
      </c>
      <c r="D411" t="s">
        <v>64</v>
      </c>
      <c r="E411">
        <v>17</v>
      </c>
      <c r="F411">
        <v>40</v>
      </c>
      <c r="G411">
        <v>0.02</v>
      </c>
      <c r="H411" t="s">
        <v>76</v>
      </c>
      <c r="I411">
        <v>680</v>
      </c>
      <c r="J411">
        <v>14</v>
      </c>
      <c r="K411">
        <v>666.4</v>
      </c>
    </row>
    <row r="412" spans="1:11">
      <c r="A412" t="s">
        <v>475</v>
      </c>
      <c r="B412" s="14">
        <v>43289</v>
      </c>
      <c r="C412" t="s">
        <v>63</v>
      </c>
      <c r="D412" t="s">
        <v>45</v>
      </c>
      <c r="E412">
        <v>22</v>
      </c>
      <c r="F412">
        <v>16</v>
      </c>
      <c r="G412">
        <v>0.06</v>
      </c>
      <c r="H412" t="s">
        <v>46</v>
      </c>
      <c r="I412">
        <v>352</v>
      </c>
      <c r="J412">
        <v>21</v>
      </c>
      <c r="K412">
        <v>330.88</v>
      </c>
    </row>
    <row r="413" spans="1:11">
      <c r="A413" t="s">
        <v>476</v>
      </c>
      <c r="B413" s="14">
        <v>43289</v>
      </c>
      <c r="C413" t="s">
        <v>63</v>
      </c>
      <c r="D413" t="s">
        <v>64</v>
      </c>
      <c r="E413">
        <v>3</v>
      </c>
      <c r="F413">
        <v>16</v>
      </c>
      <c r="G413">
        <v>0.03</v>
      </c>
      <c r="H413" t="s">
        <v>50</v>
      </c>
      <c r="I413">
        <v>48</v>
      </c>
      <c r="J413">
        <v>1</v>
      </c>
      <c r="K413">
        <v>46.56</v>
      </c>
    </row>
    <row r="414" spans="1:11">
      <c r="A414" t="s">
        <v>477</v>
      </c>
      <c r="B414" s="14">
        <v>43289</v>
      </c>
      <c r="C414" t="s">
        <v>52</v>
      </c>
      <c r="D414" t="s">
        <v>64</v>
      </c>
      <c r="E414">
        <v>2</v>
      </c>
      <c r="F414">
        <v>230</v>
      </c>
      <c r="G414">
        <v>0.08</v>
      </c>
      <c r="H414" t="s">
        <v>53</v>
      </c>
      <c r="I414">
        <v>460</v>
      </c>
      <c r="J414">
        <v>37</v>
      </c>
      <c r="K414">
        <v>423.2</v>
      </c>
    </row>
    <row r="415" spans="1:11">
      <c r="A415" t="s">
        <v>478</v>
      </c>
      <c r="B415" s="14">
        <v>43289</v>
      </c>
      <c r="C415" t="s">
        <v>63</v>
      </c>
      <c r="D415" t="s">
        <v>45</v>
      </c>
      <c r="E415">
        <v>21</v>
      </c>
      <c r="F415">
        <v>16</v>
      </c>
      <c r="G415">
        <v>0.09</v>
      </c>
      <c r="H415" t="s">
        <v>55</v>
      </c>
      <c r="I415">
        <v>336</v>
      </c>
      <c r="J415">
        <v>30</v>
      </c>
      <c r="K415">
        <v>305.76</v>
      </c>
    </row>
    <row r="416" spans="1:11">
      <c r="A416" t="s">
        <v>479</v>
      </c>
      <c r="B416" s="14">
        <v>43289</v>
      </c>
      <c r="C416" t="s">
        <v>44</v>
      </c>
      <c r="D416" t="s">
        <v>60</v>
      </c>
      <c r="E416">
        <v>7</v>
      </c>
      <c r="F416">
        <v>80</v>
      </c>
      <c r="G416">
        <v>0.07</v>
      </c>
      <c r="H416" t="s">
        <v>58</v>
      </c>
      <c r="I416">
        <v>560</v>
      </c>
      <c r="J416">
        <v>39</v>
      </c>
      <c r="K416">
        <v>520.8</v>
      </c>
    </row>
    <row r="417" spans="1:11">
      <c r="A417" t="s">
        <v>480</v>
      </c>
      <c r="B417" s="14">
        <v>43289</v>
      </c>
      <c r="C417" t="s">
        <v>67</v>
      </c>
      <c r="D417" t="s">
        <v>49</v>
      </c>
      <c r="E417">
        <v>23</v>
      </c>
      <c r="F417">
        <v>150</v>
      </c>
      <c r="G417">
        <v>0.11</v>
      </c>
      <c r="H417" t="s">
        <v>61</v>
      </c>
      <c r="I417">
        <v>3450</v>
      </c>
      <c r="J417">
        <v>380</v>
      </c>
      <c r="K417">
        <v>3070.5</v>
      </c>
    </row>
    <row r="418" spans="1:11">
      <c r="A418" t="s">
        <v>481</v>
      </c>
      <c r="B418" s="14">
        <v>43290</v>
      </c>
      <c r="C418" t="s">
        <v>67</v>
      </c>
      <c r="D418" t="s">
        <v>45</v>
      </c>
      <c r="E418">
        <v>11</v>
      </c>
      <c r="F418">
        <v>150</v>
      </c>
      <c r="G418">
        <v>0.05</v>
      </c>
      <c r="H418" t="s">
        <v>65</v>
      </c>
      <c r="I418">
        <v>1650</v>
      </c>
      <c r="J418">
        <v>82</v>
      </c>
      <c r="K418">
        <v>1567.5</v>
      </c>
    </row>
    <row r="419" spans="1:11">
      <c r="A419" t="s">
        <v>482</v>
      </c>
      <c r="B419" s="14">
        <v>43290</v>
      </c>
      <c r="C419" t="s">
        <v>44</v>
      </c>
      <c r="D419" t="s">
        <v>64</v>
      </c>
      <c r="E419">
        <v>16</v>
      </c>
      <c r="F419">
        <v>80</v>
      </c>
      <c r="G419">
        <v>0.05</v>
      </c>
      <c r="H419" t="s">
        <v>68</v>
      </c>
      <c r="I419">
        <v>1280</v>
      </c>
      <c r="J419">
        <v>64</v>
      </c>
      <c r="K419">
        <v>1216</v>
      </c>
    </row>
    <row r="420" spans="1:11">
      <c r="A420" t="s">
        <v>483</v>
      </c>
      <c r="B420" s="14">
        <v>43290</v>
      </c>
      <c r="C420" t="s">
        <v>52</v>
      </c>
      <c r="D420" t="s">
        <v>57</v>
      </c>
      <c r="E420">
        <v>5</v>
      </c>
      <c r="F420">
        <v>230</v>
      </c>
      <c r="G420">
        <v>0.1</v>
      </c>
      <c r="H420" t="s">
        <v>70</v>
      </c>
      <c r="I420">
        <v>1150</v>
      </c>
      <c r="J420">
        <v>115</v>
      </c>
      <c r="K420">
        <v>1035</v>
      </c>
    </row>
    <row r="421" spans="1:11">
      <c r="A421" t="s">
        <v>484</v>
      </c>
      <c r="B421" s="14">
        <v>43290</v>
      </c>
      <c r="C421" t="s">
        <v>63</v>
      </c>
      <c r="D421" t="s">
        <v>45</v>
      </c>
      <c r="E421">
        <v>22</v>
      </c>
      <c r="F421">
        <v>16</v>
      </c>
      <c r="G421">
        <v>0.01</v>
      </c>
      <c r="H421" t="s">
        <v>72</v>
      </c>
      <c r="I421">
        <v>352</v>
      </c>
      <c r="J421">
        <v>4</v>
      </c>
      <c r="K421">
        <v>348.48</v>
      </c>
    </row>
    <row r="422" spans="1:11">
      <c r="A422" t="s">
        <v>485</v>
      </c>
      <c r="B422" s="14">
        <v>43290</v>
      </c>
      <c r="C422" t="s">
        <v>48</v>
      </c>
      <c r="D422" t="s">
        <v>64</v>
      </c>
      <c r="E422">
        <v>7</v>
      </c>
      <c r="F422">
        <v>40</v>
      </c>
      <c r="G422">
        <v>0.12</v>
      </c>
      <c r="H422" t="s">
        <v>46</v>
      </c>
      <c r="I422">
        <v>280</v>
      </c>
      <c r="J422">
        <v>34</v>
      </c>
      <c r="K422">
        <v>246.4</v>
      </c>
    </row>
    <row r="423" spans="1:11">
      <c r="A423" t="s">
        <v>486</v>
      </c>
      <c r="B423" s="14">
        <v>43290</v>
      </c>
      <c r="C423" t="s">
        <v>44</v>
      </c>
      <c r="D423" t="s">
        <v>49</v>
      </c>
      <c r="E423">
        <v>2</v>
      </c>
      <c r="F423">
        <v>80</v>
      </c>
      <c r="G423">
        <v>0.04</v>
      </c>
      <c r="H423" t="s">
        <v>50</v>
      </c>
      <c r="I423">
        <v>160</v>
      </c>
      <c r="J423">
        <v>6</v>
      </c>
      <c r="K423">
        <v>153.6</v>
      </c>
    </row>
    <row r="424" spans="1:11">
      <c r="A424" t="s">
        <v>487</v>
      </c>
      <c r="B424" s="14">
        <v>43290</v>
      </c>
      <c r="C424" t="s">
        <v>48</v>
      </c>
      <c r="D424" t="s">
        <v>60</v>
      </c>
      <c r="E424">
        <v>6</v>
      </c>
      <c r="F424">
        <v>40</v>
      </c>
      <c r="G424">
        <v>0.07</v>
      </c>
      <c r="H424" t="s">
        <v>53</v>
      </c>
      <c r="I424">
        <v>240</v>
      </c>
      <c r="J424">
        <v>17</v>
      </c>
      <c r="K424">
        <v>223.2</v>
      </c>
    </row>
    <row r="425" spans="1:11">
      <c r="A425" t="s">
        <v>488</v>
      </c>
      <c r="B425" s="14">
        <v>43290</v>
      </c>
      <c r="C425" t="s">
        <v>44</v>
      </c>
      <c r="D425" t="s">
        <v>57</v>
      </c>
      <c r="E425">
        <v>6</v>
      </c>
      <c r="F425">
        <v>80</v>
      </c>
      <c r="G425">
        <v>0.01</v>
      </c>
      <c r="H425" t="s">
        <v>55</v>
      </c>
      <c r="I425">
        <v>480</v>
      </c>
      <c r="J425">
        <v>5</v>
      </c>
      <c r="K425">
        <v>475.2</v>
      </c>
    </row>
    <row r="426" spans="1:11">
      <c r="A426" t="s">
        <v>489</v>
      </c>
      <c r="B426" s="14">
        <v>43290</v>
      </c>
      <c r="C426" t="s">
        <v>63</v>
      </c>
      <c r="D426" t="s">
        <v>49</v>
      </c>
      <c r="E426">
        <v>22</v>
      </c>
      <c r="F426">
        <v>16</v>
      </c>
      <c r="G426">
        <v>0.01</v>
      </c>
      <c r="H426" t="s">
        <v>58</v>
      </c>
      <c r="I426">
        <v>352</v>
      </c>
      <c r="J426">
        <v>4</v>
      </c>
      <c r="K426">
        <v>348.48</v>
      </c>
    </row>
    <row r="427" spans="1:11">
      <c r="A427" t="s">
        <v>490</v>
      </c>
      <c r="B427" s="14">
        <v>43290</v>
      </c>
      <c r="C427" t="s">
        <v>52</v>
      </c>
      <c r="D427" t="s">
        <v>60</v>
      </c>
      <c r="E427">
        <v>7</v>
      </c>
      <c r="F427">
        <v>230</v>
      </c>
      <c r="G427">
        <v>0.06</v>
      </c>
      <c r="H427" t="s">
        <v>61</v>
      </c>
      <c r="I427">
        <v>1610</v>
      </c>
      <c r="J427">
        <v>97</v>
      </c>
      <c r="K427">
        <v>1513.4</v>
      </c>
    </row>
    <row r="428" spans="1:11">
      <c r="A428" t="s">
        <v>491</v>
      </c>
      <c r="B428" s="14">
        <v>43291</v>
      </c>
      <c r="C428" t="s">
        <v>63</v>
      </c>
      <c r="D428" t="s">
        <v>60</v>
      </c>
      <c r="E428">
        <v>22</v>
      </c>
      <c r="F428">
        <v>16</v>
      </c>
      <c r="G428">
        <v>0.03</v>
      </c>
      <c r="H428" t="s">
        <v>65</v>
      </c>
      <c r="I428">
        <v>352</v>
      </c>
      <c r="J428">
        <v>11</v>
      </c>
      <c r="K428">
        <v>341.44</v>
      </c>
    </row>
    <row r="429" spans="1:11">
      <c r="A429" t="s">
        <v>492</v>
      </c>
      <c r="B429" s="14">
        <v>43291</v>
      </c>
      <c r="C429" t="s">
        <v>48</v>
      </c>
      <c r="D429" t="s">
        <v>64</v>
      </c>
      <c r="E429">
        <v>20</v>
      </c>
      <c r="F429">
        <v>40</v>
      </c>
      <c r="G429">
        <v>0.05</v>
      </c>
      <c r="H429" t="s">
        <v>68</v>
      </c>
      <c r="I429">
        <v>800</v>
      </c>
      <c r="J429">
        <v>40</v>
      </c>
      <c r="K429">
        <v>760</v>
      </c>
    </row>
    <row r="430" spans="1:11">
      <c r="A430" t="s">
        <v>493</v>
      </c>
      <c r="B430" s="14">
        <v>43291</v>
      </c>
      <c r="C430" t="s">
        <v>48</v>
      </c>
      <c r="D430" t="s">
        <v>49</v>
      </c>
      <c r="E430">
        <v>19</v>
      </c>
      <c r="F430">
        <v>40</v>
      </c>
      <c r="G430">
        <v>0.1</v>
      </c>
      <c r="H430" t="s">
        <v>70</v>
      </c>
      <c r="I430">
        <v>760</v>
      </c>
      <c r="J430">
        <v>76</v>
      </c>
      <c r="K430">
        <v>684</v>
      </c>
    </row>
    <row r="431" spans="1:11">
      <c r="A431" t="s">
        <v>494</v>
      </c>
      <c r="B431" s="14">
        <v>43291</v>
      </c>
      <c r="C431" t="s">
        <v>63</v>
      </c>
      <c r="D431" t="s">
        <v>45</v>
      </c>
      <c r="E431">
        <v>18</v>
      </c>
      <c r="F431">
        <v>16</v>
      </c>
      <c r="G431">
        <v>0.05</v>
      </c>
      <c r="H431" t="s">
        <v>72</v>
      </c>
      <c r="I431">
        <v>288</v>
      </c>
      <c r="J431">
        <v>14</v>
      </c>
      <c r="K431">
        <v>273.6</v>
      </c>
    </row>
    <row r="432" spans="1:11">
      <c r="A432" t="s">
        <v>495</v>
      </c>
      <c r="B432" s="14">
        <v>43291</v>
      </c>
      <c r="C432" t="s">
        <v>48</v>
      </c>
      <c r="D432" t="s">
        <v>57</v>
      </c>
      <c r="E432">
        <v>2</v>
      </c>
      <c r="F432">
        <v>40</v>
      </c>
      <c r="G432">
        <v>0.02</v>
      </c>
      <c r="H432" t="s">
        <v>74</v>
      </c>
      <c r="I432">
        <v>80</v>
      </c>
      <c r="J432">
        <v>2</v>
      </c>
      <c r="K432">
        <v>78.4</v>
      </c>
    </row>
    <row r="433" spans="1:11">
      <c r="A433" t="s">
        <v>496</v>
      </c>
      <c r="B433" s="14">
        <v>43291</v>
      </c>
      <c r="C433" t="s">
        <v>48</v>
      </c>
      <c r="D433" t="s">
        <v>60</v>
      </c>
      <c r="E433">
        <v>7</v>
      </c>
      <c r="F433">
        <v>40</v>
      </c>
      <c r="G433">
        <v>0.07</v>
      </c>
      <c r="H433" t="s">
        <v>76</v>
      </c>
      <c r="I433">
        <v>280</v>
      </c>
      <c r="J433">
        <v>20</v>
      </c>
      <c r="K433">
        <v>260.4</v>
      </c>
    </row>
    <row r="434" spans="1:11">
      <c r="A434" t="s">
        <v>497</v>
      </c>
      <c r="B434" s="14">
        <v>43291</v>
      </c>
      <c r="C434" t="s">
        <v>67</v>
      </c>
      <c r="D434" t="s">
        <v>57</v>
      </c>
      <c r="E434">
        <v>11</v>
      </c>
      <c r="F434">
        <v>150</v>
      </c>
      <c r="G434">
        <v>0.05</v>
      </c>
      <c r="H434" t="s">
        <v>46</v>
      </c>
      <c r="I434">
        <v>1650</v>
      </c>
      <c r="J434">
        <v>82</v>
      </c>
      <c r="K434">
        <v>1567.5</v>
      </c>
    </row>
    <row r="435" spans="1:11">
      <c r="A435" t="s">
        <v>498</v>
      </c>
      <c r="B435" s="14">
        <v>43291</v>
      </c>
      <c r="C435" t="s">
        <v>44</v>
      </c>
      <c r="D435" t="s">
        <v>49</v>
      </c>
      <c r="E435">
        <v>14</v>
      </c>
      <c r="F435">
        <v>80</v>
      </c>
      <c r="G435">
        <v>0.11</v>
      </c>
      <c r="H435" t="s">
        <v>50</v>
      </c>
      <c r="I435">
        <v>1120</v>
      </c>
      <c r="J435">
        <v>123</v>
      </c>
      <c r="K435">
        <v>996.8</v>
      </c>
    </row>
    <row r="436" spans="1:11">
      <c r="A436" t="s">
        <v>499</v>
      </c>
      <c r="B436" s="14">
        <v>43291</v>
      </c>
      <c r="C436" t="s">
        <v>48</v>
      </c>
      <c r="D436" t="s">
        <v>64</v>
      </c>
      <c r="E436">
        <v>7</v>
      </c>
      <c r="F436">
        <v>40</v>
      </c>
      <c r="G436">
        <v>0.04</v>
      </c>
      <c r="H436" t="s">
        <v>53</v>
      </c>
      <c r="I436">
        <v>280</v>
      </c>
      <c r="J436">
        <v>11</v>
      </c>
      <c r="K436">
        <v>268.8</v>
      </c>
    </row>
    <row r="437" spans="1:11">
      <c r="A437" t="s">
        <v>500</v>
      </c>
      <c r="B437" s="14">
        <v>43291</v>
      </c>
      <c r="C437" t="s">
        <v>44</v>
      </c>
      <c r="D437" t="s">
        <v>60</v>
      </c>
      <c r="E437">
        <v>14</v>
      </c>
      <c r="F437">
        <v>80</v>
      </c>
      <c r="G437">
        <v>0.05</v>
      </c>
      <c r="H437" t="s">
        <v>55</v>
      </c>
      <c r="I437">
        <v>1120</v>
      </c>
      <c r="J437">
        <v>56</v>
      </c>
      <c r="K437">
        <v>1064</v>
      </c>
    </row>
    <row r="438" spans="1:11">
      <c r="A438" t="s">
        <v>501</v>
      </c>
      <c r="B438" s="14">
        <v>43292</v>
      </c>
      <c r="C438" t="s">
        <v>63</v>
      </c>
      <c r="D438" t="s">
        <v>57</v>
      </c>
      <c r="E438">
        <v>12</v>
      </c>
      <c r="F438">
        <v>16</v>
      </c>
      <c r="G438">
        <v>0.11</v>
      </c>
      <c r="H438" t="s">
        <v>58</v>
      </c>
      <c r="I438">
        <v>192</v>
      </c>
      <c r="J438">
        <v>21</v>
      </c>
      <c r="K438">
        <v>170.88</v>
      </c>
    </row>
    <row r="439" spans="1:11">
      <c r="A439" t="s">
        <v>502</v>
      </c>
      <c r="B439" s="14">
        <v>43292</v>
      </c>
      <c r="C439" t="s">
        <v>48</v>
      </c>
      <c r="D439" t="s">
        <v>64</v>
      </c>
      <c r="E439">
        <v>11</v>
      </c>
      <c r="F439">
        <v>40</v>
      </c>
      <c r="G439">
        <v>0.05</v>
      </c>
      <c r="H439" t="s">
        <v>61</v>
      </c>
      <c r="I439">
        <v>440</v>
      </c>
      <c r="J439">
        <v>22</v>
      </c>
      <c r="K439">
        <v>418</v>
      </c>
    </row>
    <row r="440" spans="1:11">
      <c r="A440" t="s">
        <v>503</v>
      </c>
      <c r="B440" s="14">
        <v>43292</v>
      </c>
      <c r="C440" t="s">
        <v>63</v>
      </c>
      <c r="D440" t="s">
        <v>57</v>
      </c>
      <c r="E440">
        <v>14</v>
      </c>
      <c r="F440">
        <v>16</v>
      </c>
      <c r="G440">
        <v>0.01</v>
      </c>
      <c r="H440" t="s">
        <v>65</v>
      </c>
      <c r="I440">
        <v>224</v>
      </c>
      <c r="J440">
        <v>2</v>
      </c>
      <c r="K440">
        <v>221.76</v>
      </c>
    </row>
    <row r="441" spans="1:11">
      <c r="A441" t="s">
        <v>504</v>
      </c>
      <c r="B441" s="14">
        <v>43292</v>
      </c>
      <c r="C441" t="s">
        <v>52</v>
      </c>
      <c r="D441" t="s">
        <v>60</v>
      </c>
      <c r="E441">
        <v>2</v>
      </c>
      <c r="F441">
        <v>230</v>
      </c>
      <c r="G441">
        <v>0.08</v>
      </c>
      <c r="H441" t="s">
        <v>68</v>
      </c>
      <c r="I441">
        <v>460</v>
      </c>
      <c r="J441">
        <v>37</v>
      </c>
      <c r="K441">
        <v>423.2</v>
      </c>
    </row>
    <row r="442" spans="1:11">
      <c r="A442" t="s">
        <v>505</v>
      </c>
      <c r="B442" s="14">
        <v>43292</v>
      </c>
      <c r="C442" t="s">
        <v>63</v>
      </c>
      <c r="D442" t="s">
        <v>45</v>
      </c>
      <c r="E442">
        <v>20</v>
      </c>
      <c r="F442">
        <v>16</v>
      </c>
      <c r="G442">
        <v>0.11</v>
      </c>
      <c r="H442" t="s">
        <v>70</v>
      </c>
      <c r="I442">
        <v>320</v>
      </c>
      <c r="J442">
        <v>35</v>
      </c>
      <c r="K442">
        <v>284.8</v>
      </c>
    </row>
    <row r="443" spans="1:11">
      <c r="A443" t="s">
        <v>506</v>
      </c>
      <c r="B443" s="14">
        <v>43292</v>
      </c>
      <c r="C443" t="s">
        <v>63</v>
      </c>
      <c r="D443" t="s">
        <v>57</v>
      </c>
      <c r="E443">
        <v>6</v>
      </c>
      <c r="F443">
        <v>16</v>
      </c>
      <c r="G443">
        <v>0.06</v>
      </c>
      <c r="H443" t="s">
        <v>72</v>
      </c>
      <c r="I443">
        <v>96</v>
      </c>
      <c r="J443">
        <v>6</v>
      </c>
      <c r="K443">
        <v>90.24</v>
      </c>
    </row>
    <row r="444" spans="1:11">
      <c r="A444" t="s">
        <v>507</v>
      </c>
      <c r="B444" s="14">
        <v>43292</v>
      </c>
      <c r="C444" t="s">
        <v>44</v>
      </c>
      <c r="D444" t="s">
        <v>60</v>
      </c>
      <c r="E444">
        <v>17</v>
      </c>
      <c r="F444">
        <v>80</v>
      </c>
      <c r="G444">
        <v>0.05</v>
      </c>
      <c r="H444" t="s">
        <v>74</v>
      </c>
      <c r="I444">
        <v>1360</v>
      </c>
      <c r="J444">
        <v>68</v>
      </c>
      <c r="K444">
        <v>1292</v>
      </c>
    </row>
    <row r="445" spans="1:11">
      <c r="A445" t="s">
        <v>508</v>
      </c>
      <c r="B445" s="14">
        <v>43292</v>
      </c>
      <c r="C445" t="s">
        <v>48</v>
      </c>
      <c r="D445" t="s">
        <v>45</v>
      </c>
      <c r="E445">
        <v>2</v>
      </c>
      <c r="F445">
        <v>40</v>
      </c>
      <c r="G445">
        <v>0.12</v>
      </c>
      <c r="H445" t="s">
        <v>76</v>
      </c>
      <c r="I445">
        <v>80</v>
      </c>
      <c r="J445">
        <v>10</v>
      </c>
      <c r="K445">
        <v>70.4</v>
      </c>
    </row>
    <row r="446" spans="1:11">
      <c r="A446" t="s">
        <v>509</v>
      </c>
      <c r="B446" s="14">
        <v>43292</v>
      </c>
      <c r="C446" t="s">
        <v>63</v>
      </c>
      <c r="D446" t="s">
        <v>45</v>
      </c>
      <c r="E446">
        <v>7</v>
      </c>
      <c r="F446">
        <v>16</v>
      </c>
      <c r="G446">
        <v>0.12</v>
      </c>
      <c r="H446" t="s">
        <v>46</v>
      </c>
      <c r="I446">
        <v>112</v>
      </c>
      <c r="J446">
        <v>13</v>
      </c>
      <c r="K446">
        <v>98.56</v>
      </c>
    </row>
    <row r="447" spans="1:11">
      <c r="A447" t="s">
        <v>510</v>
      </c>
      <c r="B447" s="14">
        <v>43292</v>
      </c>
      <c r="C447" t="s">
        <v>67</v>
      </c>
      <c r="D447" t="s">
        <v>45</v>
      </c>
      <c r="E447">
        <v>7</v>
      </c>
      <c r="F447">
        <v>150</v>
      </c>
      <c r="G447">
        <v>0.02</v>
      </c>
      <c r="H447" t="s">
        <v>50</v>
      </c>
      <c r="I447">
        <v>1050</v>
      </c>
      <c r="J447">
        <v>21</v>
      </c>
      <c r="K447">
        <v>1029</v>
      </c>
    </row>
    <row r="448" spans="1:11">
      <c r="A448" t="s">
        <v>511</v>
      </c>
      <c r="B448" s="14">
        <v>43292</v>
      </c>
      <c r="C448" t="s">
        <v>44</v>
      </c>
      <c r="D448" t="s">
        <v>45</v>
      </c>
      <c r="E448">
        <v>20</v>
      </c>
      <c r="F448">
        <v>80</v>
      </c>
      <c r="G448">
        <v>0.01</v>
      </c>
      <c r="H448" t="s">
        <v>53</v>
      </c>
      <c r="I448">
        <v>1600</v>
      </c>
      <c r="J448">
        <v>16</v>
      </c>
      <c r="K448">
        <v>1584</v>
      </c>
    </row>
    <row r="449" spans="1:11">
      <c r="A449" t="s">
        <v>512</v>
      </c>
      <c r="B449" s="14">
        <v>43292</v>
      </c>
      <c r="C449" t="s">
        <v>44</v>
      </c>
      <c r="D449" t="s">
        <v>60</v>
      </c>
      <c r="E449">
        <v>11</v>
      </c>
      <c r="F449">
        <v>80</v>
      </c>
      <c r="G449">
        <v>0.01</v>
      </c>
      <c r="H449" t="s">
        <v>55</v>
      </c>
      <c r="I449">
        <v>880</v>
      </c>
      <c r="J449">
        <v>9</v>
      </c>
      <c r="K449">
        <v>871.2</v>
      </c>
    </row>
    <row r="450" spans="1:11">
      <c r="A450" t="s">
        <v>513</v>
      </c>
      <c r="B450" s="14">
        <v>43292</v>
      </c>
      <c r="C450" t="s">
        <v>44</v>
      </c>
      <c r="D450" t="s">
        <v>57</v>
      </c>
      <c r="E450">
        <v>10</v>
      </c>
      <c r="F450">
        <v>80</v>
      </c>
      <c r="G450">
        <v>0.08</v>
      </c>
      <c r="H450" t="s">
        <v>58</v>
      </c>
      <c r="I450">
        <v>800</v>
      </c>
      <c r="J450">
        <v>64</v>
      </c>
      <c r="K450">
        <v>736</v>
      </c>
    </row>
    <row r="451" spans="1:11">
      <c r="A451" t="s">
        <v>514</v>
      </c>
      <c r="B451" s="14">
        <v>43293</v>
      </c>
      <c r="C451" t="s">
        <v>44</v>
      </c>
      <c r="D451" t="s">
        <v>49</v>
      </c>
      <c r="E451">
        <v>5</v>
      </c>
      <c r="F451">
        <v>80</v>
      </c>
      <c r="G451">
        <v>0.04</v>
      </c>
      <c r="H451" t="s">
        <v>61</v>
      </c>
      <c r="I451">
        <v>400</v>
      </c>
      <c r="J451">
        <v>16</v>
      </c>
      <c r="K451">
        <v>384</v>
      </c>
    </row>
    <row r="452" spans="1:11">
      <c r="A452" t="s">
        <v>515</v>
      </c>
      <c r="B452" s="14">
        <v>43293</v>
      </c>
      <c r="C452" t="s">
        <v>44</v>
      </c>
      <c r="D452" t="s">
        <v>60</v>
      </c>
      <c r="E452">
        <v>4</v>
      </c>
      <c r="F452">
        <v>80</v>
      </c>
      <c r="G452">
        <v>0.11</v>
      </c>
      <c r="H452" t="s">
        <v>65</v>
      </c>
      <c r="I452">
        <v>320</v>
      </c>
      <c r="J452">
        <v>35</v>
      </c>
      <c r="K452">
        <v>284.8</v>
      </c>
    </row>
    <row r="453" spans="1:11">
      <c r="A453" t="s">
        <v>516</v>
      </c>
      <c r="B453" s="14">
        <v>43293</v>
      </c>
      <c r="C453" t="s">
        <v>63</v>
      </c>
      <c r="D453" t="s">
        <v>57</v>
      </c>
      <c r="E453">
        <v>3</v>
      </c>
      <c r="F453">
        <v>16</v>
      </c>
      <c r="G453">
        <v>0.05</v>
      </c>
      <c r="H453" t="s">
        <v>68</v>
      </c>
      <c r="I453">
        <v>48</v>
      </c>
      <c r="J453">
        <v>2</v>
      </c>
      <c r="K453">
        <v>45.6</v>
      </c>
    </row>
    <row r="454" spans="1:11">
      <c r="A454" t="s">
        <v>517</v>
      </c>
      <c r="B454" s="14">
        <v>43293</v>
      </c>
      <c r="C454" t="s">
        <v>44</v>
      </c>
      <c r="D454" t="s">
        <v>45</v>
      </c>
      <c r="E454">
        <v>9</v>
      </c>
      <c r="F454">
        <v>80</v>
      </c>
      <c r="G454">
        <v>0.04</v>
      </c>
      <c r="H454" t="s">
        <v>70</v>
      </c>
      <c r="I454">
        <v>720</v>
      </c>
      <c r="J454">
        <v>29</v>
      </c>
      <c r="K454">
        <v>691.2</v>
      </c>
    </row>
    <row r="455" spans="1:11">
      <c r="A455" t="s">
        <v>518</v>
      </c>
      <c r="B455" s="14">
        <v>43293</v>
      </c>
      <c r="C455" t="s">
        <v>44</v>
      </c>
      <c r="D455" t="s">
        <v>64</v>
      </c>
      <c r="E455">
        <v>16</v>
      </c>
      <c r="F455">
        <v>80</v>
      </c>
      <c r="G455">
        <v>0.09</v>
      </c>
      <c r="H455" t="s">
        <v>72</v>
      </c>
      <c r="I455">
        <v>1280</v>
      </c>
      <c r="J455">
        <v>115</v>
      </c>
      <c r="K455">
        <v>1164.8</v>
      </c>
    </row>
    <row r="456" spans="1:11">
      <c r="A456" t="s">
        <v>519</v>
      </c>
      <c r="B456" s="14">
        <v>43294</v>
      </c>
      <c r="C456" t="s">
        <v>63</v>
      </c>
      <c r="D456" t="s">
        <v>49</v>
      </c>
      <c r="E456">
        <v>7</v>
      </c>
      <c r="F456">
        <v>16</v>
      </c>
      <c r="G456">
        <v>0.08</v>
      </c>
      <c r="H456" t="s">
        <v>74</v>
      </c>
      <c r="I456">
        <v>112</v>
      </c>
      <c r="J456">
        <v>9</v>
      </c>
      <c r="K456">
        <v>103.04</v>
      </c>
    </row>
    <row r="457" spans="1:11">
      <c r="A457" t="s">
        <v>520</v>
      </c>
      <c r="B457" s="14">
        <v>43294</v>
      </c>
      <c r="C457" t="s">
        <v>67</v>
      </c>
      <c r="D457" t="s">
        <v>49</v>
      </c>
      <c r="E457">
        <v>16</v>
      </c>
      <c r="F457">
        <v>150</v>
      </c>
      <c r="G457">
        <v>0.05</v>
      </c>
      <c r="H457" t="s">
        <v>76</v>
      </c>
      <c r="I457">
        <v>2400</v>
      </c>
      <c r="J457">
        <v>120</v>
      </c>
      <c r="K457">
        <v>2280</v>
      </c>
    </row>
    <row r="458" spans="1:11">
      <c r="A458" t="s">
        <v>521</v>
      </c>
      <c r="B458" s="14">
        <v>43294</v>
      </c>
      <c r="C458" t="s">
        <v>63</v>
      </c>
      <c r="D458" t="s">
        <v>60</v>
      </c>
      <c r="E458">
        <v>10</v>
      </c>
      <c r="F458">
        <v>16</v>
      </c>
      <c r="G458">
        <v>0.04</v>
      </c>
      <c r="H458" t="s">
        <v>46</v>
      </c>
      <c r="I458">
        <v>160</v>
      </c>
      <c r="J458">
        <v>6</v>
      </c>
      <c r="K458">
        <v>153.6</v>
      </c>
    </row>
    <row r="459" spans="1:11">
      <c r="A459" t="s">
        <v>522</v>
      </c>
      <c r="B459" s="14">
        <v>43294</v>
      </c>
      <c r="C459" t="s">
        <v>48</v>
      </c>
      <c r="D459" t="s">
        <v>49</v>
      </c>
      <c r="E459">
        <v>4</v>
      </c>
      <c r="F459">
        <v>40</v>
      </c>
      <c r="G459">
        <v>0.03</v>
      </c>
      <c r="H459" t="s">
        <v>50</v>
      </c>
      <c r="I459">
        <v>160</v>
      </c>
      <c r="J459">
        <v>5</v>
      </c>
      <c r="K459">
        <v>155.2</v>
      </c>
    </row>
    <row r="460" spans="1:11">
      <c r="A460" t="s">
        <v>523</v>
      </c>
      <c r="B460" s="14">
        <v>43294</v>
      </c>
      <c r="C460" t="s">
        <v>48</v>
      </c>
      <c r="D460" t="s">
        <v>49</v>
      </c>
      <c r="E460">
        <v>15</v>
      </c>
      <c r="F460">
        <v>40</v>
      </c>
      <c r="G460">
        <v>0.02</v>
      </c>
      <c r="H460" t="s">
        <v>53</v>
      </c>
      <c r="I460">
        <v>600</v>
      </c>
      <c r="J460">
        <v>12</v>
      </c>
      <c r="K460">
        <v>588</v>
      </c>
    </row>
    <row r="461" spans="1:11">
      <c r="A461" t="s">
        <v>524</v>
      </c>
      <c r="B461" s="14">
        <v>43294</v>
      </c>
      <c r="C461" t="s">
        <v>44</v>
      </c>
      <c r="D461" t="s">
        <v>57</v>
      </c>
      <c r="E461">
        <v>6</v>
      </c>
      <c r="F461">
        <v>80</v>
      </c>
      <c r="G461">
        <v>0.09</v>
      </c>
      <c r="H461" t="s">
        <v>55</v>
      </c>
      <c r="I461">
        <v>480</v>
      </c>
      <c r="J461">
        <v>43</v>
      </c>
      <c r="K461">
        <v>436.8</v>
      </c>
    </row>
    <row r="462" spans="1:11">
      <c r="A462" t="s">
        <v>525</v>
      </c>
      <c r="B462" s="14">
        <v>43294</v>
      </c>
      <c r="C462" t="s">
        <v>67</v>
      </c>
      <c r="D462" t="s">
        <v>45</v>
      </c>
      <c r="E462">
        <v>20</v>
      </c>
      <c r="F462">
        <v>150</v>
      </c>
      <c r="G462">
        <v>0.01</v>
      </c>
      <c r="H462" t="s">
        <v>58</v>
      </c>
      <c r="I462">
        <v>3000</v>
      </c>
      <c r="J462">
        <v>30</v>
      </c>
      <c r="K462">
        <v>2970</v>
      </c>
    </row>
    <row r="463" spans="1:11">
      <c r="A463" t="s">
        <v>526</v>
      </c>
      <c r="B463" s="14">
        <v>43294</v>
      </c>
      <c r="C463" t="s">
        <v>63</v>
      </c>
      <c r="D463" t="s">
        <v>45</v>
      </c>
      <c r="E463">
        <v>7</v>
      </c>
      <c r="F463">
        <v>16</v>
      </c>
      <c r="G463">
        <v>0.08</v>
      </c>
      <c r="H463" t="s">
        <v>61</v>
      </c>
      <c r="I463">
        <v>112</v>
      </c>
      <c r="J463">
        <v>9</v>
      </c>
      <c r="K463">
        <v>103.04</v>
      </c>
    </row>
    <row r="464" spans="1:11">
      <c r="A464" t="s">
        <v>527</v>
      </c>
      <c r="B464" s="14">
        <v>43294</v>
      </c>
      <c r="C464" t="s">
        <v>44</v>
      </c>
      <c r="D464" t="s">
        <v>49</v>
      </c>
      <c r="E464">
        <v>2</v>
      </c>
      <c r="F464">
        <v>80</v>
      </c>
      <c r="G464">
        <v>0.07</v>
      </c>
      <c r="H464" t="s">
        <v>65</v>
      </c>
      <c r="I464">
        <v>160</v>
      </c>
      <c r="J464">
        <v>11</v>
      </c>
      <c r="K464">
        <v>148.8</v>
      </c>
    </row>
    <row r="465" spans="1:11">
      <c r="A465" t="s">
        <v>528</v>
      </c>
      <c r="B465" s="14">
        <v>43294</v>
      </c>
      <c r="C465" t="s">
        <v>48</v>
      </c>
      <c r="D465" t="s">
        <v>49</v>
      </c>
      <c r="E465">
        <v>23</v>
      </c>
      <c r="F465">
        <v>40</v>
      </c>
      <c r="G465">
        <v>0.06</v>
      </c>
      <c r="H465" t="s">
        <v>68</v>
      </c>
      <c r="I465">
        <v>920</v>
      </c>
      <c r="J465">
        <v>55</v>
      </c>
      <c r="K465">
        <v>864.8</v>
      </c>
    </row>
    <row r="466" spans="1:11">
      <c r="A466" t="s">
        <v>529</v>
      </c>
      <c r="B466" s="14">
        <v>43294</v>
      </c>
      <c r="C466" t="s">
        <v>63</v>
      </c>
      <c r="D466" t="s">
        <v>45</v>
      </c>
      <c r="E466">
        <v>12</v>
      </c>
      <c r="F466">
        <v>16</v>
      </c>
      <c r="G466">
        <v>0.11</v>
      </c>
      <c r="H466" t="s">
        <v>70</v>
      </c>
      <c r="I466">
        <v>192</v>
      </c>
      <c r="J466">
        <v>21</v>
      </c>
      <c r="K466">
        <v>170.88</v>
      </c>
    </row>
    <row r="467" spans="1:11">
      <c r="A467" t="s">
        <v>530</v>
      </c>
      <c r="B467" s="14">
        <v>43294</v>
      </c>
      <c r="C467" t="s">
        <v>52</v>
      </c>
      <c r="D467" t="s">
        <v>60</v>
      </c>
      <c r="E467">
        <v>2</v>
      </c>
      <c r="F467">
        <v>230</v>
      </c>
      <c r="G467">
        <v>0.09</v>
      </c>
      <c r="H467" t="s">
        <v>72</v>
      </c>
      <c r="I467">
        <v>460</v>
      </c>
      <c r="J467">
        <v>41</v>
      </c>
      <c r="K467">
        <v>418.6</v>
      </c>
    </row>
    <row r="468" spans="1:11">
      <c r="A468" t="s">
        <v>531</v>
      </c>
      <c r="B468" s="14">
        <v>43294</v>
      </c>
      <c r="C468" t="s">
        <v>67</v>
      </c>
      <c r="D468" t="s">
        <v>45</v>
      </c>
      <c r="E468">
        <v>4</v>
      </c>
      <c r="F468">
        <v>150</v>
      </c>
      <c r="G468">
        <v>0.06</v>
      </c>
      <c r="H468" t="s">
        <v>74</v>
      </c>
      <c r="I468">
        <v>600</v>
      </c>
      <c r="J468">
        <v>36</v>
      </c>
      <c r="K468">
        <v>564</v>
      </c>
    </row>
    <row r="469" spans="1:11">
      <c r="A469" t="s">
        <v>532</v>
      </c>
      <c r="B469" s="14">
        <v>43294</v>
      </c>
      <c r="C469" t="s">
        <v>48</v>
      </c>
      <c r="D469" t="s">
        <v>45</v>
      </c>
      <c r="E469">
        <v>23</v>
      </c>
      <c r="F469">
        <v>40</v>
      </c>
      <c r="G469">
        <v>0.07</v>
      </c>
      <c r="H469" t="s">
        <v>76</v>
      </c>
      <c r="I469">
        <v>920</v>
      </c>
      <c r="J469">
        <v>64</v>
      </c>
      <c r="K469">
        <v>855.6</v>
      </c>
    </row>
    <row r="470" spans="1:11">
      <c r="A470" t="s">
        <v>533</v>
      </c>
      <c r="B470" s="14">
        <v>43294</v>
      </c>
      <c r="C470" t="s">
        <v>63</v>
      </c>
      <c r="D470" t="s">
        <v>64</v>
      </c>
      <c r="E470">
        <v>2</v>
      </c>
      <c r="F470">
        <v>16</v>
      </c>
      <c r="G470">
        <v>0.04</v>
      </c>
      <c r="H470" t="s">
        <v>46</v>
      </c>
      <c r="I470">
        <v>32</v>
      </c>
      <c r="J470">
        <v>1</v>
      </c>
      <c r="K470">
        <v>30.72</v>
      </c>
    </row>
    <row r="471" spans="1:11">
      <c r="A471" t="s">
        <v>534</v>
      </c>
      <c r="B471" s="14">
        <v>43294</v>
      </c>
      <c r="C471" t="s">
        <v>67</v>
      </c>
      <c r="D471" t="s">
        <v>60</v>
      </c>
      <c r="E471">
        <v>7</v>
      </c>
      <c r="F471">
        <v>150</v>
      </c>
      <c r="G471">
        <v>0.05</v>
      </c>
      <c r="H471" t="s">
        <v>50</v>
      </c>
      <c r="I471">
        <v>1050</v>
      </c>
      <c r="J471">
        <v>52</v>
      </c>
      <c r="K471">
        <v>997.5</v>
      </c>
    </row>
    <row r="472" spans="1:11">
      <c r="A472" t="s">
        <v>535</v>
      </c>
      <c r="B472" s="14">
        <v>43295</v>
      </c>
      <c r="C472" t="s">
        <v>48</v>
      </c>
      <c r="D472" t="s">
        <v>45</v>
      </c>
      <c r="E472">
        <v>15</v>
      </c>
      <c r="F472">
        <v>40</v>
      </c>
      <c r="G472">
        <v>0.06</v>
      </c>
      <c r="H472" t="s">
        <v>53</v>
      </c>
      <c r="I472">
        <v>600</v>
      </c>
      <c r="J472">
        <v>36</v>
      </c>
      <c r="K472">
        <v>564</v>
      </c>
    </row>
    <row r="473" spans="1:11">
      <c r="A473" t="s">
        <v>536</v>
      </c>
      <c r="B473" s="14">
        <v>43295</v>
      </c>
      <c r="C473" t="s">
        <v>44</v>
      </c>
      <c r="D473" t="s">
        <v>60</v>
      </c>
      <c r="E473">
        <v>16</v>
      </c>
      <c r="F473">
        <v>80</v>
      </c>
      <c r="G473">
        <v>0.05</v>
      </c>
      <c r="H473" t="s">
        <v>55</v>
      </c>
      <c r="I473">
        <v>1280</v>
      </c>
      <c r="J473">
        <v>64</v>
      </c>
      <c r="K473">
        <v>1216</v>
      </c>
    </row>
    <row r="474" spans="1:11">
      <c r="A474" t="s">
        <v>537</v>
      </c>
      <c r="B474" s="14">
        <v>43295</v>
      </c>
      <c r="C474" t="s">
        <v>48</v>
      </c>
      <c r="D474" t="s">
        <v>64</v>
      </c>
      <c r="E474">
        <v>16</v>
      </c>
      <c r="F474">
        <v>40</v>
      </c>
      <c r="G474">
        <v>0.11</v>
      </c>
      <c r="H474" t="s">
        <v>58</v>
      </c>
      <c r="I474">
        <v>640</v>
      </c>
      <c r="J474">
        <v>70</v>
      </c>
      <c r="K474">
        <v>569.6</v>
      </c>
    </row>
    <row r="475" spans="1:11">
      <c r="A475" t="s">
        <v>538</v>
      </c>
      <c r="B475" s="14">
        <v>43295</v>
      </c>
      <c r="C475" t="s">
        <v>63</v>
      </c>
      <c r="D475" t="s">
        <v>64</v>
      </c>
      <c r="E475">
        <v>23</v>
      </c>
      <c r="F475">
        <v>16</v>
      </c>
      <c r="G475">
        <v>0.01</v>
      </c>
      <c r="H475" t="s">
        <v>61</v>
      </c>
      <c r="I475">
        <v>368</v>
      </c>
      <c r="J475">
        <v>4</v>
      </c>
      <c r="K475">
        <v>364.32</v>
      </c>
    </row>
    <row r="476" spans="1:11">
      <c r="A476" t="s">
        <v>539</v>
      </c>
      <c r="B476" s="14">
        <v>43295</v>
      </c>
      <c r="C476" t="s">
        <v>52</v>
      </c>
      <c r="D476" t="s">
        <v>49</v>
      </c>
      <c r="E476">
        <v>12</v>
      </c>
      <c r="F476">
        <v>230</v>
      </c>
      <c r="G476">
        <v>0.03</v>
      </c>
      <c r="H476" t="s">
        <v>65</v>
      </c>
      <c r="I476">
        <v>2760</v>
      </c>
      <c r="J476">
        <v>83</v>
      </c>
      <c r="K476">
        <v>2677.2</v>
      </c>
    </row>
    <row r="477" spans="1:11">
      <c r="A477" t="s">
        <v>540</v>
      </c>
      <c r="B477" s="14">
        <v>43295</v>
      </c>
      <c r="C477" t="s">
        <v>63</v>
      </c>
      <c r="D477" t="s">
        <v>45</v>
      </c>
      <c r="E477">
        <v>4</v>
      </c>
      <c r="F477">
        <v>16</v>
      </c>
      <c r="G477">
        <v>0.12</v>
      </c>
      <c r="H477" t="s">
        <v>68</v>
      </c>
      <c r="I477">
        <v>64</v>
      </c>
      <c r="J477">
        <v>8</v>
      </c>
      <c r="K477">
        <v>56.32</v>
      </c>
    </row>
    <row r="478" spans="1:11">
      <c r="A478" t="s">
        <v>541</v>
      </c>
      <c r="B478" s="14">
        <v>43295</v>
      </c>
      <c r="C478" t="s">
        <v>67</v>
      </c>
      <c r="D478" t="s">
        <v>60</v>
      </c>
      <c r="E478">
        <v>3</v>
      </c>
      <c r="F478">
        <v>150</v>
      </c>
      <c r="G478">
        <v>0.01</v>
      </c>
      <c r="H478" t="s">
        <v>70</v>
      </c>
      <c r="I478">
        <v>450</v>
      </c>
      <c r="J478">
        <v>4</v>
      </c>
      <c r="K478">
        <v>445.5</v>
      </c>
    </row>
    <row r="479" spans="1:11">
      <c r="A479" t="s">
        <v>542</v>
      </c>
      <c r="B479" s="14">
        <v>43295</v>
      </c>
      <c r="C479" t="s">
        <v>67</v>
      </c>
      <c r="D479" t="s">
        <v>49</v>
      </c>
      <c r="E479">
        <v>10</v>
      </c>
      <c r="F479">
        <v>150</v>
      </c>
      <c r="G479">
        <v>0.01</v>
      </c>
      <c r="H479" t="s">
        <v>72</v>
      </c>
      <c r="I479">
        <v>1500</v>
      </c>
      <c r="J479">
        <v>15</v>
      </c>
      <c r="K479">
        <v>1485</v>
      </c>
    </row>
    <row r="480" spans="1:11">
      <c r="A480" t="s">
        <v>543</v>
      </c>
      <c r="B480" s="14">
        <v>43295</v>
      </c>
      <c r="C480" t="s">
        <v>44</v>
      </c>
      <c r="D480" t="s">
        <v>49</v>
      </c>
      <c r="E480">
        <v>13</v>
      </c>
      <c r="F480">
        <v>80</v>
      </c>
      <c r="G480">
        <v>0.06</v>
      </c>
      <c r="H480" t="s">
        <v>74</v>
      </c>
      <c r="I480">
        <v>1040</v>
      </c>
      <c r="J480">
        <v>62</v>
      </c>
      <c r="K480">
        <v>977.6</v>
      </c>
    </row>
    <row r="481" spans="1:11">
      <c r="A481" t="s">
        <v>544</v>
      </c>
      <c r="B481" s="14">
        <v>43295</v>
      </c>
      <c r="C481" t="s">
        <v>52</v>
      </c>
      <c r="D481" t="s">
        <v>57</v>
      </c>
      <c r="E481">
        <v>15</v>
      </c>
      <c r="F481">
        <v>230</v>
      </c>
      <c r="G481">
        <v>0.04</v>
      </c>
      <c r="H481" t="s">
        <v>76</v>
      </c>
      <c r="I481">
        <v>3450</v>
      </c>
      <c r="J481">
        <v>138</v>
      </c>
      <c r="K481">
        <v>3312</v>
      </c>
    </row>
    <row r="482" spans="1:11">
      <c r="A482" t="s">
        <v>545</v>
      </c>
      <c r="B482" s="14">
        <v>43295</v>
      </c>
      <c r="C482" t="s">
        <v>67</v>
      </c>
      <c r="D482" t="s">
        <v>45</v>
      </c>
      <c r="E482">
        <v>23</v>
      </c>
      <c r="F482">
        <v>150</v>
      </c>
      <c r="G482">
        <v>0.1</v>
      </c>
      <c r="H482" t="s">
        <v>46</v>
      </c>
      <c r="I482">
        <v>3450</v>
      </c>
      <c r="J482">
        <v>345</v>
      </c>
      <c r="K482">
        <v>3105</v>
      </c>
    </row>
    <row r="483" spans="1:11">
      <c r="A483" t="s">
        <v>546</v>
      </c>
      <c r="B483" s="14">
        <v>43295</v>
      </c>
      <c r="C483" t="s">
        <v>67</v>
      </c>
      <c r="D483" t="s">
        <v>49</v>
      </c>
      <c r="E483">
        <v>15</v>
      </c>
      <c r="F483">
        <v>150</v>
      </c>
      <c r="G483">
        <v>0.12</v>
      </c>
      <c r="H483" t="s">
        <v>50</v>
      </c>
      <c r="I483">
        <v>2250</v>
      </c>
      <c r="J483">
        <v>270</v>
      </c>
      <c r="K483">
        <v>1980</v>
      </c>
    </row>
    <row r="484" spans="1:11">
      <c r="A484" t="s">
        <v>547</v>
      </c>
      <c r="B484" s="14">
        <v>43295</v>
      </c>
      <c r="C484" t="s">
        <v>67</v>
      </c>
      <c r="D484" t="s">
        <v>57</v>
      </c>
      <c r="E484">
        <v>20</v>
      </c>
      <c r="F484">
        <v>150</v>
      </c>
      <c r="G484">
        <v>0.12</v>
      </c>
      <c r="H484" t="s">
        <v>53</v>
      </c>
      <c r="I484">
        <v>3000</v>
      </c>
      <c r="J484">
        <v>360</v>
      </c>
      <c r="K484">
        <v>2640</v>
      </c>
    </row>
    <row r="485" spans="1:11">
      <c r="A485" t="s">
        <v>548</v>
      </c>
      <c r="B485" s="14">
        <v>43295</v>
      </c>
      <c r="C485" t="s">
        <v>48</v>
      </c>
      <c r="D485" t="s">
        <v>60</v>
      </c>
      <c r="E485">
        <v>13</v>
      </c>
      <c r="F485">
        <v>40</v>
      </c>
      <c r="G485">
        <v>0.09</v>
      </c>
      <c r="H485" t="s">
        <v>55</v>
      </c>
      <c r="I485">
        <v>520</v>
      </c>
      <c r="J485">
        <v>47</v>
      </c>
      <c r="K485">
        <v>473.2</v>
      </c>
    </row>
    <row r="486" spans="1:11">
      <c r="A486" t="s">
        <v>549</v>
      </c>
      <c r="B486" s="14">
        <v>43296</v>
      </c>
      <c r="C486" t="s">
        <v>63</v>
      </c>
      <c r="D486" t="s">
        <v>57</v>
      </c>
      <c r="E486">
        <v>11</v>
      </c>
      <c r="F486">
        <v>16</v>
      </c>
      <c r="G486">
        <v>0.04</v>
      </c>
      <c r="H486" t="s">
        <v>58</v>
      </c>
      <c r="I486">
        <v>176</v>
      </c>
      <c r="J486">
        <v>7</v>
      </c>
      <c r="K486">
        <v>168.96</v>
      </c>
    </row>
    <row r="487" spans="1:11">
      <c r="A487" t="s">
        <v>550</v>
      </c>
      <c r="B487" s="14">
        <v>43296</v>
      </c>
      <c r="C487" t="s">
        <v>67</v>
      </c>
      <c r="D487" t="s">
        <v>57</v>
      </c>
      <c r="E487">
        <v>20</v>
      </c>
      <c r="F487">
        <v>150</v>
      </c>
      <c r="G487">
        <v>0.04</v>
      </c>
      <c r="H487" t="s">
        <v>61</v>
      </c>
      <c r="I487">
        <v>3000</v>
      </c>
      <c r="J487">
        <v>120</v>
      </c>
      <c r="K487">
        <v>2880</v>
      </c>
    </row>
    <row r="488" spans="1:11">
      <c r="A488" t="s">
        <v>551</v>
      </c>
      <c r="B488" s="14">
        <v>43296</v>
      </c>
      <c r="C488" t="s">
        <v>48</v>
      </c>
      <c r="D488" t="s">
        <v>45</v>
      </c>
      <c r="E488">
        <v>18</v>
      </c>
      <c r="F488">
        <v>40</v>
      </c>
      <c r="G488">
        <v>0.11</v>
      </c>
      <c r="H488" t="s">
        <v>65</v>
      </c>
      <c r="I488">
        <v>720</v>
      </c>
      <c r="J488">
        <v>79</v>
      </c>
      <c r="K488">
        <v>640.8</v>
      </c>
    </row>
    <row r="489" spans="1:11">
      <c r="A489" t="s">
        <v>552</v>
      </c>
      <c r="B489" s="14">
        <v>43296</v>
      </c>
      <c r="C489" t="s">
        <v>48</v>
      </c>
      <c r="D489" t="s">
        <v>57</v>
      </c>
      <c r="E489">
        <v>2</v>
      </c>
      <c r="F489">
        <v>40</v>
      </c>
      <c r="G489">
        <v>0.03</v>
      </c>
      <c r="H489" t="s">
        <v>68</v>
      </c>
      <c r="I489">
        <v>80</v>
      </c>
      <c r="J489">
        <v>2</v>
      </c>
      <c r="K489">
        <v>77.6</v>
      </c>
    </row>
    <row r="490" spans="1:11">
      <c r="A490" t="s">
        <v>553</v>
      </c>
      <c r="B490" s="14">
        <v>43296</v>
      </c>
      <c r="C490" t="s">
        <v>63</v>
      </c>
      <c r="D490" t="s">
        <v>60</v>
      </c>
      <c r="E490">
        <v>15</v>
      </c>
      <c r="F490">
        <v>16</v>
      </c>
      <c r="G490">
        <v>0.12</v>
      </c>
      <c r="H490" t="s">
        <v>70</v>
      </c>
      <c r="I490">
        <v>240</v>
      </c>
      <c r="J490">
        <v>29</v>
      </c>
      <c r="K490">
        <v>211.2</v>
      </c>
    </row>
    <row r="491" spans="1:11">
      <c r="A491" t="s">
        <v>554</v>
      </c>
      <c r="B491" s="14">
        <v>43296</v>
      </c>
      <c r="C491" t="s">
        <v>63</v>
      </c>
      <c r="D491" t="s">
        <v>57</v>
      </c>
      <c r="E491">
        <v>9</v>
      </c>
      <c r="F491">
        <v>16</v>
      </c>
      <c r="G491">
        <v>0.05</v>
      </c>
      <c r="H491" t="s">
        <v>72</v>
      </c>
      <c r="I491">
        <v>144</v>
      </c>
      <c r="J491">
        <v>7</v>
      </c>
      <c r="K491">
        <v>136.8</v>
      </c>
    </row>
    <row r="492" spans="1:11">
      <c r="A492" t="s">
        <v>555</v>
      </c>
      <c r="B492" s="14">
        <v>43296</v>
      </c>
      <c r="C492" t="s">
        <v>48</v>
      </c>
      <c r="D492" t="s">
        <v>64</v>
      </c>
      <c r="E492">
        <v>7</v>
      </c>
      <c r="F492">
        <v>40</v>
      </c>
      <c r="G492">
        <v>0.05</v>
      </c>
      <c r="H492" t="s">
        <v>46</v>
      </c>
      <c r="I492">
        <v>280</v>
      </c>
      <c r="J492">
        <v>14</v>
      </c>
      <c r="K492">
        <v>266</v>
      </c>
    </row>
    <row r="493" spans="1:11">
      <c r="A493" t="s">
        <v>556</v>
      </c>
      <c r="B493" s="14">
        <v>43296</v>
      </c>
      <c r="C493" t="s">
        <v>67</v>
      </c>
      <c r="D493" t="s">
        <v>64</v>
      </c>
      <c r="E493">
        <v>4</v>
      </c>
      <c r="F493">
        <v>150</v>
      </c>
      <c r="G493">
        <v>0.05</v>
      </c>
      <c r="H493" t="s">
        <v>50</v>
      </c>
      <c r="I493">
        <v>600</v>
      </c>
      <c r="J493">
        <v>30</v>
      </c>
      <c r="K493">
        <v>570</v>
      </c>
    </row>
    <row r="494" spans="1:11">
      <c r="A494" t="s">
        <v>557</v>
      </c>
      <c r="B494" s="14">
        <v>43296</v>
      </c>
      <c r="C494" t="s">
        <v>52</v>
      </c>
      <c r="D494" t="s">
        <v>45</v>
      </c>
      <c r="E494">
        <v>15</v>
      </c>
      <c r="F494">
        <v>230</v>
      </c>
      <c r="G494">
        <v>0.05</v>
      </c>
      <c r="H494" t="s">
        <v>53</v>
      </c>
      <c r="I494">
        <v>3450</v>
      </c>
      <c r="J494">
        <v>172</v>
      </c>
      <c r="K494">
        <v>3277.5</v>
      </c>
    </row>
    <row r="495" spans="1:11">
      <c r="A495" t="s">
        <v>558</v>
      </c>
      <c r="B495" s="14">
        <v>43297</v>
      </c>
      <c r="C495" t="s">
        <v>48</v>
      </c>
      <c r="D495" t="s">
        <v>49</v>
      </c>
      <c r="E495">
        <v>12</v>
      </c>
      <c r="F495">
        <v>40</v>
      </c>
      <c r="G495">
        <v>0.1</v>
      </c>
      <c r="H495" t="s">
        <v>55</v>
      </c>
      <c r="I495">
        <v>480</v>
      </c>
      <c r="J495">
        <v>48</v>
      </c>
      <c r="K495">
        <v>432</v>
      </c>
    </row>
    <row r="496" spans="1:11">
      <c r="A496" t="s">
        <v>559</v>
      </c>
      <c r="B496" s="14">
        <v>43297</v>
      </c>
      <c r="C496" t="s">
        <v>52</v>
      </c>
      <c r="D496" t="s">
        <v>60</v>
      </c>
      <c r="E496">
        <v>23</v>
      </c>
      <c r="F496">
        <v>230</v>
      </c>
      <c r="G496">
        <v>0.06</v>
      </c>
      <c r="H496" t="s">
        <v>58</v>
      </c>
      <c r="I496">
        <v>5290</v>
      </c>
      <c r="J496">
        <v>317</v>
      </c>
      <c r="K496">
        <v>4972.6</v>
      </c>
    </row>
    <row r="497" spans="1:11">
      <c r="A497" t="s">
        <v>560</v>
      </c>
      <c r="B497" s="14">
        <v>43297</v>
      </c>
      <c r="C497" t="s">
        <v>63</v>
      </c>
      <c r="D497" t="s">
        <v>45</v>
      </c>
      <c r="E497">
        <v>11</v>
      </c>
      <c r="F497">
        <v>16</v>
      </c>
      <c r="G497">
        <v>0.09</v>
      </c>
      <c r="H497" t="s">
        <v>61</v>
      </c>
      <c r="I497">
        <v>176</v>
      </c>
      <c r="J497">
        <v>16</v>
      </c>
      <c r="K497">
        <v>160.16</v>
      </c>
    </row>
    <row r="498" spans="1:11">
      <c r="A498" t="s">
        <v>561</v>
      </c>
      <c r="B498" s="14">
        <v>43297</v>
      </c>
      <c r="C498" t="s">
        <v>67</v>
      </c>
      <c r="D498" t="s">
        <v>45</v>
      </c>
      <c r="E498">
        <v>9</v>
      </c>
      <c r="F498">
        <v>150</v>
      </c>
      <c r="G498">
        <v>0.1</v>
      </c>
      <c r="H498" t="s">
        <v>65</v>
      </c>
      <c r="I498">
        <v>1350</v>
      </c>
      <c r="J498">
        <v>135</v>
      </c>
      <c r="K498">
        <v>1215</v>
      </c>
    </row>
    <row r="499" spans="1:11">
      <c r="A499" t="s">
        <v>562</v>
      </c>
      <c r="B499" s="14">
        <v>43297</v>
      </c>
      <c r="C499" t="s">
        <v>44</v>
      </c>
      <c r="D499" t="s">
        <v>45</v>
      </c>
      <c r="E499">
        <v>18</v>
      </c>
      <c r="F499">
        <v>80</v>
      </c>
      <c r="G499">
        <v>0.02</v>
      </c>
      <c r="H499" t="s">
        <v>68</v>
      </c>
      <c r="I499">
        <v>1440</v>
      </c>
      <c r="J499">
        <v>29</v>
      </c>
      <c r="K499">
        <v>1411.2</v>
      </c>
    </row>
    <row r="500" spans="1:11">
      <c r="A500" t="s">
        <v>563</v>
      </c>
      <c r="B500" s="14">
        <v>43297</v>
      </c>
      <c r="C500" t="s">
        <v>48</v>
      </c>
      <c r="D500" t="s">
        <v>64</v>
      </c>
      <c r="E500">
        <v>23</v>
      </c>
      <c r="F500">
        <v>40</v>
      </c>
      <c r="G500">
        <v>0.04</v>
      </c>
      <c r="H500" t="s">
        <v>70</v>
      </c>
      <c r="I500">
        <v>920</v>
      </c>
      <c r="J500">
        <v>37</v>
      </c>
      <c r="K500">
        <v>883.2</v>
      </c>
    </row>
    <row r="501" spans="1:11">
      <c r="A501" t="s">
        <v>564</v>
      </c>
      <c r="B501" s="14">
        <v>43297</v>
      </c>
      <c r="C501" t="s">
        <v>63</v>
      </c>
      <c r="D501" t="s">
        <v>64</v>
      </c>
      <c r="E501">
        <v>17</v>
      </c>
      <c r="F501">
        <v>16</v>
      </c>
      <c r="G501">
        <v>0.1</v>
      </c>
      <c r="H501" t="s">
        <v>72</v>
      </c>
      <c r="I501">
        <v>272</v>
      </c>
      <c r="J501">
        <v>27</v>
      </c>
      <c r="K501">
        <v>244.8</v>
      </c>
    </row>
    <row r="502" spans="1:11">
      <c r="A502" t="s">
        <v>565</v>
      </c>
      <c r="B502" s="14">
        <v>43297</v>
      </c>
      <c r="C502" t="s">
        <v>67</v>
      </c>
      <c r="D502" t="s">
        <v>64</v>
      </c>
      <c r="E502">
        <v>17</v>
      </c>
      <c r="F502">
        <v>150</v>
      </c>
      <c r="G502">
        <v>0.02</v>
      </c>
      <c r="H502" t="s">
        <v>74</v>
      </c>
      <c r="I502">
        <v>2550</v>
      </c>
      <c r="J502">
        <v>51</v>
      </c>
      <c r="K502">
        <v>2499</v>
      </c>
    </row>
    <row r="503" spans="1:11">
      <c r="A503" t="s">
        <v>566</v>
      </c>
      <c r="B503" s="14">
        <v>43297</v>
      </c>
      <c r="C503" t="s">
        <v>44</v>
      </c>
      <c r="D503" t="s">
        <v>60</v>
      </c>
      <c r="E503">
        <v>21</v>
      </c>
      <c r="F503">
        <v>80</v>
      </c>
      <c r="G503">
        <v>0.02</v>
      </c>
      <c r="H503" t="s">
        <v>76</v>
      </c>
      <c r="I503">
        <v>1680</v>
      </c>
      <c r="J503">
        <v>34</v>
      </c>
      <c r="K503">
        <v>1646.4</v>
      </c>
    </row>
    <row r="504" spans="1:11">
      <c r="A504" t="s">
        <v>567</v>
      </c>
      <c r="B504" s="14">
        <v>43297</v>
      </c>
      <c r="C504" t="s">
        <v>48</v>
      </c>
      <c r="D504" t="s">
        <v>60</v>
      </c>
      <c r="E504">
        <v>11</v>
      </c>
      <c r="F504">
        <v>40</v>
      </c>
      <c r="G504">
        <v>0.06</v>
      </c>
      <c r="H504" t="s">
        <v>46</v>
      </c>
      <c r="I504">
        <v>440</v>
      </c>
      <c r="J504">
        <v>26</v>
      </c>
      <c r="K504">
        <v>413.6</v>
      </c>
    </row>
    <row r="505" spans="1:11">
      <c r="A505" t="s">
        <v>568</v>
      </c>
      <c r="B505" s="14">
        <v>43297</v>
      </c>
      <c r="C505" t="s">
        <v>48</v>
      </c>
      <c r="D505" t="s">
        <v>45</v>
      </c>
      <c r="E505">
        <v>19</v>
      </c>
      <c r="F505">
        <v>40</v>
      </c>
      <c r="G505">
        <v>0.04</v>
      </c>
      <c r="H505" t="s">
        <v>50</v>
      </c>
      <c r="I505">
        <v>760</v>
      </c>
      <c r="J505">
        <v>30</v>
      </c>
      <c r="K505">
        <v>729.6</v>
      </c>
    </row>
    <row r="506" spans="1:11">
      <c r="A506" t="s">
        <v>569</v>
      </c>
      <c r="B506" s="14">
        <v>43297</v>
      </c>
      <c r="C506" t="s">
        <v>48</v>
      </c>
      <c r="D506" t="s">
        <v>45</v>
      </c>
      <c r="E506">
        <v>23</v>
      </c>
      <c r="F506">
        <v>40</v>
      </c>
      <c r="G506">
        <v>0.03</v>
      </c>
      <c r="H506" t="s">
        <v>53</v>
      </c>
      <c r="I506">
        <v>920</v>
      </c>
      <c r="J506">
        <v>28</v>
      </c>
      <c r="K506">
        <v>892.4</v>
      </c>
    </row>
    <row r="507" spans="1:11">
      <c r="A507" t="s">
        <v>570</v>
      </c>
      <c r="B507" s="14">
        <v>43297</v>
      </c>
      <c r="C507" t="s">
        <v>52</v>
      </c>
      <c r="D507" t="s">
        <v>49</v>
      </c>
      <c r="E507">
        <v>14</v>
      </c>
      <c r="F507">
        <v>230</v>
      </c>
      <c r="G507">
        <v>0.05</v>
      </c>
      <c r="H507" t="s">
        <v>55</v>
      </c>
      <c r="I507">
        <v>3220</v>
      </c>
      <c r="J507">
        <v>161</v>
      </c>
      <c r="K507">
        <v>3059</v>
      </c>
    </row>
    <row r="508" spans="1:11">
      <c r="A508" t="s">
        <v>571</v>
      </c>
      <c r="B508" s="14">
        <v>43297</v>
      </c>
      <c r="C508" t="s">
        <v>48</v>
      </c>
      <c r="D508" t="s">
        <v>57</v>
      </c>
      <c r="E508">
        <v>18</v>
      </c>
      <c r="F508">
        <v>40</v>
      </c>
      <c r="G508">
        <v>0.03</v>
      </c>
      <c r="H508" t="s">
        <v>58</v>
      </c>
      <c r="I508">
        <v>720</v>
      </c>
      <c r="J508">
        <v>22</v>
      </c>
      <c r="K508">
        <v>698.4</v>
      </c>
    </row>
    <row r="509" spans="1:11">
      <c r="A509" t="s">
        <v>572</v>
      </c>
      <c r="B509" s="14">
        <v>43297</v>
      </c>
      <c r="C509" t="s">
        <v>67</v>
      </c>
      <c r="D509" t="s">
        <v>49</v>
      </c>
      <c r="E509">
        <v>2</v>
      </c>
      <c r="F509">
        <v>150</v>
      </c>
      <c r="G509">
        <v>0.09</v>
      </c>
      <c r="H509" t="s">
        <v>61</v>
      </c>
      <c r="I509">
        <v>300</v>
      </c>
      <c r="J509">
        <v>27</v>
      </c>
      <c r="K509">
        <v>273</v>
      </c>
    </row>
    <row r="510" spans="1:11">
      <c r="A510" t="s">
        <v>573</v>
      </c>
      <c r="B510" s="14">
        <v>43297</v>
      </c>
      <c r="C510" t="s">
        <v>52</v>
      </c>
      <c r="D510" t="s">
        <v>49</v>
      </c>
      <c r="E510">
        <v>7</v>
      </c>
      <c r="F510">
        <v>230</v>
      </c>
      <c r="G510">
        <v>0.05</v>
      </c>
      <c r="H510" t="s">
        <v>65</v>
      </c>
      <c r="I510">
        <v>1610</v>
      </c>
      <c r="J510">
        <v>80</v>
      </c>
      <c r="K510">
        <v>1529.5</v>
      </c>
    </row>
    <row r="511" spans="1:11">
      <c r="A511" t="s">
        <v>574</v>
      </c>
      <c r="B511" s="14">
        <v>43298</v>
      </c>
      <c r="C511" t="s">
        <v>67</v>
      </c>
      <c r="D511" t="s">
        <v>57</v>
      </c>
      <c r="E511">
        <v>9</v>
      </c>
      <c r="F511">
        <v>150</v>
      </c>
      <c r="G511">
        <v>0.02</v>
      </c>
      <c r="H511" t="s">
        <v>68</v>
      </c>
      <c r="I511">
        <v>1350</v>
      </c>
      <c r="J511">
        <v>27</v>
      </c>
      <c r="K511">
        <v>1323</v>
      </c>
    </row>
    <row r="512" spans="1:11">
      <c r="A512" t="s">
        <v>575</v>
      </c>
      <c r="B512" s="14">
        <v>43298</v>
      </c>
      <c r="C512" t="s">
        <v>48</v>
      </c>
      <c r="D512" t="s">
        <v>64</v>
      </c>
      <c r="E512">
        <v>3</v>
      </c>
      <c r="F512">
        <v>40</v>
      </c>
      <c r="G512">
        <v>0.03</v>
      </c>
      <c r="H512" t="s">
        <v>70</v>
      </c>
      <c r="I512">
        <v>120</v>
      </c>
      <c r="J512">
        <v>4</v>
      </c>
      <c r="K512">
        <v>116.4</v>
      </c>
    </row>
    <row r="513" spans="1:11">
      <c r="A513" t="s">
        <v>576</v>
      </c>
      <c r="B513" s="14">
        <v>43298</v>
      </c>
      <c r="C513" t="s">
        <v>44</v>
      </c>
      <c r="D513" t="s">
        <v>60</v>
      </c>
      <c r="E513">
        <v>2</v>
      </c>
      <c r="F513">
        <v>80</v>
      </c>
      <c r="G513">
        <v>0.08</v>
      </c>
      <c r="H513" t="s">
        <v>72</v>
      </c>
      <c r="I513">
        <v>160</v>
      </c>
      <c r="J513">
        <v>13</v>
      </c>
      <c r="K513">
        <v>147.2</v>
      </c>
    </row>
    <row r="514" spans="1:11">
      <c r="A514" t="s">
        <v>577</v>
      </c>
      <c r="B514" s="14">
        <v>43298</v>
      </c>
      <c r="C514" t="s">
        <v>63</v>
      </c>
      <c r="D514" t="s">
        <v>64</v>
      </c>
      <c r="E514">
        <v>19</v>
      </c>
      <c r="F514">
        <v>16</v>
      </c>
      <c r="G514">
        <v>0.02</v>
      </c>
      <c r="H514" t="s">
        <v>74</v>
      </c>
      <c r="I514">
        <v>304</v>
      </c>
      <c r="J514">
        <v>6</v>
      </c>
      <c r="K514">
        <v>297.92</v>
      </c>
    </row>
    <row r="515" spans="1:11">
      <c r="A515" t="s">
        <v>578</v>
      </c>
      <c r="B515" s="14">
        <v>43298</v>
      </c>
      <c r="C515" t="s">
        <v>63</v>
      </c>
      <c r="D515" t="s">
        <v>49</v>
      </c>
      <c r="E515">
        <v>21</v>
      </c>
      <c r="F515">
        <v>16</v>
      </c>
      <c r="G515">
        <v>0.02</v>
      </c>
      <c r="H515" t="s">
        <v>76</v>
      </c>
      <c r="I515">
        <v>336</v>
      </c>
      <c r="J515">
        <v>7</v>
      </c>
      <c r="K515">
        <v>329.28</v>
      </c>
    </row>
    <row r="516" spans="1:11">
      <c r="A516" t="s">
        <v>579</v>
      </c>
      <c r="B516" s="14">
        <v>43298</v>
      </c>
      <c r="C516" t="s">
        <v>44</v>
      </c>
      <c r="D516" t="s">
        <v>60</v>
      </c>
      <c r="E516">
        <v>21</v>
      </c>
      <c r="F516">
        <v>80</v>
      </c>
      <c r="G516">
        <v>0.05</v>
      </c>
      <c r="H516" t="s">
        <v>46</v>
      </c>
      <c r="I516">
        <v>1680</v>
      </c>
      <c r="J516">
        <v>84</v>
      </c>
      <c r="K516">
        <v>1596</v>
      </c>
    </row>
    <row r="517" spans="1:11">
      <c r="A517" t="s">
        <v>580</v>
      </c>
      <c r="B517" s="14">
        <v>43298</v>
      </c>
      <c r="C517" t="s">
        <v>52</v>
      </c>
      <c r="D517" t="s">
        <v>64</v>
      </c>
      <c r="E517">
        <v>3</v>
      </c>
      <c r="F517">
        <v>230</v>
      </c>
      <c r="G517">
        <v>0.1</v>
      </c>
      <c r="H517" t="s">
        <v>50</v>
      </c>
      <c r="I517">
        <v>690</v>
      </c>
      <c r="J517">
        <v>69</v>
      </c>
      <c r="K517">
        <v>621</v>
      </c>
    </row>
    <row r="518" spans="1:11">
      <c r="A518" t="s">
        <v>581</v>
      </c>
      <c r="B518" s="14">
        <v>43298</v>
      </c>
      <c r="C518" t="s">
        <v>48</v>
      </c>
      <c r="D518" t="s">
        <v>57</v>
      </c>
      <c r="E518">
        <v>4</v>
      </c>
      <c r="F518">
        <v>40</v>
      </c>
      <c r="G518">
        <v>0.11</v>
      </c>
      <c r="H518" t="s">
        <v>53</v>
      </c>
      <c r="I518">
        <v>160</v>
      </c>
      <c r="J518">
        <v>18</v>
      </c>
      <c r="K518">
        <v>142.4</v>
      </c>
    </row>
    <row r="519" spans="1:11">
      <c r="A519" t="s">
        <v>582</v>
      </c>
      <c r="B519" s="14">
        <v>43298</v>
      </c>
      <c r="C519" t="s">
        <v>67</v>
      </c>
      <c r="D519" t="s">
        <v>64</v>
      </c>
      <c r="E519">
        <v>7</v>
      </c>
      <c r="F519">
        <v>150</v>
      </c>
      <c r="G519">
        <v>0.03</v>
      </c>
      <c r="H519" t="s">
        <v>55</v>
      </c>
      <c r="I519">
        <v>1050</v>
      </c>
      <c r="J519">
        <v>32</v>
      </c>
      <c r="K519">
        <v>1018.5</v>
      </c>
    </row>
    <row r="520" spans="1:11">
      <c r="A520" t="s">
        <v>583</v>
      </c>
      <c r="B520" s="14">
        <v>43298</v>
      </c>
      <c r="C520" t="s">
        <v>63</v>
      </c>
      <c r="D520" t="s">
        <v>57</v>
      </c>
      <c r="E520">
        <v>11</v>
      </c>
      <c r="F520">
        <v>16</v>
      </c>
      <c r="G520">
        <v>0.12</v>
      </c>
      <c r="H520" t="s">
        <v>58</v>
      </c>
      <c r="I520">
        <v>176</v>
      </c>
      <c r="J520">
        <v>21</v>
      </c>
      <c r="K520">
        <v>154.88</v>
      </c>
    </row>
    <row r="521" spans="1:11">
      <c r="A521" t="s">
        <v>584</v>
      </c>
      <c r="B521" s="14">
        <v>43298</v>
      </c>
      <c r="C521" t="s">
        <v>44</v>
      </c>
      <c r="D521" t="s">
        <v>45</v>
      </c>
      <c r="E521">
        <v>17</v>
      </c>
      <c r="F521">
        <v>80</v>
      </c>
      <c r="G521">
        <v>0.07</v>
      </c>
      <c r="H521" t="s">
        <v>61</v>
      </c>
      <c r="I521">
        <v>1360</v>
      </c>
      <c r="J521">
        <v>95</v>
      </c>
      <c r="K521">
        <v>1264.8</v>
      </c>
    </row>
    <row r="522" spans="1:11">
      <c r="A522" t="s">
        <v>585</v>
      </c>
      <c r="B522" s="14">
        <v>43298</v>
      </c>
      <c r="C522" t="s">
        <v>63</v>
      </c>
      <c r="D522" t="s">
        <v>60</v>
      </c>
      <c r="E522">
        <v>5</v>
      </c>
      <c r="F522">
        <v>16</v>
      </c>
      <c r="G522">
        <v>0.09</v>
      </c>
      <c r="H522" t="s">
        <v>65</v>
      </c>
      <c r="I522">
        <v>80</v>
      </c>
      <c r="J522">
        <v>7</v>
      </c>
      <c r="K522">
        <v>72.8</v>
      </c>
    </row>
    <row r="523" spans="1:11">
      <c r="A523" t="s">
        <v>586</v>
      </c>
      <c r="B523" s="14">
        <v>43298</v>
      </c>
      <c r="C523" t="s">
        <v>63</v>
      </c>
      <c r="D523" t="s">
        <v>64</v>
      </c>
      <c r="E523">
        <v>13</v>
      </c>
      <c r="F523">
        <v>16</v>
      </c>
      <c r="G523">
        <v>0.07</v>
      </c>
      <c r="H523" t="s">
        <v>68</v>
      </c>
      <c r="I523">
        <v>208</v>
      </c>
      <c r="J523">
        <v>15</v>
      </c>
      <c r="K523">
        <v>193.44</v>
      </c>
    </row>
    <row r="524" spans="1:11">
      <c r="A524" t="s">
        <v>587</v>
      </c>
      <c r="B524" s="14">
        <v>43298</v>
      </c>
      <c r="C524" t="s">
        <v>44</v>
      </c>
      <c r="D524" t="s">
        <v>64</v>
      </c>
      <c r="E524">
        <v>9</v>
      </c>
      <c r="F524">
        <v>80</v>
      </c>
      <c r="G524">
        <v>0.02</v>
      </c>
      <c r="H524" t="s">
        <v>70</v>
      </c>
      <c r="I524">
        <v>720</v>
      </c>
      <c r="J524">
        <v>14</v>
      </c>
      <c r="K524">
        <v>705.6</v>
      </c>
    </row>
    <row r="525" spans="1:11">
      <c r="A525" t="s">
        <v>588</v>
      </c>
      <c r="B525" s="14">
        <v>43299</v>
      </c>
      <c r="C525" t="s">
        <v>44</v>
      </c>
      <c r="D525" t="s">
        <v>64</v>
      </c>
      <c r="E525">
        <v>9</v>
      </c>
      <c r="F525">
        <v>80</v>
      </c>
      <c r="G525">
        <v>0.02</v>
      </c>
      <c r="H525" t="s">
        <v>72</v>
      </c>
      <c r="I525">
        <v>720</v>
      </c>
      <c r="J525">
        <v>14</v>
      </c>
      <c r="K525">
        <v>705.6</v>
      </c>
    </row>
    <row r="526" spans="1:11">
      <c r="A526" t="s">
        <v>589</v>
      </c>
      <c r="B526" s="14">
        <v>43299</v>
      </c>
      <c r="C526" t="s">
        <v>44</v>
      </c>
      <c r="D526" t="s">
        <v>60</v>
      </c>
      <c r="E526">
        <v>22</v>
      </c>
      <c r="F526">
        <v>80</v>
      </c>
      <c r="G526">
        <v>0.03</v>
      </c>
      <c r="H526" t="s">
        <v>74</v>
      </c>
      <c r="I526">
        <v>1760</v>
      </c>
      <c r="J526">
        <v>53</v>
      </c>
      <c r="K526">
        <v>1707.2</v>
      </c>
    </row>
    <row r="527" spans="1:11">
      <c r="A527" t="s">
        <v>590</v>
      </c>
      <c r="B527" s="14">
        <v>43299</v>
      </c>
      <c r="C527" t="s">
        <v>67</v>
      </c>
      <c r="D527" t="s">
        <v>45</v>
      </c>
      <c r="E527">
        <v>13</v>
      </c>
      <c r="F527">
        <v>150</v>
      </c>
      <c r="G527">
        <v>0.05</v>
      </c>
      <c r="H527" t="s">
        <v>76</v>
      </c>
      <c r="I527">
        <v>1950</v>
      </c>
      <c r="J527">
        <v>98</v>
      </c>
      <c r="K527">
        <v>1852.5</v>
      </c>
    </row>
    <row r="528" spans="1:11">
      <c r="A528" t="s">
        <v>591</v>
      </c>
      <c r="B528" s="14">
        <v>43299</v>
      </c>
      <c r="C528" t="s">
        <v>44</v>
      </c>
      <c r="D528" t="s">
        <v>45</v>
      </c>
      <c r="E528">
        <v>14</v>
      </c>
      <c r="F528">
        <v>80</v>
      </c>
      <c r="G528">
        <v>0.08</v>
      </c>
      <c r="H528" t="s">
        <v>46</v>
      </c>
      <c r="I528">
        <v>1120</v>
      </c>
      <c r="J528">
        <v>90</v>
      </c>
      <c r="K528">
        <v>1030.4</v>
      </c>
    </row>
    <row r="529" spans="1:11">
      <c r="A529" t="s">
        <v>592</v>
      </c>
      <c r="B529" s="14">
        <v>43299</v>
      </c>
      <c r="C529" t="s">
        <v>44</v>
      </c>
      <c r="D529" t="s">
        <v>45</v>
      </c>
      <c r="E529">
        <v>6</v>
      </c>
      <c r="F529">
        <v>80</v>
      </c>
      <c r="G529">
        <v>0.07</v>
      </c>
      <c r="H529" t="s">
        <v>50</v>
      </c>
      <c r="I529">
        <v>480</v>
      </c>
      <c r="J529">
        <v>34</v>
      </c>
      <c r="K529">
        <v>446.4</v>
      </c>
    </row>
    <row r="530" spans="1:11">
      <c r="A530" t="s">
        <v>593</v>
      </c>
      <c r="B530" s="14">
        <v>43299</v>
      </c>
      <c r="C530" t="s">
        <v>44</v>
      </c>
      <c r="D530" t="s">
        <v>45</v>
      </c>
      <c r="E530">
        <v>16</v>
      </c>
      <c r="F530">
        <v>80</v>
      </c>
      <c r="G530">
        <v>0.03</v>
      </c>
      <c r="H530" t="s">
        <v>53</v>
      </c>
      <c r="I530">
        <v>1280</v>
      </c>
      <c r="J530">
        <v>38</v>
      </c>
      <c r="K530">
        <v>1241.6</v>
      </c>
    </row>
    <row r="531" spans="1:11">
      <c r="A531" t="s">
        <v>594</v>
      </c>
      <c r="B531" s="14">
        <v>43299</v>
      </c>
      <c r="C531" t="s">
        <v>67</v>
      </c>
      <c r="D531" t="s">
        <v>57</v>
      </c>
      <c r="E531">
        <v>22</v>
      </c>
      <c r="F531">
        <v>150</v>
      </c>
      <c r="G531">
        <v>0.09</v>
      </c>
      <c r="H531" t="s">
        <v>55</v>
      </c>
      <c r="I531">
        <v>3300</v>
      </c>
      <c r="J531">
        <v>297</v>
      </c>
      <c r="K531">
        <v>3003</v>
      </c>
    </row>
    <row r="532" spans="1:11">
      <c r="A532" t="s">
        <v>595</v>
      </c>
      <c r="B532" s="14">
        <v>43299</v>
      </c>
      <c r="C532" t="s">
        <v>67</v>
      </c>
      <c r="D532" t="s">
        <v>60</v>
      </c>
      <c r="E532">
        <v>4</v>
      </c>
      <c r="F532">
        <v>150</v>
      </c>
      <c r="G532">
        <v>0.12</v>
      </c>
      <c r="H532" t="s">
        <v>58</v>
      </c>
      <c r="I532">
        <v>600</v>
      </c>
      <c r="J532">
        <v>72</v>
      </c>
      <c r="K532">
        <v>528</v>
      </c>
    </row>
    <row r="533" spans="1:11">
      <c r="A533" t="s">
        <v>596</v>
      </c>
      <c r="B533" s="14">
        <v>43299</v>
      </c>
      <c r="C533" t="s">
        <v>52</v>
      </c>
      <c r="D533" t="s">
        <v>64</v>
      </c>
      <c r="E533">
        <v>7</v>
      </c>
      <c r="F533">
        <v>230</v>
      </c>
      <c r="G533">
        <v>0.05</v>
      </c>
      <c r="H533" t="s">
        <v>61</v>
      </c>
      <c r="I533">
        <v>1610</v>
      </c>
      <c r="J533">
        <v>80</v>
      </c>
      <c r="K533">
        <v>1529.5</v>
      </c>
    </row>
    <row r="534" spans="1:11">
      <c r="A534" t="s">
        <v>597</v>
      </c>
      <c r="B534" s="14">
        <v>43299</v>
      </c>
      <c r="C534" t="s">
        <v>67</v>
      </c>
      <c r="D534" t="s">
        <v>60</v>
      </c>
      <c r="E534">
        <v>20</v>
      </c>
      <c r="F534">
        <v>150</v>
      </c>
      <c r="G534">
        <v>0.1</v>
      </c>
      <c r="H534" t="s">
        <v>65</v>
      </c>
      <c r="I534">
        <v>3000</v>
      </c>
      <c r="J534">
        <v>300</v>
      </c>
      <c r="K534">
        <v>2700</v>
      </c>
    </row>
    <row r="535" spans="1:11">
      <c r="A535" t="s">
        <v>598</v>
      </c>
      <c r="B535" s="14">
        <v>43299</v>
      </c>
      <c r="C535" t="s">
        <v>52</v>
      </c>
      <c r="D535" t="s">
        <v>60</v>
      </c>
      <c r="E535">
        <v>8</v>
      </c>
      <c r="F535">
        <v>230</v>
      </c>
      <c r="G535">
        <v>0.05</v>
      </c>
      <c r="H535" t="s">
        <v>68</v>
      </c>
      <c r="I535">
        <v>1840</v>
      </c>
      <c r="J535">
        <v>92</v>
      </c>
      <c r="K535">
        <v>1748</v>
      </c>
    </row>
    <row r="536" spans="1:11">
      <c r="A536" t="s">
        <v>599</v>
      </c>
      <c r="B536" s="14">
        <v>43300</v>
      </c>
      <c r="C536" t="s">
        <v>48</v>
      </c>
      <c r="D536" t="s">
        <v>60</v>
      </c>
      <c r="E536">
        <v>9</v>
      </c>
      <c r="F536">
        <v>40</v>
      </c>
      <c r="G536">
        <v>0.06</v>
      </c>
      <c r="H536" t="s">
        <v>70</v>
      </c>
      <c r="I536">
        <v>360</v>
      </c>
      <c r="J536">
        <v>22</v>
      </c>
      <c r="K536">
        <v>338.4</v>
      </c>
    </row>
    <row r="537" spans="1:11">
      <c r="A537" t="s">
        <v>600</v>
      </c>
      <c r="B537" s="14">
        <v>43300</v>
      </c>
      <c r="C537" t="s">
        <v>52</v>
      </c>
      <c r="D537" t="s">
        <v>60</v>
      </c>
      <c r="E537">
        <v>19</v>
      </c>
      <c r="F537">
        <v>230</v>
      </c>
      <c r="G537">
        <v>0.06</v>
      </c>
      <c r="H537" t="s">
        <v>72</v>
      </c>
      <c r="I537">
        <v>4370</v>
      </c>
      <c r="J537">
        <v>262</v>
      </c>
      <c r="K537">
        <v>4107.8</v>
      </c>
    </row>
    <row r="538" spans="1:11">
      <c r="A538" t="s">
        <v>601</v>
      </c>
      <c r="B538" s="14">
        <v>43300</v>
      </c>
      <c r="C538" t="s">
        <v>48</v>
      </c>
      <c r="D538" t="s">
        <v>60</v>
      </c>
      <c r="E538">
        <v>22</v>
      </c>
      <c r="F538">
        <v>40</v>
      </c>
      <c r="G538">
        <v>0.01</v>
      </c>
      <c r="H538" t="s">
        <v>74</v>
      </c>
      <c r="I538">
        <v>880</v>
      </c>
      <c r="J538">
        <v>9</v>
      </c>
      <c r="K538">
        <v>871.2</v>
      </c>
    </row>
    <row r="539" spans="1:11">
      <c r="A539" t="s">
        <v>602</v>
      </c>
      <c r="B539" s="14">
        <v>43300</v>
      </c>
      <c r="C539" t="s">
        <v>48</v>
      </c>
      <c r="D539" t="s">
        <v>45</v>
      </c>
      <c r="E539">
        <v>22</v>
      </c>
      <c r="F539">
        <v>40</v>
      </c>
      <c r="G539">
        <v>0.02</v>
      </c>
      <c r="H539" t="s">
        <v>76</v>
      </c>
      <c r="I539">
        <v>880</v>
      </c>
      <c r="J539">
        <v>18</v>
      </c>
      <c r="K539">
        <v>862.4</v>
      </c>
    </row>
    <row r="540" spans="1:11">
      <c r="A540" t="s">
        <v>603</v>
      </c>
      <c r="B540" s="14">
        <v>43300</v>
      </c>
      <c r="C540" t="s">
        <v>44</v>
      </c>
      <c r="D540" t="s">
        <v>64</v>
      </c>
      <c r="E540">
        <v>10</v>
      </c>
      <c r="F540">
        <v>80</v>
      </c>
      <c r="G540">
        <v>0.06</v>
      </c>
      <c r="H540" t="s">
        <v>46</v>
      </c>
      <c r="I540">
        <v>800</v>
      </c>
      <c r="J540">
        <v>48</v>
      </c>
      <c r="K540">
        <v>752</v>
      </c>
    </row>
    <row r="541" spans="1:11">
      <c r="A541" t="s">
        <v>604</v>
      </c>
      <c r="B541" s="14">
        <v>43300</v>
      </c>
      <c r="C541" t="s">
        <v>48</v>
      </c>
      <c r="D541" t="s">
        <v>60</v>
      </c>
      <c r="E541">
        <v>7</v>
      </c>
      <c r="F541">
        <v>40</v>
      </c>
      <c r="G541">
        <v>0.11</v>
      </c>
      <c r="H541" t="s">
        <v>50</v>
      </c>
      <c r="I541">
        <v>280</v>
      </c>
      <c r="J541">
        <v>31</v>
      </c>
      <c r="K541">
        <v>249.2</v>
      </c>
    </row>
    <row r="542" spans="1:11">
      <c r="A542" t="s">
        <v>605</v>
      </c>
      <c r="B542" s="14">
        <v>43300</v>
      </c>
      <c r="C542" t="s">
        <v>52</v>
      </c>
      <c r="D542" t="s">
        <v>45</v>
      </c>
      <c r="E542">
        <v>7</v>
      </c>
      <c r="F542">
        <v>230</v>
      </c>
      <c r="G542">
        <v>0.08</v>
      </c>
      <c r="H542" t="s">
        <v>53</v>
      </c>
      <c r="I542">
        <v>1610</v>
      </c>
      <c r="J542">
        <v>129</v>
      </c>
      <c r="K542">
        <v>1481.2</v>
      </c>
    </row>
    <row r="543" spans="1:11">
      <c r="A543" t="s">
        <v>606</v>
      </c>
      <c r="B543" s="14">
        <v>43300</v>
      </c>
      <c r="C543" t="s">
        <v>63</v>
      </c>
      <c r="D543" t="s">
        <v>45</v>
      </c>
      <c r="E543">
        <v>18</v>
      </c>
      <c r="F543">
        <v>16</v>
      </c>
      <c r="G543">
        <v>0.11</v>
      </c>
      <c r="H543" t="s">
        <v>55</v>
      </c>
      <c r="I543">
        <v>288</v>
      </c>
      <c r="J543">
        <v>32</v>
      </c>
      <c r="K543">
        <v>256.32</v>
      </c>
    </row>
    <row r="544" spans="1:11">
      <c r="A544" t="s">
        <v>607</v>
      </c>
      <c r="B544" s="14">
        <v>43300</v>
      </c>
      <c r="C544" t="s">
        <v>52</v>
      </c>
      <c r="D544" t="s">
        <v>57</v>
      </c>
      <c r="E544">
        <v>14</v>
      </c>
      <c r="F544">
        <v>230</v>
      </c>
      <c r="G544">
        <v>0.12</v>
      </c>
      <c r="H544" t="s">
        <v>58</v>
      </c>
      <c r="I544">
        <v>3220</v>
      </c>
      <c r="J544">
        <v>386</v>
      </c>
      <c r="K544">
        <v>2833.6</v>
      </c>
    </row>
    <row r="545" spans="1:11">
      <c r="A545" t="s">
        <v>608</v>
      </c>
      <c r="B545" s="14">
        <v>43300</v>
      </c>
      <c r="C545" t="s">
        <v>48</v>
      </c>
      <c r="D545" t="s">
        <v>49</v>
      </c>
      <c r="E545">
        <v>21</v>
      </c>
      <c r="F545">
        <v>40</v>
      </c>
      <c r="G545">
        <v>0.03</v>
      </c>
      <c r="H545" t="s">
        <v>61</v>
      </c>
      <c r="I545">
        <v>840</v>
      </c>
      <c r="J545">
        <v>25</v>
      </c>
      <c r="K545">
        <v>814.8</v>
      </c>
    </row>
    <row r="546" spans="1:11">
      <c r="A546" t="s">
        <v>609</v>
      </c>
      <c r="B546" s="14">
        <v>43300</v>
      </c>
      <c r="C546" t="s">
        <v>67</v>
      </c>
      <c r="D546" t="s">
        <v>45</v>
      </c>
      <c r="E546">
        <v>3</v>
      </c>
      <c r="F546">
        <v>150</v>
      </c>
      <c r="G546">
        <v>0.03</v>
      </c>
      <c r="H546" t="s">
        <v>65</v>
      </c>
      <c r="I546">
        <v>450</v>
      </c>
      <c r="J546">
        <v>14</v>
      </c>
      <c r="K546">
        <v>436.5</v>
      </c>
    </row>
    <row r="547" spans="1:11">
      <c r="A547" t="s">
        <v>610</v>
      </c>
      <c r="B547" s="14">
        <v>43300</v>
      </c>
      <c r="C547" t="s">
        <v>44</v>
      </c>
      <c r="D547" t="s">
        <v>45</v>
      </c>
      <c r="E547">
        <v>12</v>
      </c>
      <c r="F547">
        <v>80</v>
      </c>
      <c r="G547">
        <v>0.04</v>
      </c>
      <c r="H547" t="s">
        <v>68</v>
      </c>
      <c r="I547">
        <v>960</v>
      </c>
      <c r="J547">
        <v>38</v>
      </c>
      <c r="K547">
        <v>921.6</v>
      </c>
    </row>
    <row r="548" spans="1:11">
      <c r="A548" t="s">
        <v>611</v>
      </c>
      <c r="B548" s="14">
        <v>43301</v>
      </c>
      <c r="C548" t="s">
        <v>67</v>
      </c>
      <c r="D548" t="s">
        <v>60</v>
      </c>
      <c r="E548">
        <v>6</v>
      </c>
      <c r="F548">
        <v>150</v>
      </c>
      <c r="G548">
        <v>0.03</v>
      </c>
      <c r="H548" t="s">
        <v>70</v>
      </c>
      <c r="I548">
        <v>900</v>
      </c>
      <c r="J548">
        <v>27</v>
      </c>
      <c r="K548">
        <v>873</v>
      </c>
    </row>
    <row r="549" spans="1:11">
      <c r="A549" t="s">
        <v>612</v>
      </c>
      <c r="B549" s="14">
        <v>43301</v>
      </c>
      <c r="C549" t="s">
        <v>48</v>
      </c>
      <c r="D549" t="s">
        <v>57</v>
      </c>
      <c r="E549">
        <v>20</v>
      </c>
      <c r="F549">
        <v>40</v>
      </c>
      <c r="G549">
        <v>0.01</v>
      </c>
      <c r="H549" t="s">
        <v>72</v>
      </c>
      <c r="I549">
        <v>800</v>
      </c>
      <c r="J549">
        <v>8</v>
      </c>
      <c r="K549">
        <v>792</v>
      </c>
    </row>
    <row r="550" spans="1:11">
      <c r="A550" t="s">
        <v>613</v>
      </c>
      <c r="B550" s="14">
        <v>43301</v>
      </c>
      <c r="C550" t="s">
        <v>52</v>
      </c>
      <c r="D550" t="s">
        <v>45</v>
      </c>
      <c r="E550">
        <v>3</v>
      </c>
      <c r="F550">
        <v>230</v>
      </c>
      <c r="G550">
        <v>0.06</v>
      </c>
      <c r="H550" t="s">
        <v>65</v>
      </c>
      <c r="I550">
        <v>690</v>
      </c>
      <c r="J550">
        <v>41</v>
      </c>
      <c r="K550">
        <v>648.6</v>
      </c>
    </row>
    <row r="551" spans="1:11">
      <c r="A551" t="s">
        <v>614</v>
      </c>
      <c r="B551" s="14">
        <v>43301</v>
      </c>
      <c r="C551" t="s">
        <v>52</v>
      </c>
      <c r="D551" t="s">
        <v>60</v>
      </c>
      <c r="E551">
        <v>3</v>
      </c>
      <c r="F551">
        <v>230</v>
      </c>
      <c r="G551">
        <v>0.01</v>
      </c>
      <c r="H551" t="s">
        <v>68</v>
      </c>
      <c r="I551">
        <v>690</v>
      </c>
      <c r="J551">
        <v>7</v>
      </c>
      <c r="K551">
        <v>683.1</v>
      </c>
    </row>
    <row r="552" spans="1:11">
      <c r="A552" t="s">
        <v>615</v>
      </c>
      <c r="B552" s="14">
        <v>43301</v>
      </c>
      <c r="C552" t="s">
        <v>48</v>
      </c>
      <c r="D552" t="s">
        <v>45</v>
      </c>
      <c r="E552">
        <v>20</v>
      </c>
      <c r="F552">
        <v>40</v>
      </c>
      <c r="G552">
        <v>0.04</v>
      </c>
      <c r="H552" t="s">
        <v>70</v>
      </c>
      <c r="I552">
        <v>800</v>
      </c>
      <c r="J552">
        <v>32</v>
      </c>
      <c r="K552">
        <v>768</v>
      </c>
    </row>
    <row r="553" spans="1:11">
      <c r="A553" t="s">
        <v>616</v>
      </c>
      <c r="B553" s="14">
        <v>43301</v>
      </c>
      <c r="C553" t="s">
        <v>44</v>
      </c>
      <c r="D553" t="s">
        <v>57</v>
      </c>
      <c r="E553">
        <v>16</v>
      </c>
      <c r="F553">
        <v>80</v>
      </c>
      <c r="G553">
        <v>0.02</v>
      </c>
      <c r="H553" t="s">
        <v>72</v>
      </c>
      <c r="I553">
        <v>1280</v>
      </c>
      <c r="J553">
        <v>26</v>
      </c>
      <c r="K553">
        <v>1254.4</v>
      </c>
    </row>
    <row r="554" spans="1:11">
      <c r="A554" t="s">
        <v>617</v>
      </c>
      <c r="B554" s="14">
        <v>43301</v>
      </c>
      <c r="C554" t="s">
        <v>67</v>
      </c>
      <c r="D554" t="s">
        <v>45</v>
      </c>
      <c r="E554">
        <v>8</v>
      </c>
      <c r="F554">
        <v>150</v>
      </c>
      <c r="G554">
        <v>0.09</v>
      </c>
      <c r="H554" t="s">
        <v>65</v>
      </c>
      <c r="I554">
        <v>1200</v>
      </c>
      <c r="J554">
        <v>108</v>
      </c>
      <c r="K554">
        <v>1092</v>
      </c>
    </row>
    <row r="555" spans="1:11">
      <c r="A555" t="s">
        <v>618</v>
      </c>
      <c r="B555" s="14">
        <v>43302</v>
      </c>
      <c r="C555" t="s">
        <v>52</v>
      </c>
      <c r="D555" t="s">
        <v>49</v>
      </c>
      <c r="E555">
        <v>7</v>
      </c>
      <c r="F555">
        <v>230</v>
      </c>
      <c r="G555">
        <v>0.01</v>
      </c>
      <c r="H555" t="s">
        <v>68</v>
      </c>
      <c r="I555">
        <v>1610</v>
      </c>
      <c r="J555">
        <v>16</v>
      </c>
      <c r="K555">
        <v>1593.9</v>
      </c>
    </row>
    <row r="556" spans="1:11">
      <c r="A556" t="s">
        <v>619</v>
      </c>
      <c r="B556" s="14">
        <v>43302</v>
      </c>
      <c r="C556" t="s">
        <v>67</v>
      </c>
      <c r="D556" t="s">
        <v>49</v>
      </c>
      <c r="E556">
        <v>23</v>
      </c>
      <c r="F556">
        <v>150</v>
      </c>
      <c r="G556">
        <v>0.11</v>
      </c>
      <c r="H556" t="s">
        <v>70</v>
      </c>
      <c r="I556">
        <v>3450</v>
      </c>
      <c r="J556">
        <v>380</v>
      </c>
      <c r="K556">
        <v>3070.5</v>
      </c>
    </row>
    <row r="557" spans="1:11">
      <c r="A557" t="s">
        <v>620</v>
      </c>
      <c r="B557" s="14">
        <v>43302</v>
      </c>
      <c r="C557" t="s">
        <v>48</v>
      </c>
      <c r="D557" t="s">
        <v>64</v>
      </c>
      <c r="E557">
        <v>16</v>
      </c>
      <c r="F557">
        <v>40</v>
      </c>
      <c r="G557">
        <v>0.09</v>
      </c>
      <c r="H557" t="s">
        <v>72</v>
      </c>
      <c r="I557">
        <v>640</v>
      </c>
      <c r="J557">
        <v>58</v>
      </c>
      <c r="K557">
        <v>582.4</v>
      </c>
    </row>
    <row r="558" spans="1:11">
      <c r="A558" t="s">
        <v>621</v>
      </c>
      <c r="B558" s="14">
        <v>43302</v>
      </c>
      <c r="C558" t="s">
        <v>48</v>
      </c>
      <c r="D558" t="s">
        <v>64</v>
      </c>
      <c r="E558">
        <v>20</v>
      </c>
      <c r="F558">
        <v>40</v>
      </c>
      <c r="G558">
        <v>0.1</v>
      </c>
      <c r="H558" t="s">
        <v>65</v>
      </c>
      <c r="I558">
        <v>800</v>
      </c>
      <c r="J558">
        <v>80</v>
      </c>
      <c r="K558">
        <v>720</v>
      </c>
    </row>
    <row r="559" spans="1:11">
      <c r="A559" t="s">
        <v>622</v>
      </c>
      <c r="B559" s="14">
        <v>43302</v>
      </c>
      <c r="C559" t="s">
        <v>48</v>
      </c>
      <c r="D559" t="s">
        <v>49</v>
      </c>
      <c r="E559">
        <v>18</v>
      </c>
      <c r="F559">
        <v>40</v>
      </c>
      <c r="G559">
        <v>0.08</v>
      </c>
      <c r="H559" t="s">
        <v>68</v>
      </c>
      <c r="I559">
        <v>720</v>
      </c>
      <c r="J559">
        <v>58</v>
      </c>
      <c r="K559">
        <v>662.4</v>
      </c>
    </row>
    <row r="560" spans="1:11">
      <c r="A560" t="s">
        <v>623</v>
      </c>
      <c r="B560" s="14">
        <v>43302</v>
      </c>
      <c r="C560" t="s">
        <v>44</v>
      </c>
      <c r="D560" t="s">
        <v>64</v>
      </c>
      <c r="E560">
        <v>22</v>
      </c>
      <c r="F560">
        <v>80</v>
      </c>
      <c r="G560">
        <v>0.09</v>
      </c>
      <c r="H560" t="s">
        <v>70</v>
      </c>
      <c r="I560">
        <v>1760</v>
      </c>
      <c r="J560">
        <v>158</v>
      </c>
      <c r="K560">
        <v>1601.6</v>
      </c>
    </row>
    <row r="561" spans="1:11">
      <c r="A561" t="s">
        <v>624</v>
      </c>
      <c r="B561" s="14">
        <v>43302</v>
      </c>
      <c r="C561" t="s">
        <v>67</v>
      </c>
      <c r="D561" t="s">
        <v>49</v>
      </c>
      <c r="E561">
        <v>22</v>
      </c>
      <c r="F561">
        <v>150</v>
      </c>
      <c r="G561">
        <v>0.02</v>
      </c>
      <c r="H561" t="s">
        <v>72</v>
      </c>
      <c r="I561">
        <v>3300</v>
      </c>
      <c r="J561">
        <v>66</v>
      </c>
      <c r="K561">
        <v>3234</v>
      </c>
    </row>
    <row r="562" spans="1:11">
      <c r="A562" t="s">
        <v>625</v>
      </c>
      <c r="B562" s="14">
        <v>43302</v>
      </c>
      <c r="C562" t="s">
        <v>67</v>
      </c>
      <c r="D562" t="s">
        <v>49</v>
      </c>
      <c r="E562">
        <v>20</v>
      </c>
      <c r="F562">
        <v>150</v>
      </c>
      <c r="G562">
        <v>0.09</v>
      </c>
      <c r="H562" t="s">
        <v>65</v>
      </c>
      <c r="I562">
        <v>3000</v>
      </c>
      <c r="J562">
        <v>270</v>
      </c>
      <c r="K562">
        <v>2730</v>
      </c>
    </row>
    <row r="563" spans="1:11">
      <c r="A563" t="s">
        <v>626</v>
      </c>
      <c r="B563" s="14">
        <v>43302</v>
      </c>
      <c r="C563" t="s">
        <v>63</v>
      </c>
      <c r="D563" t="s">
        <v>45</v>
      </c>
      <c r="E563">
        <v>10</v>
      </c>
      <c r="F563">
        <v>16</v>
      </c>
      <c r="G563">
        <v>0.08</v>
      </c>
      <c r="H563" t="s">
        <v>68</v>
      </c>
      <c r="I563">
        <v>160</v>
      </c>
      <c r="J563">
        <v>13</v>
      </c>
      <c r="K563">
        <v>147.2</v>
      </c>
    </row>
    <row r="564" spans="1:11">
      <c r="A564" t="s">
        <v>627</v>
      </c>
      <c r="B564" s="14">
        <v>43302</v>
      </c>
      <c r="C564" t="s">
        <v>48</v>
      </c>
      <c r="D564" t="s">
        <v>57</v>
      </c>
      <c r="E564">
        <v>12</v>
      </c>
      <c r="F564">
        <v>40</v>
      </c>
      <c r="G564">
        <v>0.02</v>
      </c>
      <c r="H564" t="s">
        <v>70</v>
      </c>
      <c r="I564">
        <v>480</v>
      </c>
      <c r="J564">
        <v>10</v>
      </c>
      <c r="K564">
        <v>470.4</v>
      </c>
    </row>
    <row r="565" spans="1:11">
      <c r="A565" t="s">
        <v>628</v>
      </c>
      <c r="B565" s="14">
        <v>43302</v>
      </c>
      <c r="C565" t="s">
        <v>67</v>
      </c>
      <c r="D565" t="s">
        <v>45</v>
      </c>
      <c r="E565">
        <v>4</v>
      </c>
      <c r="F565">
        <v>150</v>
      </c>
      <c r="G565">
        <v>0.1</v>
      </c>
      <c r="H565" t="s">
        <v>72</v>
      </c>
      <c r="I565">
        <v>600</v>
      </c>
      <c r="J565">
        <v>60</v>
      </c>
      <c r="K565">
        <v>540</v>
      </c>
    </row>
    <row r="566" spans="1:11">
      <c r="A566" t="s">
        <v>629</v>
      </c>
      <c r="B566" s="14">
        <v>43302</v>
      </c>
      <c r="C566" t="s">
        <v>44</v>
      </c>
      <c r="D566" t="s">
        <v>57</v>
      </c>
      <c r="E566">
        <v>5</v>
      </c>
      <c r="F566">
        <v>80</v>
      </c>
      <c r="G566">
        <v>0.09</v>
      </c>
      <c r="H566" t="s">
        <v>65</v>
      </c>
      <c r="I566">
        <v>400</v>
      </c>
      <c r="J566">
        <v>36</v>
      </c>
      <c r="K566">
        <v>364</v>
      </c>
    </row>
    <row r="567" spans="1:11">
      <c r="A567" t="s">
        <v>630</v>
      </c>
      <c r="B567" s="14">
        <v>43302</v>
      </c>
      <c r="C567" t="s">
        <v>48</v>
      </c>
      <c r="D567" t="s">
        <v>45</v>
      </c>
      <c r="E567">
        <v>11</v>
      </c>
      <c r="F567">
        <v>40</v>
      </c>
      <c r="G567">
        <v>0.04</v>
      </c>
      <c r="H567" t="s">
        <v>68</v>
      </c>
      <c r="I567">
        <v>440</v>
      </c>
      <c r="J567">
        <v>18</v>
      </c>
      <c r="K567">
        <v>422.4</v>
      </c>
    </row>
    <row r="568" spans="1:11">
      <c r="A568" t="s">
        <v>631</v>
      </c>
      <c r="B568" s="14">
        <v>43302</v>
      </c>
      <c r="C568" t="s">
        <v>67</v>
      </c>
      <c r="D568" t="s">
        <v>49</v>
      </c>
      <c r="E568">
        <v>13</v>
      </c>
      <c r="F568">
        <v>150</v>
      </c>
      <c r="G568">
        <v>0.08</v>
      </c>
      <c r="H568" t="s">
        <v>70</v>
      </c>
      <c r="I568">
        <v>1950</v>
      </c>
      <c r="J568">
        <v>156</v>
      </c>
      <c r="K568">
        <v>1794</v>
      </c>
    </row>
    <row r="569" spans="1:11">
      <c r="A569" t="s">
        <v>632</v>
      </c>
      <c r="B569" s="14">
        <v>43302</v>
      </c>
      <c r="C569" t="s">
        <v>44</v>
      </c>
      <c r="D569" t="s">
        <v>60</v>
      </c>
      <c r="E569">
        <v>19</v>
      </c>
      <c r="F569">
        <v>80</v>
      </c>
      <c r="G569">
        <v>0.02</v>
      </c>
      <c r="H569" t="s">
        <v>72</v>
      </c>
      <c r="I569">
        <v>1520</v>
      </c>
      <c r="J569">
        <v>30</v>
      </c>
      <c r="K569">
        <v>1489.6</v>
      </c>
    </row>
    <row r="570" spans="1:11">
      <c r="A570" t="s">
        <v>633</v>
      </c>
      <c r="B570" s="14">
        <v>43302</v>
      </c>
      <c r="C570" t="s">
        <v>52</v>
      </c>
      <c r="D570" t="s">
        <v>49</v>
      </c>
      <c r="E570">
        <v>7</v>
      </c>
      <c r="F570">
        <v>230</v>
      </c>
      <c r="G570">
        <v>0.01</v>
      </c>
      <c r="H570" t="s">
        <v>65</v>
      </c>
      <c r="I570">
        <v>1610</v>
      </c>
      <c r="J570">
        <v>16</v>
      </c>
      <c r="K570">
        <v>1593.9</v>
      </c>
    </row>
    <row r="571" spans="1:11">
      <c r="A571" t="s">
        <v>634</v>
      </c>
      <c r="B571" s="14">
        <v>43303</v>
      </c>
      <c r="C571" t="s">
        <v>44</v>
      </c>
      <c r="D571" t="s">
        <v>64</v>
      </c>
      <c r="E571">
        <v>16</v>
      </c>
      <c r="F571">
        <v>80</v>
      </c>
      <c r="G571">
        <v>0.09</v>
      </c>
      <c r="H571" t="s">
        <v>68</v>
      </c>
      <c r="I571">
        <v>1280</v>
      </c>
      <c r="J571">
        <v>115</v>
      </c>
      <c r="K571">
        <v>1164.8</v>
      </c>
    </row>
    <row r="572" spans="1:11">
      <c r="A572" t="s">
        <v>635</v>
      </c>
      <c r="B572" s="14">
        <v>43303</v>
      </c>
      <c r="C572" t="s">
        <v>52</v>
      </c>
      <c r="D572" t="s">
        <v>45</v>
      </c>
      <c r="E572">
        <v>7</v>
      </c>
      <c r="F572">
        <v>230</v>
      </c>
      <c r="G572">
        <v>0.02</v>
      </c>
      <c r="H572" t="s">
        <v>70</v>
      </c>
      <c r="I572">
        <v>1610</v>
      </c>
      <c r="J572">
        <v>32</v>
      </c>
      <c r="K572">
        <v>1577.8</v>
      </c>
    </row>
    <row r="573" spans="1:11">
      <c r="A573" t="s">
        <v>636</v>
      </c>
      <c r="B573" s="14">
        <v>43303</v>
      </c>
      <c r="C573" t="s">
        <v>48</v>
      </c>
      <c r="D573" t="s">
        <v>45</v>
      </c>
      <c r="E573">
        <v>5</v>
      </c>
      <c r="F573">
        <v>40</v>
      </c>
      <c r="G573">
        <v>0.06</v>
      </c>
      <c r="H573" t="s">
        <v>72</v>
      </c>
      <c r="I573">
        <v>200</v>
      </c>
      <c r="J573">
        <v>12</v>
      </c>
      <c r="K573">
        <v>188</v>
      </c>
    </row>
    <row r="574" spans="1:11">
      <c r="A574" t="s">
        <v>637</v>
      </c>
      <c r="B574" s="14">
        <v>43303</v>
      </c>
      <c r="C574" t="s">
        <v>67</v>
      </c>
      <c r="D574" t="s">
        <v>57</v>
      </c>
      <c r="E574">
        <v>9</v>
      </c>
      <c r="F574">
        <v>150</v>
      </c>
      <c r="G574">
        <v>0.06</v>
      </c>
      <c r="H574" t="s">
        <v>65</v>
      </c>
      <c r="I574">
        <v>1350</v>
      </c>
      <c r="J574">
        <v>81</v>
      </c>
      <c r="K574">
        <v>1269</v>
      </c>
    </row>
    <row r="575" spans="1:11">
      <c r="A575" t="s">
        <v>638</v>
      </c>
      <c r="B575" s="14">
        <v>43303</v>
      </c>
      <c r="C575" t="s">
        <v>48</v>
      </c>
      <c r="D575" t="s">
        <v>64</v>
      </c>
      <c r="E575">
        <v>20</v>
      </c>
      <c r="F575">
        <v>40</v>
      </c>
      <c r="G575">
        <v>0.07</v>
      </c>
      <c r="H575" t="s">
        <v>68</v>
      </c>
      <c r="I575">
        <v>800</v>
      </c>
      <c r="J575">
        <v>56</v>
      </c>
      <c r="K575">
        <v>744</v>
      </c>
    </row>
    <row r="576" spans="1:11">
      <c r="A576" t="s">
        <v>639</v>
      </c>
      <c r="B576" s="14">
        <v>43303</v>
      </c>
      <c r="C576" t="s">
        <v>63</v>
      </c>
      <c r="D576" t="s">
        <v>49</v>
      </c>
      <c r="E576">
        <v>20</v>
      </c>
      <c r="F576">
        <v>16</v>
      </c>
      <c r="G576">
        <v>0.06</v>
      </c>
      <c r="H576" t="s">
        <v>70</v>
      </c>
      <c r="I576">
        <v>320</v>
      </c>
      <c r="J576">
        <v>19</v>
      </c>
      <c r="K576">
        <v>300.8</v>
      </c>
    </row>
    <row r="577" spans="1:11">
      <c r="A577" t="s">
        <v>640</v>
      </c>
      <c r="B577" s="14">
        <v>43303</v>
      </c>
      <c r="C577" t="s">
        <v>48</v>
      </c>
      <c r="D577" t="s">
        <v>64</v>
      </c>
      <c r="E577">
        <v>5</v>
      </c>
      <c r="F577">
        <v>40</v>
      </c>
      <c r="G577">
        <v>0.03</v>
      </c>
      <c r="H577" t="s">
        <v>72</v>
      </c>
      <c r="I577">
        <v>200</v>
      </c>
      <c r="J577">
        <v>6</v>
      </c>
      <c r="K577">
        <v>194</v>
      </c>
    </row>
    <row r="578" spans="1:11">
      <c r="A578" t="s">
        <v>641</v>
      </c>
      <c r="B578" s="14">
        <v>43304</v>
      </c>
      <c r="C578" t="s">
        <v>44</v>
      </c>
      <c r="D578" t="s">
        <v>60</v>
      </c>
      <c r="E578">
        <v>7</v>
      </c>
      <c r="F578">
        <v>80</v>
      </c>
      <c r="G578">
        <v>0.07</v>
      </c>
      <c r="H578" t="s">
        <v>65</v>
      </c>
      <c r="I578">
        <v>560</v>
      </c>
      <c r="J578">
        <v>39</v>
      </c>
      <c r="K578">
        <v>520.8</v>
      </c>
    </row>
    <row r="579" spans="1:11">
      <c r="A579" t="s">
        <v>642</v>
      </c>
      <c r="B579" s="14">
        <v>43304</v>
      </c>
      <c r="C579" t="s">
        <v>63</v>
      </c>
      <c r="D579" t="s">
        <v>64</v>
      </c>
      <c r="E579">
        <v>22</v>
      </c>
      <c r="F579">
        <v>16</v>
      </c>
      <c r="G579">
        <v>0.12</v>
      </c>
      <c r="H579" t="s">
        <v>68</v>
      </c>
      <c r="I579">
        <v>352</v>
      </c>
      <c r="J579">
        <v>42</v>
      </c>
      <c r="K579">
        <v>309.76</v>
      </c>
    </row>
    <row r="580" spans="1:11">
      <c r="A580" t="s">
        <v>643</v>
      </c>
      <c r="B580" s="14">
        <v>43304</v>
      </c>
      <c r="C580" t="s">
        <v>63</v>
      </c>
      <c r="D580" t="s">
        <v>64</v>
      </c>
      <c r="E580">
        <v>11</v>
      </c>
      <c r="F580">
        <v>16</v>
      </c>
      <c r="G580">
        <v>0.12</v>
      </c>
      <c r="H580" t="s">
        <v>70</v>
      </c>
      <c r="I580">
        <v>176</v>
      </c>
      <c r="J580">
        <v>21</v>
      </c>
      <c r="K580">
        <v>154.88</v>
      </c>
    </row>
    <row r="581" spans="1:11">
      <c r="A581" t="s">
        <v>644</v>
      </c>
      <c r="B581" s="14">
        <v>43304</v>
      </c>
      <c r="C581" t="s">
        <v>52</v>
      </c>
      <c r="D581" t="s">
        <v>60</v>
      </c>
      <c r="E581">
        <v>17</v>
      </c>
      <c r="F581">
        <v>230</v>
      </c>
      <c r="G581">
        <v>0.12</v>
      </c>
      <c r="H581" t="s">
        <v>72</v>
      </c>
      <c r="I581">
        <v>3910</v>
      </c>
      <c r="J581">
        <v>469</v>
      </c>
      <c r="K581">
        <v>3440.8</v>
      </c>
    </row>
    <row r="582" spans="1:11">
      <c r="A582" t="s">
        <v>645</v>
      </c>
      <c r="B582" s="14">
        <v>43304</v>
      </c>
      <c r="C582" t="s">
        <v>44</v>
      </c>
      <c r="D582" t="s">
        <v>45</v>
      </c>
      <c r="E582">
        <v>7</v>
      </c>
      <c r="F582">
        <v>80</v>
      </c>
      <c r="G582">
        <v>0.02</v>
      </c>
      <c r="H582" t="s">
        <v>65</v>
      </c>
      <c r="I582">
        <v>560</v>
      </c>
      <c r="J582">
        <v>11</v>
      </c>
      <c r="K582">
        <v>548.8</v>
      </c>
    </row>
    <row r="583" spans="1:11">
      <c r="A583" t="s">
        <v>646</v>
      </c>
      <c r="B583" s="14">
        <v>43304</v>
      </c>
      <c r="C583" t="s">
        <v>63</v>
      </c>
      <c r="D583" t="s">
        <v>49</v>
      </c>
      <c r="E583">
        <v>5</v>
      </c>
      <c r="F583">
        <v>16</v>
      </c>
      <c r="G583">
        <v>0.11</v>
      </c>
      <c r="H583" t="s">
        <v>68</v>
      </c>
      <c r="I583">
        <v>80</v>
      </c>
      <c r="J583">
        <v>9</v>
      </c>
      <c r="K583">
        <v>71.2</v>
      </c>
    </row>
    <row r="584" spans="1:11">
      <c r="A584" t="s">
        <v>647</v>
      </c>
      <c r="B584" s="14">
        <v>43304</v>
      </c>
      <c r="C584" t="s">
        <v>67</v>
      </c>
      <c r="D584" t="s">
        <v>64</v>
      </c>
      <c r="E584">
        <v>18</v>
      </c>
      <c r="F584">
        <v>150</v>
      </c>
      <c r="G584">
        <v>0.12</v>
      </c>
      <c r="H584" t="s">
        <v>70</v>
      </c>
      <c r="I584">
        <v>2700</v>
      </c>
      <c r="J584">
        <v>324</v>
      </c>
      <c r="K584">
        <v>2376</v>
      </c>
    </row>
    <row r="585" spans="1:11">
      <c r="A585" t="s">
        <v>648</v>
      </c>
      <c r="B585" s="14">
        <v>43304</v>
      </c>
      <c r="C585" t="s">
        <v>48</v>
      </c>
      <c r="D585" t="s">
        <v>64</v>
      </c>
      <c r="E585">
        <v>10</v>
      </c>
      <c r="F585">
        <v>40</v>
      </c>
      <c r="G585">
        <v>0.03</v>
      </c>
      <c r="H585" t="s">
        <v>72</v>
      </c>
      <c r="I585">
        <v>400</v>
      </c>
      <c r="J585">
        <v>12</v>
      </c>
      <c r="K585">
        <v>388</v>
      </c>
    </row>
    <row r="586" spans="1:11">
      <c r="A586" t="s">
        <v>649</v>
      </c>
      <c r="B586" s="14">
        <v>43304</v>
      </c>
      <c r="C586" t="s">
        <v>48</v>
      </c>
      <c r="D586" t="s">
        <v>64</v>
      </c>
      <c r="E586">
        <v>14</v>
      </c>
      <c r="F586">
        <v>40</v>
      </c>
      <c r="G586">
        <v>0.11</v>
      </c>
      <c r="H586" t="s">
        <v>65</v>
      </c>
      <c r="I586">
        <v>560</v>
      </c>
      <c r="J586">
        <v>62</v>
      </c>
      <c r="K586">
        <v>498.4</v>
      </c>
    </row>
    <row r="587" spans="1:11">
      <c r="A587" t="s">
        <v>650</v>
      </c>
      <c r="B587" s="14">
        <v>43304</v>
      </c>
      <c r="C587" t="s">
        <v>48</v>
      </c>
      <c r="D587" t="s">
        <v>64</v>
      </c>
      <c r="E587">
        <v>16</v>
      </c>
      <c r="F587">
        <v>40</v>
      </c>
      <c r="G587">
        <v>0.09</v>
      </c>
      <c r="H587" t="s">
        <v>68</v>
      </c>
      <c r="I587">
        <v>640</v>
      </c>
      <c r="J587">
        <v>58</v>
      </c>
      <c r="K587">
        <v>582.4</v>
      </c>
    </row>
    <row r="588" spans="1:11">
      <c r="A588" t="s">
        <v>651</v>
      </c>
      <c r="B588" s="14">
        <v>43305</v>
      </c>
      <c r="C588" t="s">
        <v>48</v>
      </c>
      <c r="D588" t="s">
        <v>60</v>
      </c>
      <c r="E588">
        <v>23</v>
      </c>
      <c r="F588">
        <v>40</v>
      </c>
      <c r="G588">
        <v>0.06</v>
      </c>
      <c r="H588" t="s">
        <v>70</v>
      </c>
      <c r="I588">
        <v>920</v>
      </c>
      <c r="J588">
        <v>55</v>
      </c>
      <c r="K588">
        <v>864.8</v>
      </c>
    </row>
    <row r="589" spans="1:11">
      <c r="A589" t="s">
        <v>652</v>
      </c>
      <c r="B589" s="14">
        <v>43305</v>
      </c>
      <c r="C589" t="s">
        <v>52</v>
      </c>
      <c r="D589" t="s">
        <v>60</v>
      </c>
      <c r="E589">
        <v>8</v>
      </c>
      <c r="F589">
        <v>230</v>
      </c>
      <c r="G589">
        <v>0.05</v>
      </c>
      <c r="H589" t="s">
        <v>72</v>
      </c>
      <c r="I589">
        <v>1840</v>
      </c>
      <c r="J589">
        <v>92</v>
      </c>
      <c r="K589">
        <v>1748</v>
      </c>
    </row>
    <row r="590" spans="1:11">
      <c r="A590" t="s">
        <v>653</v>
      </c>
      <c r="B590" s="14">
        <v>43305</v>
      </c>
      <c r="C590" t="s">
        <v>63</v>
      </c>
      <c r="D590" t="s">
        <v>60</v>
      </c>
      <c r="E590">
        <v>14</v>
      </c>
      <c r="F590">
        <v>16</v>
      </c>
      <c r="G590">
        <v>0.12</v>
      </c>
      <c r="H590" t="s">
        <v>65</v>
      </c>
      <c r="I590">
        <v>224</v>
      </c>
      <c r="J590">
        <v>27</v>
      </c>
      <c r="K590">
        <v>197.12</v>
      </c>
    </row>
    <row r="591" spans="1:11">
      <c r="A591" t="s">
        <v>654</v>
      </c>
      <c r="B591" s="14">
        <v>43305</v>
      </c>
      <c r="C591" t="s">
        <v>44</v>
      </c>
      <c r="D591" t="s">
        <v>45</v>
      </c>
      <c r="E591">
        <v>17</v>
      </c>
      <c r="F591">
        <v>80</v>
      </c>
      <c r="G591">
        <v>0.09</v>
      </c>
      <c r="H591" t="s">
        <v>68</v>
      </c>
      <c r="I591">
        <v>1360</v>
      </c>
      <c r="J591">
        <v>122</v>
      </c>
      <c r="K591">
        <v>1237.6</v>
      </c>
    </row>
    <row r="592" spans="1:11">
      <c r="A592" t="s">
        <v>655</v>
      </c>
      <c r="B592" s="14">
        <v>43305</v>
      </c>
      <c r="C592" t="s">
        <v>67</v>
      </c>
      <c r="D592" t="s">
        <v>57</v>
      </c>
      <c r="E592">
        <v>11</v>
      </c>
      <c r="F592">
        <v>150</v>
      </c>
      <c r="G592">
        <v>0.11</v>
      </c>
      <c r="H592" t="s">
        <v>70</v>
      </c>
      <c r="I592">
        <v>1650</v>
      </c>
      <c r="J592">
        <v>182</v>
      </c>
      <c r="K592">
        <v>1468.5</v>
      </c>
    </row>
    <row r="593" spans="1:11">
      <c r="A593" t="s">
        <v>656</v>
      </c>
      <c r="B593" s="14">
        <v>43305</v>
      </c>
      <c r="C593" t="s">
        <v>48</v>
      </c>
      <c r="D593" t="s">
        <v>60</v>
      </c>
      <c r="E593">
        <v>15</v>
      </c>
      <c r="F593">
        <v>40</v>
      </c>
      <c r="G593">
        <v>0.03</v>
      </c>
      <c r="H593" t="s">
        <v>72</v>
      </c>
      <c r="I593">
        <v>600</v>
      </c>
      <c r="J593">
        <v>18</v>
      </c>
      <c r="K593">
        <v>582</v>
      </c>
    </row>
    <row r="594" spans="1:11">
      <c r="A594" t="s">
        <v>657</v>
      </c>
      <c r="B594" s="14">
        <v>43305</v>
      </c>
      <c r="C594" t="s">
        <v>44</v>
      </c>
      <c r="D594" t="s">
        <v>64</v>
      </c>
      <c r="E594">
        <v>9</v>
      </c>
      <c r="F594">
        <v>80</v>
      </c>
      <c r="G594">
        <v>0.07</v>
      </c>
      <c r="H594" t="s">
        <v>65</v>
      </c>
      <c r="I594">
        <v>720</v>
      </c>
      <c r="J594">
        <v>50</v>
      </c>
      <c r="K594">
        <v>669.6</v>
      </c>
    </row>
    <row r="595" spans="1:11">
      <c r="A595" t="s">
        <v>658</v>
      </c>
      <c r="B595" s="14">
        <v>43305</v>
      </c>
      <c r="C595" t="s">
        <v>52</v>
      </c>
      <c r="D595" t="s">
        <v>49</v>
      </c>
      <c r="E595">
        <v>22</v>
      </c>
      <c r="F595">
        <v>230</v>
      </c>
      <c r="G595">
        <v>0.04</v>
      </c>
      <c r="H595" t="s">
        <v>68</v>
      </c>
      <c r="I595">
        <v>5060</v>
      </c>
      <c r="J595">
        <v>202</v>
      </c>
      <c r="K595">
        <v>4857.6</v>
      </c>
    </row>
    <row r="596" spans="1:11">
      <c r="A596" t="s">
        <v>659</v>
      </c>
      <c r="B596" s="14">
        <v>43305</v>
      </c>
      <c r="C596" t="s">
        <v>52</v>
      </c>
      <c r="D596" t="s">
        <v>49</v>
      </c>
      <c r="E596">
        <v>11</v>
      </c>
      <c r="F596">
        <v>230</v>
      </c>
      <c r="G596">
        <v>0.1</v>
      </c>
      <c r="H596" t="s">
        <v>70</v>
      </c>
      <c r="I596">
        <v>2530</v>
      </c>
      <c r="J596">
        <v>253</v>
      </c>
      <c r="K596">
        <v>2277</v>
      </c>
    </row>
    <row r="597" spans="1:11">
      <c r="A597" t="s">
        <v>660</v>
      </c>
      <c r="B597" s="14">
        <v>43305</v>
      </c>
      <c r="C597" t="s">
        <v>48</v>
      </c>
      <c r="D597" t="s">
        <v>57</v>
      </c>
      <c r="E597">
        <v>11</v>
      </c>
      <c r="F597">
        <v>40</v>
      </c>
      <c r="G597">
        <v>0.12</v>
      </c>
      <c r="H597" t="s">
        <v>72</v>
      </c>
      <c r="I597">
        <v>440</v>
      </c>
      <c r="J597">
        <v>53</v>
      </c>
      <c r="K597">
        <v>387.2</v>
      </c>
    </row>
    <row r="598" spans="1:11">
      <c r="A598" t="s">
        <v>661</v>
      </c>
      <c r="B598" s="14">
        <v>43305</v>
      </c>
      <c r="C598" t="s">
        <v>48</v>
      </c>
      <c r="D598" t="s">
        <v>60</v>
      </c>
      <c r="E598">
        <v>9</v>
      </c>
      <c r="F598">
        <v>40</v>
      </c>
      <c r="G598">
        <v>0.06</v>
      </c>
      <c r="H598" t="s">
        <v>65</v>
      </c>
      <c r="I598">
        <v>360</v>
      </c>
      <c r="J598">
        <v>22</v>
      </c>
      <c r="K598">
        <v>338.4</v>
      </c>
    </row>
    <row r="599" spans="1:11">
      <c r="A599" t="s">
        <v>662</v>
      </c>
      <c r="B599" s="14">
        <v>43306</v>
      </c>
      <c r="C599" t="s">
        <v>48</v>
      </c>
      <c r="D599" t="s">
        <v>60</v>
      </c>
      <c r="E599">
        <v>13</v>
      </c>
      <c r="F599">
        <v>40</v>
      </c>
      <c r="G599">
        <v>0.09</v>
      </c>
      <c r="H599" t="s">
        <v>68</v>
      </c>
      <c r="I599">
        <v>520</v>
      </c>
      <c r="J599">
        <v>47</v>
      </c>
      <c r="K599">
        <v>473.2</v>
      </c>
    </row>
    <row r="600" spans="1:11">
      <c r="A600" t="s">
        <v>663</v>
      </c>
      <c r="B600" s="14">
        <v>43306</v>
      </c>
      <c r="C600" t="s">
        <v>48</v>
      </c>
      <c r="D600" t="s">
        <v>49</v>
      </c>
      <c r="E600">
        <v>4</v>
      </c>
      <c r="F600">
        <v>40</v>
      </c>
      <c r="G600">
        <v>0.12</v>
      </c>
      <c r="H600" t="s">
        <v>70</v>
      </c>
      <c r="I600">
        <v>160</v>
      </c>
      <c r="J600">
        <v>19</v>
      </c>
      <c r="K600">
        <v>140.8</v>
      </c>
    </row>
    <row r="601" spans="1:11">
      <c r="A601" t="s">
        <v>664</v>
      </c>
      <c r="B601" s="14">
        <v>43306</v>
      </c>
      <c r="C601" t="s">
        <v>67</v>
      </c>
      <c r="D601" t="s">
        <v>45</v>
      </c>
      <c r="E601">
        <v>22</v>
      </c>
      <c r="F601">
        <v>150</v>
      </c>
      <c r="G601">
        <v>0.05</v>
      </c>
      <c r="H601" t="s">
        <v>72</v>
      </c>
      <c r="I601">
        <v>3300</v>
      </c>
      <c r="J601">
        <v>165</v>
      </c>
      <c r="K601">
        <v>3135</v>
      </c>
    </row>
    <row r="602" spans="1:11">
      <c r="A602" t="s">
        <v>665</v>
      </c>
      <c r="B602" s="14">
        <v>43306</v>
      </c>
      <c r="C602" t="s">
        <v>48</v>
      </c>
      <c r="D602" t="s">
        <v>64</v>
      </c>
      <c r="E602">
        <v>21</v>
      </c>
      <c r="F602">
        <v>40</v>
      </c>
      <c r="G602">
        <v>0.01</v>
      </c>
      <c r="H602" t="s">
        <v>65</v>
      </c>
      <c r="I602">
        <v>840</v>
      </c>
      <c r="J602">
        <v>8</v>
      </c>
      <c r="K602">
        <v>831.6</v>
      </c>
    </row>
    <row r="603" spans="1:11">
      <c r="A603" t="s">
        <v>666</v>
      </c>
      <c r="B603" s="14">
        <v>43306</v>
      </c>
      <c r="C603" t="s">
        <v>63</v>
      </c>
      <c r="D603" t="s">
        <v>45</v>
      </c>
      <c r="E603">
        <v>16</v>
      </c>
      <c r="F603">
        <v>16</v>
      </c>
      <c r="G603">
        <v>0.03</v>
      </c>
      <c r="H603" t="s">
        <v>68</v>
      </c>
      <c r="I603">
        <v>256</v>
      </c>
      <c r="J603">
        <v>8</v>
      </c>
      <c r="K603">
        <v>248.32</v>
      </c>
    </row>
    <row r="604" spans="1:11">
      <c r="A604" t="s">
        <v>667</v>
      </c>
      <c r="B604" s="14">
        <v>43306</v>
      </c>
      <c r="C604" t="s">
        <v>44</v>
      </c>
      <c r="D604" t="s">
        <v>60</v>
      </c>
      <c r="E604">
        <v>16</v>
      </c>
      <c r="F604">
        <v>80</v>
      </c>
      <c r="G604">
        <v>0.07</v>
      </c>
      <c r="H604" t="s">
        <v>70</v>
      </c>
      <c r="I604">
        <v>1280</v>
      </c>
      <c r="J604">
        <v>90</v>
      </c>
      <c r="K604">
        <v>1190.4</v>
      </c>
    </row>
    <row r="605" spans="1:11">
      <c r="A605" t="s">
        <v>668</v>
      </c>
      <c r="B605" s="14">
        <v>43306</v>
      </c>
      <c r="C605" t="s">
        <v>44</v>
      </c>
      <c r="D605" t="s">
        <v>49</v>
      </c>
      <c r="E605">
        <v>15</v>
      </c>
      <c r="F605">
        <v>80</v>
      </c>
      <c r="G605">
        <v>0.12</v>
      </c>
      <c r="H605" t="s">
        <v>72</v>
      </c>
      <c r="I605">
        <v>1200</v>
      </c>
      <c r="J605">
        <v>144</v>
      </c>
      <c r="K605">
        <v>1056</v>
      </c>
    </row>
    <row r="606" spans="1:11">
      <c r="A606" t="s">
        <v>669</v>
      </c>
      <c r="B606" s="14">
        <v>43306</v>
      </c>
      <c r="C606" t="s">
        <v>67</v>
      </c>
      <c r="D606" t="s">
        <v>45</v>
      </c>
      <c r="E606">
        <v>20</v>
      </c>
      <c r="F606">
        <v>150</v>
      </c>
      <c r="G606">
        <v>0.03</v>
      </c>
      <c r="H606" t="s">
        <v>65</v>
      </c>
      <c r="I606">
        <v>3000</v>
      </c>
      <c r="J606">
        <v>90</v>
      </c>
      <c r="K606">
        <v>2910</v>
      </c>
    </row>
    <row r="607" spans="1:11">
      <c r="A607" t="s">
        <v>670</v>
      </c>
      <c r="B607" s="14">
        <v>43306</v>
      </c>
      <c r="C607" t="s">
        <v>48</v>
      </c>
      <c r="D607" t="s">
        <v>60</v>
      </c>
      <c r="E607">
        <v>13</v>
      </c>
      <c r="F607">
        <v>40</v>
      </c>
      <c r="G607">
        <v>0.06</v>
      </c>
      <c r="H607" t="s">
        <v>68</v>
      </c>
      <c r="I607">
        <v>520</v>
      </c>
      <c r="J607">
        <v>31</v>
      </c>
      <c r="K607">
        <v>488.8</v>
      </c>
    </row>
    <row r="608" spans="1:11">
      <c r="A608" t="s">
        <v>671</v>
      </c>
      <c r="B608" s="14">
        <v>43306</v>
      </c>
      <c r="C608" t="s">
        <v>63</v>
      </c>
      <c r="D608" t="s">
        <v>64</v>
      </c>
      <c r="E608">
        <v>3</v>
      </c>
      <c r="F608">
        <v>16</v>
      </c>
      <c r="G608">
        <v>0.06</v>
      </c>
      <c r="H608" t="s">
        <v>70</v>
      </c>
      <c r="I608">
        <v>48</v>
      </c>
      <c r="J608">
        <v>3</v>
      </c>
      <c r="K608">
        <v>45.12</v>
      </c>
    </row>
    <row r="609" spans="1:11">
      <c r="A609" t="s">
        <v>672</v>
      </c>
      <c r="B609" s="14">
        <v>43306</v>
      </c>
      <c r="C609" t="s">
        <v>63</v>
      </c>
      <c r="D609" t="s">
        <v>57</v>
      </c>
      <c r="E609">
        <v>11</v>
      </c>
      <c r="F609">
        <v>16</v>
      </c>
      <c r="G609">
        <v>0.04</v>
      </c>
      <c r="H609" t="s">
        <v>72</v>
      </c>
      <c r="I609">
        <v>176</v>
      </c>
      <c r="J609">
        <v>7</v>
      </c>
      <c r="K609">
        <v>168.96</v>
      </c>
    </row>
    <row r="610" spans="1:11">
      <c r="A610" t="s">
        <v>673</v>
      </c>
      <c r="B610" s="14">
        <v>43307</v>
      </c>
      <c r="C610" t="s">
        <v>48</v>
      </c>
      <c r="D610" t="s">
        <v>64</v>
      </c>
      <c r="E610">
        <v>16</v>
      </c>
      <c r="F610">
        <v>40</v>
      </c>
      <c r="G610">
        <v>0.09</v>
      </c>
      <c r="H610" t="s">
        <v>65</v>
      </c>
      <c r="I610">
        <v>640</v>
      </c>
      <c r="J610">
        <v>58</v>
      </c>
      <c r="K610">
        <v>582.4</v>
      </c>
    </row>
    <row r="611" spans="1:11">
      <c r="A611" t="s">
        <v>674</v>
      </c>
      <c r="B611" s="14">
        <v>43307</v>
      </c>
      <c r="C611" t="s">
        <v>48</v>
      </c>
      <c r="D611" t="s">
        <v>57</v>
      </c>
      <c r="E611">
        <v>4</v>
      </c>
      <c r="F611">
        <v>40</v>
      </c>
      <c r="G611">
        <v>0.06</v>
      </c>
      <c r="H611" t="s">
        <v>68</v>
      </c>
      <c r="I611">
        <v>160</v>
      </c>
      <c r="J611">
        <v>10</v>
      </c>
      <c r="K611">
        <v>150.4</v>
      </c>
    </row>
    <row r="612" spans="1:11">
      <c r="A612" t="s">
        <v>675</v>
      </c>
      <c r="B612" s="14">
        <v>43307</v>
      </c>
      <c r="C612" t="s">
        <v>48</v>
      </c>
      <c r="D612" t="s">
        <v>57</v>
      </c>
      <c r="E612">
        <v>20</v>
      </c>
      <c r="F612">
        <v>40</v>
      </c>
      <c r="G612">
        <v>0.01</v>
      </c>
      <c r="H612" t="s">
        <v>70</v>
      </c>
      <c r="I612">
        <v>800</v>
      </c>
      <c r="J612">
        <v>8</v>
      </c>
      <c r="K612">
        <v>792</v>
      </c>
    </row>
    <row r="613" spans="1:11">
      <c r="A613" t="s">
        <v>676</v>
      </c>
      <c r="B613" s="14">
        <v>43307</v>
      </c>
      <c r="C613" t="s">
        <v>48</v>
      </c>
      <c r="D613" t="s">
        <v>57</v>
      </c>
      <c r="E613">
        <v>4</v>
      </c>
      <c r="F613">
        <v>40</v>
      </c>
      <c r="G613">
        <v>0.1</v>
      </c>
      <c r="H613" t="s">
        <v>72</v>
      </c>
      <c r="I613">
        <v>160</v>
      </c>
      <c r="J613">
        <v>16</v>
      </c>
      <c r="K613">
        <v>144</v>
      </c>
    </row>
    <row r="614" spans="1:11">
      <c r="A614" t="s">
        <v>677</v>
      </c>
      <c r="B614" s="14">
        <v>43307</v>
      </c>
      <c r="C614" t="s">
        <v>44</v>
      </c>
      <c r="D614" t="s">
        <v>49</v>
      </c>
      <c r="E614">
        <v>14</v>
      </c>
      <c r="F614">
        <v>80</v>
      </c>
      <c r="G614">
        <v>0.06</v>
      </c>
      <c r="H614" t="s">
        <v>65</v>
      </c>
      <c r="I614">
        <v>1120</v>
      </c>
      <c r="J614">
        <v>67</v>
      </c>
      <c r="K614">
        <v>1052.8</v>
      </c>
    </row>
    <row r="615" spans="1:11">
      <c r="A615" t="s">
        <v>678</v>
      </c>
      <c r="B615" s="14">
        <v>43307</v>
      </c>
      <c r="C615" t="s">
        <v>67</v>
      </c>
      <c r="D615" t="s">
        <v>49</v>
      </c>
      <c r="E615">
        <v>15</v>
      </c>
      <c r="F615">
        <v>150</v>
      </c>
      <c r="G615">
        <v>0.02</v>
      </c>
      <c r="H615" t="s">
        <v>68</v>
      </c>
      <c r="I615">
        <v>2250</v>
      </c>
      <c r="J615">
        <v>45</v>
      </c>
      <c r="K615">
        <v>2205</v>
      </c>
    </row>
    <row r="616" spans="1:11">
      <c r="A616" t="s">
        <v>679</v>
      </c>
      <c r="B616" s="14">
        <v>43307</v>
      </c>
      <c r="C616" t="s">
        <v>44</v>
      </c>
      <c r="D616" t="s">
        <v>57</v>
      </c>
      <c r="E616">
        <v>14</v>
      </c>
      <c r="F616">
        <v>80</v>
      </c>
      <c r="G616">
        <v>0.1</v>
      </c>
      <c r="H616" t="s">
        <v>70</v>
      </c>
      <c r="I616">
        <v>1120</v>
      </c>
      <c r="J616">
        <v>112</v>
      </c>
      <c r="K616">
        <v>1008</v>
      </c>
    </row>
    <row r="617" spans="1:11">
      <c r="A617" t="s">
        <v>680</v>
      </c>
      <c r="B617" s="14">
        <v>43307</v>
      </c>
      <c r="C617" t="s">
        <v>67</v>
      </c>
      <c r="D617" t="s">
        <v>45</v>
      </c>
      <c r="E617">
        <v>20</v>
      </c>
      <c r="F617">
        <v>150</v>
      </c>
      <c r="G617">
        <v>0.04</v>
      </c>
      <c r="H617" t="s">
        <v>72</v>
      </c>
      <c r="I617">
        <v>3000</v>
      </c>
      <c r="J617">
        <v>120</v>
      </c>
      <c r="K617">
        <v>2880</v>
      </c>
    </row>
    <row r="618" spans="1:11">
      <c r="A618" t="s">
        <v>681</v>
      </c>
      <c r="B618" s="14">
        <v>43307</v>
      </c>
      <c r="C618" t="s">
        <v>44</v>
      </c>
      <c r="D618" t="s">
        <v>64</v>
      </c>
      <c r="E618">
        <v>22</v>
      </c>
      <c r="F618">
        <v>80</v>
      </c>
      <c r="G618">
        <v>0.1</v>
      </c>
      <c r="H618" t="s">
        <v>65</v>
      </c>
      <c r="I618">
        <v>1760</v>
      </c>
      <c r="J618">
        <v>176</v>
      </c>
      <c r="K618">
        <v>1584</v>
      </c>
    </row>
    <row r="619" spans="1:11">
      <c r="A619" t="s">
        <v>682</v>
      </c>
      <c r="B619" s="14">
        <v>43307</v>
      </c>
      <c r="C619" t="s">
        <v>52</v>
      </c>
      <c r="D619" t="s">
        <v>64</v>
      </c>
      <c r="E619">
        <v>20</v>
      </c>
      <c r="F619">
        <v>230</v>
      </c>
      <c r="G619">
        <v>0.09</v>
      </c>
      <c r="H619" t="s">
        <v>68</v>
      </c>
      <c r="I619">
        <v>4600</v>
      </c>
      <c r="J619">
        <v>414</v>
      </c>
      <c r="K619">
        <v>4186</v>
      </c>
    </row>
    <row r="620" spans="1:11">
      <c r="A620" t="s">
        <v>683</v>
      </c>
      <c r="B620" s="14">
        <v>43307</v>
      </c>
      <c r="C620" t="s">
        <v>52</v>
      </c>
      <c r="D620" t="s">
        <v>57</v>
      </c>
      <c r="E620">
        <v>12</v>
      </c>
      <c r="F620">
        <v>230</v>
      </c>
      <c r="G620">
        <v>0.03</v>
      </c>
      <c r="H620" t="s">
        <v>70</v>
      </c>
      <c r="I620">
        <v>2760</v>
      </c>
      <c r="J620">
        <v>83</v>
      </c>
      <c r="K620">
        <v>2677.2</v>
      </c>
    </row>
    <row r="621" spans="1:11">
      <c r="A621" t="s">
        <v>684</v>
      </c>
      <c r="B621" s="14">
        <v>43308</v>
      </c>
      <c r="C621" t="s">
        <v>44</v>
      </c>
      <c r="D621" t="s">
        <v>45</v>
      </c>
      <c r="E621">
        <v>21</v>
      </c>
      <c r="F621">
        <v>80</v>
      </c>
      <c r="G621">
        <v>0.04</v>
      </c>
      <c r="H621" t="s">
        <v>72</v>
      </c>
      <c r="I621">
        <v>1680</v>
      </c>
      <c r="J621">
        <v>67</v>
      </c>
      <c r="K621">
        <v>1612.8</v>
      </c>
    </row>
    <row r="622" spans="1:11">
      <c r="A622" t="s">
        <v>685</v>
      </c>
      <c r="B622" s="14">
        <v>43308</v>
      </c>
      <c r="C622" t="s">
        <v>48</v>
      </c>
      <c r="D622" t="s">
        <v>49</v>
      </c>
      <c r="E622">
        <v>15</v>
      </c>
      <c r="F622">
        <v>40</v>
      </c>
      <c r="G622">
        <v>0.04</v>
      </c>
      <c r="H622" t="s">
        <v>65</v>
      </c>
      <c r="I622">
        <v>600</v>
      </c>
      <c r="J622">
        <v>24</v>
      </c>
      <c r="K622">
        <v>576</v>
      </c>
    </row>
    <row r="623" spans="1:11">
      <c r="A623" t="s">
        <v>686</v>
      </c>
      <c r="B623" s="14">
        <v>43308</v>
      </c>
      <c r="C623" t="s">
        <v>44</v>
      </c>
      <c r="D623" t="s">
        <v>60</v>
      </c>
      <c r="E623">
        <v>16</v>
      </c>
      <c r="F623">
        <v>80</v>
      </c>
      <c r="G623">
        <v>0.1</v>
      </c>
      <c r="H623" t="s">
        <v>68</v>
      </c>
      <c r="I623">
        <v>1280</v>
      </c>
      <c r="J623">
        <v>128</v>
      </c>
      <c r="K623">
        <v>1152</v>
      </c>
    </row>
    <row r="624" spans="1:11">
      <c r="A624" t="s">
        <v>687</v>
      </c>
      <c r="B624" s="14">
        <v>43308</v>
      </c>
      <c r="C624" t="s">
        <v>52</v>
      </c>
      <c r="D624" t="s">
        <v>64</v>
      </c>
      <c r="E624">
        <v>17</v>
      </c>
      <c r="F624">
        <v>230</v>
      </c>
      <c r="G624">
        <v>0.11</v>
      </c>
      <c r="H624" t="s">
        <v>70</v>
      </c>
      <c r="I624">
        <v>3910</v>
      </c>
      <c r="J624">
        <v>430</v>
      </c>
      <c r="K624">
        <v>3479.9</v>
      </c>
    </row>
    <row r="625" spans="1:11">
      <c r="A625" t="s">
        <v>688</v>
      </c>
      <c r="B625" s="14">
        <v>43308</v>
      </c>
      <c r="C625" t="s">
        <v>52</v>
      </c>
      <c r="D625" t="s">
        <v>64</v>
      </c>
      <c r="E625">
        <v>5</v>
      </c>
      <c r="F625">
        <v>230</v>
      </c>
      <c r="G625">
        <v>0.12</v>
      </c>
      <c r="H625" t="s">
        <v>72</v>
      </c>
      <c r="I625">
        <v>1150</v>
      </c>
      <c r="J625">
        <v>138</v>
      </c>
      <c r="K625">
        <v>1012</v>
      </c>
    </row>
    <row r="626" spans="1:11">
      <c r="A626" t="s">
        <v>689</v>
      </c>
      <c r="B626" s="14">
        <v>43308</v>
      </c>
      <c r="C626" t="s">
        <v>63</v>
      </c>
      <c r="D626" t="s">
        <v>45</v>
      </c>
      <c r="E626">
        <v>20</v>
      </c>
      <c r="F626">
        <v>16</v>
      </c>
      <c r="G626">
        <v>0.01</v>
      </c>
      <c r="H626" t="s">
        <v>65</v>
      </c>
      <c r="I626">
        <v>320</v>
      </c>
      <c r="J626">
        <v>3</v>
      </c>
      <c r="K626">
        <v>316.8</v>
      </c>
    </row>
    <row r="627" spans="1:11">
      <c r="A627" t="s">
        <v>690</v>
      </c>
      <c r="B627" s="14">
        <v>43308</v>
      </c>
      <c r="C627" t="s">
        <v>52</v>
      </c>
      <c r="D627" t="s">
        <v>45</v>
      </c>
      <c r="E627">
        <v>5</v>
      </c>
      <c r="F627">
        <v>230</v>
      </c>
      <c r="G627">
        <v>0.1</v>
      </c>
      <c r="H627" t="s">
        <v>68</v>
      </c>
      <c r="I627">
        <v>1150</v>
      </c>
      <c r="J627">
        <v>115</v>
      </c>
      <c r="K627">
        <v>1035</v>
      </c>
    </row>
    <row r="628" spans="1:11">
      <c r="A628" t="s">
        <v>691</v>
      </c>
      <c r="B628" s="14">
        <v>43308</v>
      </c>
      <c r="C628" t="s">
        <v>48</v>
      </c>
      <c r="D628" t="s">
        <v>49</v>
      </c>
      <c r="E628">
        <v>8</v>
      </c>
      <c r="F628">
        <v>40</v>
      </c>
      <c r="G628">
        <v>0.09</v>
      </c>
      <c r="H628" t="s">
        <v>70</v>
      </c>
      <c r="I628">
        <v>320</v>
      </c>
      <c r="J628">
        <v>29</v>
      </c>
      <c r="K628">
        <v>291.2</v>
      </c>
    </row>
    <row r="629" spans="1:11">
      <c r="A629" t="s">
        <v>692</v>
      </c>
      <c r="B629" s="14">
        <v>43308</v>
      </c>
      <c r="C629" t="s">
        <v>63</v>
      </c>
      <c r="D629" t="s">
        <v>45</v>
      </c>
      <c r="E629">
        <v>7</v>
      </c>
      <c r="F629">
        <v>16</v>
      </c>
      <c r="G629">
        <v>0.02</v>
      </c>
      <c r="H629" t="s">
        <v>72</v>
      </c>
      <c r="I629">
        <v>112</v>
      </c>
      <c r="J629">
        <v>2</v>
      </c>
      <c r="K629">
        <v>109.76</v>
      </c>
    </row>
    <row r="630" spans="1:11">
      <c r="A630" t="s">
        <v>693</v>
      </c>
      <c r="B630" s="14">
        <v>43308</v>
      </c>
      <c r="C630" t="s">
        <v>67</v>
      </c>
      <c r="D630" t="s">
        <v>60</v>
      </c>
      <c r="E630">
        <v>15</v>
      </c>
      <c r="F630">
        <v>150</v>
      </c>
      <c r="G630">
        <v>0.08</v>
      </c>
      <c r="H630" t="s">
        <v>65</v>
      </c>
      <c r="I630">
        <v>2250</v>
      </c>
      <c r="J630">
        <v>180</v>
      </c>
      <c r="K630">
        <v>2070</v>
      </c>
    </row>
    <row r="631" spans="1:11">
      <c r="A631" t="s">
        <v>694</v>
      </c>
      <c r="B631" s="14">
        <v>43308</v>
      </c>
      <c r="C631" t="s">
        <v>52</v>
      </c>
      <c r="D631" t="s">
        <v>64</v>
      </c>
      <c r="E631">
        <v>20</v>
      </c>
      <c r="F631">
        <v>230</v>
      </c>
      <c r="G631">
        <v>0.11</v>
      </c>
      <c r="H631" t="s">
        <v>68</v>
      </c>
      <c r="I631">
        <v>4600</v>
      </c>
      <c r="J631">
        <v>506</v>
      </c>
      <c r="K631">
        <v>4094</v>
      </c>
    </row>
    <row r="632" spans="1:11">
      <c r="A632" t="s">
        <v>695</v>
      </c>
      <c r="B632" s="14">
        <v>43308</v>
      </c>
      <c r="C632" t="s">
        <v>63</v>
      </c>
      <c r="D632" t="s">
        <v>49</v>
      </c>
      <c r="E632">
        <v>4</v>
      </c>
      <c r="F632">
        <v>16</v>
      </c>
      <c r="G632">
        <v>0.09</v>
      </c>
      <c r="H632" t="s">
        <v>70</v>
      </c>
      <c r="I632">
        <v>64</v>
      </c>
      <c r="J632">
        <v>6</v>
      </c>
      <c r="K632">
        <v>58.24</v>
      </c>
    </row>
    <row r="633" spans="1:11">
      <c r="A633" t="s">
        <v>696</v>
      </c>
      <c r="B633" s="14">
        <v>43308</v>
      </c>
      <c r="C633" t="s">
        <v>48</v>
      </c>
      <c r="D633" t="s">
        <v>60</v>
      </c>
      <c r="E633">
        <v>11</v>
      </c>
      <c r="F633">
        <v>40</v>
      </c>
      <c r="G633">
        <v>0.09</v>
      </c>
      <c r="H633" t="s">
        <v>72</v>
      </c>
      <c r="I633">
        <v>440</v>
      </c>
      <c r="J633">
        <v>40</v>
      </c>
      <c r="K633">
        <v>400.4</v>
      </c>
    </row>
    <row r="634" spans="1:11">
      <c r="A634" t="s">
        <v>697</v>
      </c>
      <c r="B634" s="14">
        <v>43308</v>
      </c>
      <c r="C634" t="s">
        <v>67</v>
      </c>
      <c r="D634" t="s">
        <v>57</v>
      </c>
      <c r="E634">
        <v>15</v>
      </c>
      <c r="F634">
        <v>150</v>
      </c>
      <c r="G634">
        <v>0.05</v>
      </c>
      <c r="H634" t="s">
        <v>65</v>
      </c>
      <c r="I634">
        <v>2250</v>
      </c>
      <c r="J634">
        <v>112</v>
      </c>
      <c r="K634">
        <v>2137.5</v>
      </c>
    </row>
    <row r="635" spans="1:11">
      <c r="A635" t="s">
        <v>698</v>
      </c>
      <c r="B635" s="14">
        <v>43308</v>
      </c>
      <c r="C635" t="s">
        <v>52</v>
      </c>
      <c r="D635" t="s">
        <v>57</v>
      </c>
      <c r="E635">
        <v>5</v>
      </c>
      <c r="F635">
        <v>230</v>
      </c>
      <c r="G635">
        <v>0.01</v>
      </c>
      <c r="H635" t="s">
        <v>68</v>
      </c>
      <c r="I635">
        <v>1150</v>
      </c>
      <c r="J635">
        <v>12</v>
      </c>
      <c r="K635">
        <v>1138.5</v>
      </c>
    </row>
    <row r="636" spans="1:11">
      <c r="A636" t="s">
        <v>699</v>
      </c>
      <c r="B636" s="14">
        <v>43308</v>
      </c>
      <c r="C636" t="s">
        <v>52</v>
      </c>
      <c r="D636" t="s">
        <v>57</v>
      </c>
      <c r="E636">
        <v>14</v>
      </c>
      <c r="F636">
        <v>230</v>
      </c>
      <c r="G636">
        <v>0.03</v>
      </c>
      <c r="H636" t="s">
        <v>70</v>
      </c>
      <c r="I636">
        <v>3220</v>
      </c>
      <c r="J636">
        <v>97</v>
      </c>
      <c r="K636">
        <v>3123.4</v>
      </c>
    </row>
    <row r="637" spans="1:11">
      <c r="A637" t="s">
        <v>700</v>
      </c>
      <c r="B637" s="14">
        <v>43308</v>
      </c>
      <c r="C637" t="s">
        <v>48</v>
      </c>
      <c r="D637" t="s">
        <v>64</v>
      </c>
      <c r="E637">
        <v>23</v>
      </c>
      <c r="F637">
        <v>40</v>
      </c>
      <c r="G637">
        <v>0.05</v>
      </c>
      <c r="H637" t="s">
        <v>72</v>
      </c>
      <c r="I637">
        <v>920</v>
      </c>
      <c r="J637">
        <v>46</v>
      </c>
      <c r="K637">
        <v>874</v>
      </c>
    </row>
    <row r="638" spans="1:11">
      <c r="A638" t="s">
        <v>701</v>
      </c>
      <c r="B638" s="14">
        <v>43308</v>
      </c>
      <c r="C638" t="s">
        <v>44</v>
      </c>
      <c r="D638" t="s">
        <v>60</v>
      </c>
      <c r="E638">
        <v>22</v>
      </c>
      <c r="F638">
        <v>80</v>
      </c>
      <c r="G638">
        <v>0.03</v>
      </c>
      <c r="H638" t="s">
        <v>65</v>
      </c>
      <c r="I638">
        <v>1760</v>
      </c>
      <c r="J638">
        <v>53</v>
      </c>
      <c r="K638">
        <v>1707.2</v>
      </c>
    </row>
    <row r="639" spans="1:11">
      <c r="A639" t="s">
        <v>702</v>
      </c>
      <c r="B639" s="14">
        <v>43309</v>
      </c>
      <c r="C639" t="s">
        <v>52</v>
      </c>
      <c r="D639" t="s">
        <v>57</v>
      </c>
      <c r="E639">
        <v>20</v>
      </c>
      <c r="F639">
        <v>230</v>
      </c>
      <c r="G639">
        <v>0.06</v>
      </c>
      <c r="H639" t="s">
        <v>68</v>
      </c>
      <c r="I639">
        <v>4600</v>
      </c>
      <c r="J639">
        <v>276</v>
      </c>
      <c r="K639">
        <v>4324</v>
      </c>
    </row>
    <row r="640" spans="1:11">
      <c r="A640" t="s">
        <v>703</v>
      </c>
      <c r="B640" s="14">
        <v>43309</v>
      </c>
      <c r="C640" t="s">
        <v>52</v>
      </c>
      <c r="D640" t="s">
        <v>49</v>
      </c>
      <c r="E640">
        <v>15</v>
      </c>
      <c r="F640">
        <v>230</v>
      </c>
      <c r="G640">
        <v>0.09</v>
      </c>
      <c r="H640" t="s">
        <v>70</v>
      </c>
      <c r="I640">
        <v>3450</v>
      </c>
      <c r="J640">
        <v>310</v>
      </c>
      <c r="K640">
        <v>3139.5</v>
      </c>
    </row>
    <row r="641" spans="1:11">
      <c r="A641" t="s">
        <v>704</v>
      </c>
      <c r="B641" s="14">
        <v>43309</v>
      </c>
      <c r="C641" t="s">
        <v>67</v>
      </c>
      <c r="D641" t="s">
        <v>57</v>
      </c>
      <c r="E641">
        <v>18</v>
      </c>
      <c r="F641">
        <v>150</v>
      </c>
      <c r="G641">
        <v>0.06</v>
      </c>
      <c r="H641" t="s">
        <v>72</v>
      </c>
      <c r="I641">
        <v>2700</v>
      </c>
      <c r="J641">
        <v>162</v>
      </c>
      <c r="K641">
        <v>2538</v>
      </c>
    </row>
    <row r="642" spans="1:11">
      <c r="A642" t="s">
        <v>705</v>
      </c>
      <c r="B642" s="14">
        <v>43309</v>
      </c>
      <c r="C642" t="s">
        <v>52</v>
      </c>
      <c r="D642" t="s">
        <v>45</v>
      </c>
      <c r="E642">
        <v>3</v>
      </c>
      <c r="F642">
        <v>230</v>
      </c>
      <c r="G642">
        <v>0.11</v>
      </c>
      <c r="H642" t="s">
        <v>65</v>
      </c>
      <c r="I642">
        <v>690</v>
      </c>
      <c r="J642">
        <v>76</v>
      </c>
      <c r="K642">
        <v>614.1</v>
      </c>
    </row>
    <row r="643" spans="1:11">
      <c r="A643" t="s">
        <v>706</v>
      </c>
      <c r="B643" s="14">
        <v>43309</v>
      </c>
      <c r="C643" t="s">
        <v>67</v>
      </c>
      <c r="D643" t="s">
        <v>64</v>
      </c>
      <c r="E643">
        <v>11</v>
      </c>
      <c r="F643">
        <v>150</v>
      </c>
      <c r="G643">
        <v>0.09</v>
      </c>
      <c r="H643" t="s">
        <v>68</v>
      </c>
      <c r="I643">
        <v>1650</v>
      </c>
      <c r="J643">
        <v>148</v>
      </c>
      <c r="K643">
        <v>1501.5</v>
      </c>
    </row>
    <row r="644" spans="1:11">
      <c r="A644" t="s">
        <v>707</v>
      </c>
      <c r="B644" s="14">
        <v>43309</v>
      </c>
      <c r="C644" t="s">
        <v>52</v>
      </c>
      <c r="D644" t="s">
        <v>45</v>
      </c>
      <c r="E644">
        <v>11</v>
      </c>
      <c r="F644">
        <v>230</v>
      </c>
      <c r="G644">
        <v>0.02</v>
      </c>
      <c r="H644" t="s">
        <v>70</v>
      </c>
      <c r="I644">
        <v>2530</v>
      </c>
      <c r="J644">
        <v>51</v>
      </c>
      <c r="K644">
        <v>2479.4</v>
      </c>
    </row>
    <row r="645" spans="1:11">
      <c r="A645" t="s">
        <v>708</v>
      </c>
      <c r="B645" s="14">
        <v>43309</v>
      </c>
      <c r="C645" t="s">
        <v>52</v>
      </c>
      <c r="D645" t="s">
        <v>64</v>
      </c>
      <c r="E645">
        <v>13</v>
      </c>
      <c r="F645">
        <v>230</v>
      </c>
      <c r="G645">
        <v>0.06</v>
      </c>
      <c r="H645" t="s">
        <v>72</v>
      </c>
      <c r="I645">
        <v>2990</v>
      </c>
      <c r="J645">
        <v>179</v>
      </c>
      <c r="K645">
        <v>2810.6</v>
      </c>
    </row>
    <row r="646" spans="1:11">
      <c r="A646" t="s">
        <v>709</v>
      </c>
      <c r="B646" s="14">
        <v>43310</v>
      </c>
      <c r="C646" t="s">
        <v>44</v>
      </c>
      <c r="D646" t="s">
        <v>60</v>
      </c>
      <c r="E646">
        <v>11</v>
      </c>
      <c r="F646">
        <v>80</v>
      </c>
      <c r="G646">
        <v>0.01</v>
      </c>
      <c r="H646" t="s">
        <v>65</v>
      </c>
      <c r="I646">
        <v>880</v>
      </c>
      <c r="J646">
        <v>9</v>
      </c>
      <c r="K646">
        <v>871.2</v>
      </c>
    </row>
    <row r="647" spans="1:11">
      <c r="A647" t="s">
        <v>710</v>
      </c>
      <c r="B647" s="14">
        <v>43310</v>
      </c>
      <c r="C647" t="s">
        <v>44</v>
      </c>
      <c r="D647" t="s">
        <v>64</v>
      </c>
      <c r="E647">
        <v>17</v>
      </c>
      <c r="F647">
        <v>80</v>
      </c>
      <c r="G647">
        <v>0.07</v>
      </c>
      <c r="H647" t="s">
        <v>68</v>
      </c>
      <c r="I647">
        <v>1360</v>
      </c>
      <c r="J647">
        <v>95</v>
      </c>
      <c r="K647">
        <v>1264.8</v>
      </c>
    </row>
    <row r="648" spans="1:11">
      <c r="A648" t="s">
        <v>711</v>
      </c>
      <c r="B648" s="14">
        <v>43310</v>
      </c>
      <c r="C648" t="s">
        <v>67</v>
      </c>
      <c r="D648" t="s">
        <v>64</v>
      </c>
      <c r="E648">
        <v>15</v>
      </c>
      <c r="F648">
        <v>150</v>
      </c>
      <c r="G648">
        <v>0.07</v>
      </c>
      <c r="H648" t="s">
        <v>70</v>
      </c>
      <c r="I648">
        <v>2250</v>
      </c>
      <c r="J648">
        <v>158</v>
      </c>
      <c r="K648">
        <v>2092.5</v>
      </c>
    </row>
    <row r="649" spans="1:11">
      <c r="A649" t="s">
        <v>712</v>
      </c>
      <c r="B649" s="14">
        <v>43310</v>
      </c>
      <c r="C649" t="s">
        <v>63</v>
      </c>
      <c r="D649" t="s">
        <v>64</v>
      </c>
      <c r="E649">
        <v>14</v>
      </c>
      <c r="F649">
        <v>16</v>
      </c>
      <c r="G649">
        <v>0.06</v>
      </c>
      <c r="H649" t="s">
        <v>72</v>
      </c>
      <c r="I649">
        <v>224</v>
      </c>
      <c r="J649">
        <v>13</v>
      </c>
      <c r="K649">
        <v>210.56</v>
      </c>
    </row>
    <row r="650" spans="1:11">
      <c r="A650" t="s">
        <v>713</v>
      </c>
      <c r="B650" s="14">
        <v>43310</v>
      </c>
      <c r="C650" t="s">
        <v>63</v>
      </c>
      <c r="D650" t="s">
        <v>49</v>
      </c>
      <c r="E650">
        <v>4</v>
      </c>
      <c r="F650">
        <v>16</v>
      </c>
      <c r="G650">
        <v>0.07</v>
      </c>
      <c r="H650" t="s">
        <v>65</v>
      </c>
      <c r="I650">
        <v>64</v>
      </c>
      <c r="J650">
        <v>4</v>
      </c>
      <c r="K650">
        <v>59.52</v>
      </c>
    </row>
    <row r="651" spans="1:11">
      <c r="A651" t="s">
        <v>714</v>
      </c>
      <c r="B651" s="14">
        <v>43310</v>
      </c>
      <c r="C651" t="s">
        <v>67</v>
      </c>
      <c r="D651" t="s">
        <v>64</v>
      </c>
      <c r="E651">
        <v>23</v>
      </c>
      <c r="F651">
        <v>150</v>
      </c>
      <c r="G651">
        <v>0.08</v>
      </c>
      <c r="H651" t="s">
        <v>68</v>
      </c>
      <c r="I651">
        <v>3450</v>
      </c>
      <c r="J651">
        <v>276</v>
      </c>
      <c r="K651">
        <v>3174</v>
      </c>
    </row>
    <row r="652" spans="1:11">
      <c r="A652" t="s">
        <v>715</v>
      </c>
      <c r="B652" s="14">
        <v>43310</v>
      </c>
      <c r="C652" t="s">
        <v>44</v>
      </c>
      <c r="D652" t="s">
        <v>57</v>
      </c>
      <c r="E652">
        <v>10</v>
      </c>
      <c r="F652">
        <v>80</v>
      </c>
      <c r="G652">
        <v>0.11</v>
      </c>
      <c r="H652" t="s">
        <v>70</v>
      </c>
      <c r="I652">
        <v>800</v>
      </c>
      <c r="J652">
        <v>88</v>
      </c>
      <c r="K652">
        <v>712</v>
      </c>
    </row>
    <row r="653" spans="1:11">
      <c r="A653" t="s">
        <v>716</v>
      </c>
      <c r="B653" s="14">
        <v>43310</v>
      </c>
      <c r="C653" t="s">
        <v>52</v>
      </c>
      <c r="D653" t="s">
        <v>57</v>
      </c>
      <c r="E653">
        <v>7</v>
      </c>
      <c r="F653">
        <v>230</v>
      </c>
      <c r="G653">
        <v>0.01</v>
      </c>
      <c r="H653" t="s">
        <v>72</v>
      </c>
      <c r="I653">
        <v>1610</v>
      </c>
      <c r="J653">
        <v>16</v>
      </c>
      <c r="K653">
        <v>1593.9</v>
      </c>
    </row>
    <row r="654" spans="1:11">
      <c r="A654" t="s">
        <v>717</v>
      </c>
      <c r="B654" s="14">
        <v>43310</v>
      </c>
      <c r="C654" t="s">
        <v>52</v>
      </c>
      <c r="D654" t="s">
        <v>45</v>
      </c>
      <c r="E654">
        <v>16</v>
      </c>
      <c r="F654">
        <v>230</v>
      </c>
      <c r="G654">
        <v>0.07</v>
      </c>
      <c r="H654" t="s">
        <v>65</v>
      </c>
      <c r="I654">
        <v>3680</v>
      </c>
      <c r="J654">
        <v>258</v>
      </c>
      <c r="K654">
        <v>3422.4</v>
      </c>
    </row>
    <row r="655" spans="1:11">
      <c r="A655" t="s">
        <v>718</v>
      </c>
      <c r="B655" s="14">
        <v>43310</v>
      </c>
      <c r="C655" t="s">
        <v>63</v>
      </c>
      <c r="D655" t="s">
        <v>64</v>
      </c>
      <c r="E655">
        <v>17</v>
      </c>
      <c r="F655">
        <v>16</v>
      </c>
      <c r="G655">
        <v>0.08</v>
      </c>
      <c r="H655" t="s">
        <v>68</v>
      </c>
      <c r="I655">
        <v>272</v>
      </c>
      <c r="J655">
        <v>22</v>
      </c>
      <c r="K655">
        <v>250.24</v>
      </c>
    </row>
    <row r="656" spans="1:11">
      <c r="A656" t="s">
        <v>719</v>
      </c>
      <c r="B656" s="14">
        <v>43311</v>
      </c>
      <c r="C656" t="s">
        <v>44</v>
      </c>
      <c r="D656" t="s">
        <v>64</v>
      </c>
      <c r="E656">
        <v>6</v>
      </c>
      <c r="F656">
        <v>80</v>
      </c>
      <c r="G656">
        <v>0.09</v>
      </c>
      <c r="H656" t="s">
        <v>70</v>
      </c>
      <c r="I656">
        <v>480</v>
      </c>
      <c r="J656">
        <v>43</v>
      </c>
      <c r="K656">
        <v>436.8</v>
      </c>
    </row>
    <row r="657" spans="1:11">
      <c r="A657" t="s">
        <v>720</v>
      </c>
      <c r="B657" s="14">
        <v>43311</v>
      </c>
      <c r="C657" t="s">
        <v>67</v>
      </c>
      <c r="D657" t="s">
        <v>57</v>
      </c>
      <c r="E657">
        <v>22</v>
      </c>
      <c r="F657">
        <v>150</v>
      </c>
      <c r="G657">
        <v>0.04</v>
      </c>
      <c r="H657" t="s">
        <v>72</v>
      </c>
      <c r="I657">
        <v>3300</v>
      </c>
      <c r="J657">
        <v>132</v>
      </c>
      <c r="K657">
        <v>3168</v>
      </c>
    </row>
    <row r="658" spans="1:11">
      <c r="A658" t="s">
        <v>721</v>
      </c>
      <c r="B658" s="14">
        <v>43311</v>
      </c>
      <c r="C658" t="s">
        <v>48</v>
      </c>
      <c r="D658" t="s">
        <v>64</v>
      </c>
      <c r="E658">
        <v>20</v>
      </c>
      <c r="F658">
        <v>40</v>
      </c>
      <c r="G658">
        <v>0.03</v>
      </c>
      <c r="H658" t="s">
        <v>65</v>
      </c>
      <c r="I658">
        <v>800</v>
      </c>
      <c r="J658">
        <v>24</v>
      </c>
      <c r="K658">
        <v>776</v>
      </c>
    </row>
    <row r="659" spans="1:11">
      <c r="A659" t="s">
        <v>722</v>
      </c>
      <c r="B659" s="14">
        <v>43311</v>
      </c>
      <c r="C659" t="s">
        <v>67</v>
      </c>
      <c r="D659" t="s">
        <v>49</v>
      </c>
      <c r="E659">
        <v>16</v>
      </c>
      <c r="F659">
        <v>150</v>
      </c>
      <c r="G659">
        <v>0.08</v>
      </c>
      <c r="H659" t="s">
        <v>68</v>
      </c>
      <c r="I659">
        <v>2400</v>
      </c>
      <c r="J659">
        <v>192</v>
      </c>
      <c r="K659">
        <v>2208</v>
      </c>
    </row>
    <row r="660" spans="1:11">
      <c r="A660" t="s">
        <v>723</v>
      </c>
      <c r="B660" s="14">
        <v>43311</v>
      </c>
      <c r="C660" t="s">
        <v>44</v>
      </c>
      <c r="D660" t="s">
        <v>49</v>
      </c>
      <c r="E660">
        <v>5</v>
      </c>
      <c r="F660">
        <v>80</v>
      </c>
      <c r="G660">
        <v>0.07</v>
      </c>
      <c r="H660" t="s">
        <v>70</v>
      </c>
      <c r="I660">
        <v>400</v>
      </c>
      <c r="J660">
        <v>28</v>
      </c>
      <c r="K660">
        <v>372</v>
      </c>
    </row>
    <row r="661" spans="1:11">
      <c r="A661" t="s">
        <v>724</v>
      </c>
      <c r="B661" s="14">
        <v>43311</v>
      </c>
      <c r="C661" t="s">
        <v>67</v>
      </c>
      <c r="D661" t="s">
        <v>60</v>
      </c>
      <c r="E661">
        <v>6</v>
      </c>
      <c r="F661">
        <v>150</v>
      </c>
      <c r="G661">
        <v>0.03</v>
      </c>
      <c r="H661" t="s">
        <v>72</v>
      </c>
      <c r="I661">
        <v>900</v>
      </c>
      <c r="J661">
        <v>27</v>
      </c>
      <c r="K661">
        <v>873</v>
      </c>
    </row>
    <row r="662" spans="1:11">
      <c r="A662" t="s">
        <v>725</v>
      </c>
      <c r="B662" s="14">
        <v>43312</v>
      </c>
      <c r="C662" t="s">
        <v>44</v>
      </c>
      <c r="D662" t="s">
        <v>49</v>
      </c>
      <c r="E662">
        <v>9</v>
      </c>
      <c r="F662">
        <v>80</v>
      </c>
      <c r="G662">
        <v>0.03</v>
      </c>
      <c r="H662" t="s">
        <v>65</v>
      </c>
      <c r="I662">
        <v>720</v>
      </c>
      <c r="J662">
        <v>22</v>
      </c>
      <c r="K662">
        <v>698.4</v>
      </c>
    </row>
    <row r="663" spans="1:11">
      <c r="A663" t="s">
        <v>726</v>
      </c>
      <c r="B663" s="14">
        <v>43312</v>
      </c>
      <c r="C663" t="s">
        <v>44</v>
      </c>
      <c r="D663" t="s">
        <v>45</v>
      </c>
      <c r="E663">
        <v>8</v>
      </c>
      <c r="F663">
        <v>80</v>
      </c>
      <c r="G663">
        <v>0.08</v>
      </c>
      <c r="H663" t="s">
        <v>68</v>
      </c>
      <c r="I663">
        <v>640</v>
      </c>
      <c r="J663">
        <v>51</v>
      </c>
      <c r="K663">
        <v>588.8</v>
      </c>
    </row>
    <row r="664" spans="1:11">
      <c r="A664" t="s">
        <v>727</v>
      </c>
      <c r="B664" s="14">
        <v>43312</v>
      </c>
      <c r="C664" t="s">
        <v>52</v>
      </c>
      <c r="D664" t="s">
        <v>60</v>
      </c>
      <c r="E664">
        <v>8</v>
      </c>
      <c r="F664">
        <v>230</v>
      </c>
      <c r="G664">
        <v>0.01</v>
      </c>
      <c r="H664" t="s">
        <v>70</v>
      </c>
      <c r="I664">
        <v>1840</v>
      </c>
      <c r="J664">
        <v>18</v>
      </c>
      <c r="K664">
        <v>1821.6</v>
      </c>
    </row>
    <row r="665" spans="1:11">
      <c r="A665" t="s">
        <v>728</v>
      </c>
      <c r="B665" s="14">
        <v>43312</v>
      </c>
      <c r="C665" t="s">
        <v>63</v>
      </c>
      <c r="D665" t="s">
        <v>64</v>
      </c>
      <c r="E665">
        <v>12</v>
      </c>
      <c r="F665">
        <v>16</v>
      </c>
      <c r="G665">
        <v>0.04</v>
      </c>
      <c r="H665" t="s">
        <v>72</v>
      </c>
      <c r="I665">
        <v>192</v>
      </c>
      <c r="J665">
        <v>8</v>
      </c>
      <c r="K665">
        <v>184.32</v>
      </c>
    </row>
    <row r="666" spans="1:11">
      <c r="A666" t="s">
        <v>729</v>
      </c>
      <c r="B666" s="14">
        <v>43312</v>
      </c>
      <c r="C666" t="s">
        <v>63</v>
      </c>
      <c r="D666" t="s">
        <v>60</v>
      </c>
      <c r="E666">
        <v>18</v>
      </c>
      <c r="F666">
        <v>16</v>
      </c>
      <c r="G666">
        <v>0.04</v>
      </c>
      <c r="H666" t="s">
        <v>65</v>
      </c>
      <c r="I666">
        <v>288</v>
      </c>
      <c r="J666">
        <v>12</v>
      </c>
      <c r="K666">
        <v>276.48</v>
      </c>
    </row>
    <row r="667" spans="1:11">
      <c r="A667" t="s">
        <v>730</v>
      </c>
      <c r="B667" s="14">
        <v>43282</v>
      </c>
      <c r="C667" t="s">
        <v>63</v>
      </c>
      <c r="D667" t="s">
        <v>60</v>
      </c>
      <c r="E667">
        <v>10</v>
      </c>
      <c r="F667">
        <v>16</v>
      </c>
      <c r="G667">
        <v>0.01</v>
      </c>
      <c r="H667" t="s">
        <v>68</v>
      </c>
      <c r="I667">
        <v>160</v>
      </c>
      <c r="J667">
        <v>2</v>
      </c>
      <c r="K667">
        <v>158.4</v>
      </c>
    </row>
    <row r="668" spans="1:11">
      <c r="A668" t="s">
        <v>731</v>
      </c>
      <c r="B668" s="14">
        <v>43282</v>
      </c>
      <c r="C668" t="s">
        <v>63</v>
      </c>
      <c r="D668" t="s">
        <v>60</v>
      </c>
      <c r="E668">
        <v>14</v>
      </c>
      <c r="F668">
        <v>16</v>
      </c>
      <c r="G668">
        <v>0.12</v>
      </c>
      <c r="H668" t="s">
        <v>70</v>
      </c>
      <c r="I668">
        <v>224</v>
      </c>
      <c r="J668">
        <v>27</v>
      </c>
      <c r="K668">
        <v>197.12</v>
      </c>
    </row>
    <row r="669" spans="1:11">
      <c r="A669" t="s">
        <v>732</v>
      </c>
      <c r="B669" s="14">
        <v>43282</v>
      </c>
      <c r="C669" t="s">
        <v>48</v>
      </c>
      <c r="D669" t="s">
        <v>57</v>
      </c>
      <c r="E669">
        <v>6</v>
      </c>
      <c r="F669">
        <v>40</v>
      </c>
      <c r="G669">
        <v>0.06</v>
      </c>
      <c r="H669" t="s">
        <v>72</v>
      </c>
      <c r="I669">
        <v>240</v>
      </c>
      <c r="J669">
        <v>14</v>
      </c>
      <c r="K669">
        <v>225.6</v>
      </c>
    </row>
    <row r="670" spans="1:11">
      <c r="A670" t="s">
        <v>733</v>
      </c>
      <c r="B670" s="14">
        <v>43282</v>
      </c>
      <c r="C670" t="s">
        <v>48</v>
      </c>
      <c r="D670" t="s">
        <v>60</v>
      </c>
      <c r="E670">
        <v>13</v>
      </c>
      <c r="F670">
        <v>40</v>
      </c>
      <c r="G670">
        <v>0.09</v>
      </c>
      <c r="H670" t="s">
        <v>65</v>
      </c>
      <c r="I670">
        <v>520</v>
      </c>
      <c r="J670">
        <v>47</v>
      </c>
      <c r="K670">
        <v>473.2</v>
      </c>
    </row>
    <row r="671" spans="1:11">
      <c r="A671" t="s">
        <v>734</v>
      </c>
      <c r="B671" s="14">
        <v>43282</v>
      </c>
      <c r="C671" t="s">
        <v>63</v>
      </c>
      <c r="D671" t="s">
        <v>60</v>
      </c>
      <c r="E671">
        <v>10</v>
      </c>
      <c r="F671">
        <v>16</v>
      </c>
      <c r="G671">
        <v>0.04</v>
      </c>
      <c r="H671" t="s">
        <v>68</v>
      </c>
      <c r="I671">
        <v>160</v>
      </c>
      <c r="J671">
        <v>6</v>
      </c>
      <c r="K671">
        <v>153.6</v>
      </c>
    </row>
    <row r="672" spans="1:11">
      <c r="A672" t="s">
        <v>735</v>
      </c>
      <c r="B672" s="14">
        <v>43282</v>
      </c>
      <c r="C672" t="s">
        <v>44</v>
      </c>
      <c r="D672" t="s">
        <v>49</v>
      </c>
      <c r="E672">
        <v>14</v>
      </c>
      <c r="F672">
        <v>80</v>
      </c>
      <c r="G672">
        <v>0.11</v>
      </c>
      <c r="H672" t="s">
        <v>70</v>
      </c>
      <c r="I672">
        <v>1120</v>
      </c>
      <c r="J672">
        <v>123</v>
      </c>
      <c r="K672">
        <v>996.8</v>
      </c>
    </row>
    <row r="673" spans="1:11">
      <c r="A673" t="s">
        <v>736</v>
      </c>
      <c r="B673" s="14">
        <v>43282</v>
      </c>
      <c r="C673" t="s">
        <v>48</v>
      </c>
      <c r="D673" t="s">
        <v>49</v>
      </c>
      <c r="E673">
        <v>4</v>
      </c>
      <c r="F673">
        <v>40</v>
      </c>
      <c r="G673">
        <v>0.06</v>
      </c>
      <c r="H673" t="s">
        <v>72</v>
      </c>
      <c r="I673">
        <v>160</v>
      </c>
      <c r="J673">
        <v>10</v>
      </c>
      <c r="K673">
        <v>150.4</v>
      </c>
    </row>
    <row r="674" spans="1:11">
      <c r="A674" t="s">
        <v>737</v>
      </c>
      <c r="B674" s="14">
        <v>43282</v>
      </c>
      <c r="C674" t="s">
        <v>48</v>
      </c>
      <c r="D674" t="s">
        <v>57</v>
      </c>
      <c r="E674">
        <v>11</v>
      </c>
      <c r="F674">
        <v>40</v>
      </c>
      <c r="G674">
        <v>0.05</v>
      </c>
      <c r="H674" t="s">
        <v>65</v>
      </c>
      <c r="I674">
        <v>440</v>
      </c>
      <c r="J674">
        <v>22</v>
      </c>
      <c r="K674">
        <v>418</v>
      </c>
    </row>
    <row r="675" spans="1:11">
      <c r="A675" t="s">
        <v>738</v>
      </c>
      <c r="B675" s="14">
        <v>43282</v>
      </c>
      <c r="C675" t="s">
        <v>63</v>
      </c>
      <c r="D675" t="s">
        <v>57</v>
      </c>
      <c r="E675">
        <v>14</v>
      </c>
      <c r="F675">
        <v>16</v>
      </c>
      <c r="G675">
        <v>0.01</v>
      </c>
      <c r="H675" t="s">
        <v>68</v>
      </c>
      <c r="I675">
        <v>224</v>
      </c>
      <c r="J675">
        <v>2</v>
      </c>
      <c r="K675">
        <v>221.76</v>
      </c>
    </row>
    <row r="676" spans="1:11">
      <c r="A676" t="s">
        <v>739</v>
      </c>
      <c r="B676" s="14">
        <v>43282</v>
      </c>
      <c r="C676" t="s">
        <v>67</v>
      </c>
      <c r="D676" t="s">
        <v>45</v>
      </c>
      <c r="E676">
        <v>20</v>
      </c>
      <c r="F676">
        <v>150</v>
      </c>
      <c r="G676">
        <v>0.04</v>
      </c>
      <c r="H676" t="s">
        <v>70</v>
      </c>
      <c r="I676">
        <v>3000</v>
      </c>
      <c r="J676">
        <v>120</v>
      </c>
      <c r="K676">
        <v>2880</v>
      </c>
    </row>
    <row r="677" spans="1:11">
      <c r="A677" t="s">
        <v>740</v>
      </c>
      <c r="B677" s="14">
        <v>43282</v>
      </c>
      <c r="C677" t="s">
        <v>48</v>
      </c>
      <c r="D677" t="s">
        <v>60</v>
      </c>
      <c r="E677">
        <v>9</v>
      </c>
      <c r="F677">
        <v>40</v>
      </c>
      <c r="G677">
        <v>0.06</v>
      </c>
      <c r="H677" t="s">
        <v>72</v>
      </c>
      <c r="I677">
        <v>360</v>
      </c>
      <c r="J677">
        <v>22</v>
      </c>
      <c r="K677">
        <v>338.4</v>
      </c>
    </row>
    <row r="678" spans="1:11">
      <c r="A678" t="s">
        <v>741</v>
      </c>
      <c r="B678" s="14">
        <v>43282</v>
      </c>
      <c r="C678" t="s">
        <v>67</v>
      </c>
      <c r="D678" t="s">
        <v>57</v>
      </c>
      <c r="E678">
        <v>18</v>
      </c>
      <c r="F678">
        <v>150</v>
      </c>
      <c r="G678">
        <v>0.06</v>
      </c>
      <c r="H678" t="s">
        <v>65</v>
      </c>
      <c r="I678">
        <v>2700</v>
      </c>
      <c r="J678">
        <v>162</v>
      </c>
      <c r="K678">
        <v>2538</v>
      </c>
    </row>
    <row r="679" spans="1:11">
      <c r="A679" t="s">
        <v>742</v>
      </c>
      <c r="B679" s="14">
        <v>43282</v>
      </c>
      <c r="C679" t="s">
        <v>52</v>
      </c>
      <c r="D679" t="s">
        <v>64</v>
      </c>
      <c r="E679">
        <v>17</v>
      </c>
      <c r="F679">
        <v>230</v>
      </c>
      <c r="G679">
        <v>0.11</v>
      </c>
      <c r="H679" t="s">
        <v>68</v>
      </c>
      <c r="I679">
        <v>3910</v>
      </c>
      <c r="J679">
        <v>430</v>
      </c>
      <c r="K679">
        <v>3479.9</v>
      </c>
    </row>
    <row r="680" spans="1:11">
      <c r="A680" t="s">
        <v>743</v>
      </c>
      <c r="B680" s="14">
        <v>43283</v>
      </c>
      <c r="C680" t="s">
        <v>48</v>
      </c>
      <c r="D680" t="s">
        <v>45</v>
      </c>
      <c r="E680">
        <v>20</v>
      </c>
      <c r="F680">
        <v>40</v>
      </c>
      <c r="G680">
        <v>0.04</v>
      </c>
      <c r="H680" t="s">
        <v>70</v>
      </c>
      <c r="I680">
        <v>800</v>
      </c>
      <c r="J680">
        <v>32</v>
      </c>
      <c r="K680">
        <v>768</v>
      </c>
    </row>
    <row r="681" spans="1:11">
      <c r="A681" t="s">
        <v>744</v>
      </c>
      <c r="B681" s="14">
        <v>43283</v>
      </c>
      <c r="C681" t="s">
        <v>48</v>
      </c>
      <c r="D681" t="s">
        <v>45</v>
      </c>
      <c r="E681">
        <v>23</v>
      </c>
      <c r="F681">
        <v>40</v>
      </c>
      <c r="G681">
        <v>0.03</v>
      </c>
      <c r="H681" t="s">
        <v>72</v>
      </c>
      <c r="I681">
        <v>920</v>
      </c>
      <c r="J681">
        <v>28</v>
      </c>
      <c r="K681">
        <v>892.4</v>
      </c>
    </row>
    <row r="682" spans="1:11">
      <c r="A682" t="s">
        <v>745</v>
      </c>
      <c r="B682" s="14">
        <v>43283</v>
      </c>
      <c r="C682" t="s">
        <v>52</v>
      </c>
      <c r="D682" t="s">
        <v>64</v>
      </c>
      <c r="E682">
        <v>21</v>
      </c>
      <c r="F682">
        <v>230</v>
      </c>
      <c r="G682">
        <v>0.05</v>
      </c>
      <c r="H682" t="s">
        <v>65</v>
      </c>
      <c r="I682">
        <v>4830</v>
      </c>
      <c r="J682">
        <v>242</v>
      </c>
      <c r="K682">
        <v>4588.5</v>
      </c>
    </row>
    <row r="683" spans="1:11">
      <c r="A683" t="s">
        <v>746</v>
      </c>
      <c r="B683" s="14">
        <v>43283</v>
      </c>
      <c r="C683" t="s">
        <v>44</v>
      </c>
      <c r="D683" t="s">
        <v>57</v>
      </c>
      <c r="E683">
        <v>6</v>
      </c>
      <c r="F683">
        <v>80</v>
      </c>
      <c r="G683">
        <v>0.09</v>
      </c>
      <c r="H683" t="s">
        <v>68</v>
      </c>
      <c r="I683">
        <v>480</v>
      </c>
      <c r="J683">
        <v>43</v>
      </c>
      <c r="K683">
        <v>436.8</v>
      </c>
    </row>
    <row r="684" spans="1:11">
      <c r="A684" t="s">
        <v>747</v>
      </c>
      <c r="B684" s="14">
        <v>43283</v>
      </c>
      <c r="C684" t="s">
        <v>63</v>
      </c>
      <c r="D684" t="s">
        <v>45</v>
      </c>
      <c r="E684">
        <v>20</v>
      </c>
      <c r="F684">
        <v>16</v>
      </c>
      <c r="G684">
        <v>0.01</v>
      </c>
      <c r="H684" t="s">
        <v>70</v>
      </c>
      <c r="I684">
        <v>320</v>
      </c>
      <c r="J684">
        <v>3</v>
      </c>
      <c r="K684">
        <v>316.8</v>
      </c>
    </row>
    <row r="685" spans="1:11">
      <c r="A685" t="s">
        <v>748</v>
      </c>
      <c r="B685" s="14">
        <v>43283</v>
      </c>
      <c r="C685" t="s">
        <v>48</v>
      </c>
      <c r="D685" t="s">
        <v>49</v>
      </c>
      <c r="E685">
        <v>8</v>
      </c>
      <c r="F685">
        <v>40</v>
      </c>
      <c r="G685">
        <v>0.09</v>
      </c>
      <c r="H685" t="s">
        <v>72</v>
      </c>
      <c r="I685">
        <v>320</v>
      </c>
      <c r="J685">
        <v>29</v>
      </c>
      <c r="K685">
        <v>291.2</v>
      </c>
    </row>
    <row r="686" spans="1:11">
      <c r="A686" t="s">
        <v>749</v>
      </c>
      <c r="B686" s="14">
        <v>43283</v>
      </c>
      <c r="C686" t="s">
        <v>52</v>
      </c>
      <c r="D686" t="s">
        <v>49</v>
      </c>
      <c r="E686">
        <v>15</v>
      </c>
      <c r="F686">
        <v>230</v>
      </c>
      <c r="G686">
        <v>0.09</v>
      </c>
      <c r="H686" t="s">
        <v>65</v>
      </c>
      <c r="I686">
        <v>3450</v>
      </c>
      <c r="J686">
        <v>310</v>
      </c>
      <c r="K686">
        <v>3139.5</v>
      </c>
    </row>
    <row r="687" spans="1:11">
      <c r="A687" t="s">
        <v>750</v>
      </c>
      <c r="B687" s="14">
        <v>43284</v>
      </c>
      <c r="C687" t="s">
        <v>44</v>
      </c>
      <c r="D687" t="s">
        <v>60</v>
      </c>
      <c r="E687">
        <v>21</v>
      </c>
      <c r="F687">
        <v>80</v>
      </c>
      <c r="G687">
        <v>0.02</v>
      </c>
      <c r="H687" t="s">
        <v>68</v>
      </c>
      <c r="I687">
        <v>1680</v>
      </c>
      <c r="J687">
        <v>34</v>
      </c>
      <c r="K687">
        <v>1646.4</v>
      </c>
    </row>
    <row r="688" spans="1:11">
      <c r="A688" t="s">
        <v>751</v>
      </c>
      <c r="B688" s="14">
        <v>43284</v>
      </c>
      <c r="C688" t="s">
        <v>44</v>
      </c>
      <c r="D688" t="s">
        <v>60</v>
      </c>
      <c r="E688">
        <v>19</v>
      </c>
      <c r="F688">
        <v>80</v>
      </c>
      <c r="G688">
        <v>0.02</v>
      </c>
      <c r="H688" t="s">
        <v>70</v>
      </c>
      <c r="I688">
        <v>1520</v>
      </c>
      <c r="J688">
        <v>30</v>
      </c>
      <c r="K688">
        <v>1489.6</v>
      </c>
    </row>
    <row r="689" spans="1:11">
      <c r="A689" t="s">
        <v>752</v>
      </c>
      <c r="B689" s="14">
        <v>43284</v>
      </c>
      <c r="C689" t="s">
        <v>63</v>
      </c>
      <c r="D689" t="s">
        <v>45</v>
      </c>
      <c r="E689">
        <v>7</v>
      </c>
      <c r="F689">
        <v>16</v>
      </c>
      <c r="G689">
        <v>0.08</v>
      </c>
      <c r="H689" t="s">
        <v>72</v>
      </c>
      <c r="I689">
        <v>112</v>
      </c>
      <c r="J689">
        <v>9</v>
      </c>
      <c r="K689">
        <v>103.04</v>
      </c>
    </row>
    <row r="690" spans="1:11">
      <c r="A690" t="s">
        <v>753</v>
      </c>
      <c r="B690" s="14">
        <v>43284</v>
      </c>
      <c r="C690" t="s">
        <v>48</v>
      </c>
      <c r="D690" t="s">
        <v>64</v>
      </c>
      <c r="E690">
        <v>11</v>
      </c>
      <c r="F690">
        <v>40</v>
      </c>
      <c r="G690">
        <v>0.05</v>
      </c>
      <c r="H690" t="s">
        <v>65</v>
      </c>
      <c r="I690">
        <v>440</v>
      </c>
      <c r="J690">
        <v>22</v>
      </c>
      <c r="K690">
        <v>418</v>
      </c>
    </row>
    <row r="691" spans="1:11">
      <c r="A691" t="s">
        <v>754</v>
      </c>
      <c r="B691" s="14">
        <v>43284</v>
      </c>
      <c r="C691" t="s">
        <v>52</v>
      </c>
      <c r="D691" t="s">
        <v>60</v>
      </c>
      <c r="E691">
        <v>8</v>
      </c>
      <c r="F691">
        <v>230</v>
      </c>
      <c r="G691">
        <v>0.05</v>
      </c>
      <c r="H691" t="s">
        <v>68</v>
      </c>
      <c r="I691">
        <v>1840</v>
      </c>
      <c r="J691">
        <v>92</v>
      </c>
      <c r="K691">
        <v>1748</v>
      </c>
    </row>
    <row r="692" spans="1:11">
      <c r="A692" t="s">
        <v>755</v>
      </c>
      <c r="B692" s="14">
        <v>43284</v>
      </c>
      <c r="C692" t="s">
        <v>44</v>
      </c>
      <c r="D692" t="s">
        <v>45</v>
      </c>
      <c r="E692">
        <v>18</v>
      </c>
      <c r="F692">
        <v>80</v>
      </c>
      <c r="G692">
        <v>0.02</v>
      </c>
      <c r="H692" t="s">
        <v>70</v>
      </c>
      <c r="I692">
        <v>1440</v>
      </c>
      <c r="J692">
        <v>29</v>
      </c>
      <c r="K692">
        <v>1411.2</v>
      </c>
    </row>
    <row r="693" spans="1:11">
      <c r="A693" t="s">
        <v>756</v>
      </c>
      <c r="B693" s="14">
        <v>43284</v>
      </c>
      <c r="C693" t="s">
        <v>48</v>
      </c>
      <c r="D693" t="s">
        <v>45</v>
      </c>
      <c r="E693">
        <v>7</v>
      </c>
      <c r="F693">
        <v>40</v>
      </c>
      <c r="G693">
        <v>0.1</v>
      </c>
      <c r="H693" t="s">
        <v>72</v>
      </c>
      <c r="I693">
        <v>280</v>
      </c>
      <c r="J693">
        <v>28</v>
      </c>
      <c r="K693">
        <v>252</v>
      </c>
    </row>
    <row r="694" spans="1:11">
      <c r="A694" t="s">
        <v>757</v>
      </c>
      <c r="B694" s="14">
        <v>43285</v>
      </c>
      <c r="C694" t="s">
        <v>63</v>
      </c>
      <c r="D694" t="s">
        <v>45</v>
      </c>
      <c r="E694">
        <v>16</v>
      </c>
      <c r="F694">
        <v>16</v>
      </c>
      <c r="G694">
        <v>0.03</v>
      </c>
      <c r="H694" t="s">
        <v>65</v>
      </c>
      <c r="I694">
        <v>256</v>
      </c>
      <c r="J694">
        <v>8</v>
      </c>
      <c r="K694">
        <v>248.32</v>
      </c>
    </row>
    <row r="695" spans="1:11">
      <c r="A695" t="s">
        <v>758</v>
      </c>
      <c r="B695" s="14">
        <v>43285</v>
      </c>
      <c r="C695" t="s">
        <v>44</v>
      </c>
      <c r="D695" t="s">
        <v>45</v>
      </c>
      <c r="E695">
        <v>8</v>
      </c>
      <c r="F695">
        <v>80</v>
      </c>
      <c r="G695">
        <v>0.08</v>
      </c>
      <c r="H695" t="s">
        <v>68</v>
      </c>
      <c r="I695">
        <v>640</v>
      </c>
      <c r="J695">
        <v>51</v>
      </c>
      <c r="K695">
        <v>588.8</v>
      </c>
    </row>
    <row r="696" spans="1:11">
      <c r="A696" t="s">
        <v>759</v>
      </c>
      <c r="B696" s="14">
        <v>43285</v>
      </c>
      <c r="C696" t="s">
        <v>52</v>
      </c>
      <c r="D696" t="s">
        <v>64</v>
      </c>
      <c r="E696">
        <v>22</v>
      </c>
      <c r="F696">
        <v>230</v>
      </c>
      <c r="G696">
        <v>0.1</v>
      </c>
      <c r="H696" t="s">
        <v>70</v>
      </c>
      <c r="I696">
        <v>5060</v>
      </c>
      <c r="J696">
        <v>506</v>
      </c>
      <c r="K696">
        <v>4554</v>
      </c>
    </row>
    <row r="697" spans="1:11">
      <c r="A697" t="s">
        <v>760</v>
      </c>
      <c r="B697" s="14">
        <v>43285</v>
      </c>
      <c r="C697" t="s">
        <v>52</v>
      </c>
      <c r="D697" t="s">
        <v>64</v>
      </c>
      <c r="E697">
        <v>3</v>
      </c>
      <c r="F697">
        <v>230</v>
      </c>
      <c r="G697">
        <v>0.1</v>
      </c>
      <c r="H697" t="s">
        <v>72</v>
      </c>
      <c r="I697">
        <v>690</v>
      </c>
      <c r="J697">
        <v>69</v>
      </c>
      <c r="K697">
        <v>621</v>
      </c>
    </row>
    <row r="698" spans="1:11">
      <c r="A698" t="s">
        <v>761</v>
      </c>
      <c r="B698" s="14">
        <v>43285</v>
      </c>
      <c r="C698" t="s">
        <v>52</v>
      </c>
      <c r="D698" t="s">
        <v>64</v>
      </c>
      <c r="E698">
        <v>20</v>
      </c>
      <c r="F698">
        <v>230</v>
      </c>
      <c r="G698">
        <v>0.11</v>
      </c>
      <c r="H698" t="s">
        <v>65</v>
      </c>
      <c r="I698">
        <v>4600</v>
      </c>
      <c r="J698">
        <v>506</v>
      </c>
      <c r="K698">
        <v>4094</v>
      </c>
    </row>
    <row r="699" spans="1:11">
      <c r="A699" t="s">
        <v>762</v>
      </c>
      <c r="B699" s="14">
        <v>43285</v>
      </c>
      <c r="C699" t="s">
        <v>63</v>
      </c>
      <c r="D699" t="s">
        <v>57</v>
      </c>
      <c r="E699">
        <v>12</v>
      </c>
      <c r="F699">
        <v>16</v>
      </c>
      <c r="G699">
        <v>0.03</v>
      </c>
      <c r="H699" t="s">
        <v>68</v>
      </c>
      <c r="I699">
        <v>192</v>
      </c>
      <c r="J699">
        <v>6</v>
      </c>
      <c r="K699">
        <v>186.24</v>
      </c>
    </row>
    <row r="700" spans="1:11">
      <c r="A700" t="s">
        <v>763</v>
      </c>
      <c r="B700" s="14">
        <v>43285</v>
      </c>
      <c r="C700" t="s">
        <v>48</v>
      </c>
      <c r="D700" t="s">
        <v>64</v>
      </c>
      <c r="E700">
        <v>20</v>
      </c>
      <c r="F700">
        <v>40</v>
      </c>
      <c r="G700">
        <v>0.07</v>
      </c>
      <c r="H700" t="s">
        <v>70</v>
      </c>
      <c r="I700">
        <v>800</v>
      </c>
      <c r="J700">
        <v>56</v>
      </c>
      <c r="K700">
        <v>744</v>
      </c>
    </row>
    <row r="701" spans="1:11">
      <c r="A701" t="s">
        <v>764</v>
      </c>
      <c r="B701" s="14">
        <v>43285</v>
      </c>
      <c r="C701" t="s">
        <v>52</v>
      </c>
      <c r="D701" t="s">
        <v>45</v>
      </c>
      <c r="E701">
        <v>3</v>
      </c>
      <c r="F701">
        <v>230</v>
      </c>
      <c r="G701">
        <v>0.06</v>
      </c>
      <c r="H701" t="s">
        <v>72</v>
      </c>
      <c r="I701">
        <v>690</v>
      </c>
      <c r="J701">
        <v>41</v>
      </c>
      <c r="K701">
        <v>648.6</v>
      </c>
    </row>
    <row r="702" spans="1:11">
      <c r="A702" t="s">
        <v>765</v>
      </c>
      <c r="B702" s="14">
        <v>43285</v>
      </c>
      <c r="C702" t="s">
        <v>44</v>
      </c>
      <c r="D702" t="s">
        <v>60</v>
      </c>
      <c r="E702">
        <v>16</v>
      </c>
      <c r="F702">
        <v>80</v>
      </c>
      <c r="G702">
        <v>0.07</v>
      </c>
      <c r="H702" t="s">
        <v>65</v>
      </c>
      <c r="I702">
        <v>1280</v>
      </c>
      <c r="J702">
        <v>90</v>
      </c>
      <c r="K702">
        <v>1190.4</v>
      </c>
    </row>
    <row r="703" spans="1:11">
      <c r="A703" t="s">
        <v>766</v>
      </c>
      <c r="B703" s="14">
        <v>43286</v>
      </c>
      <c r="C703" t="s">
        <v>48</v>
      </c>
      <c r="D703" t="s">
        <v>64</v>
      </c>
      <c r="E703">
        <v>3</v>
      </c>
      <c r="F703">
        <v>40</v>
      </c>
      <c r="G703">
        <v>0.03</v>
      </c>
      <c r="H703" t="s">
        <v>68</v>
      </c>
      <c r="I703">
        <v>120</v>
      </c>
      <c r="J703">
        <v>4</v>
      </c>
      <c r="K703">
        <v>116.4</v>
      </c>
    </row>
    <row r="704" spans="1:11">
      <c r="A704" t="s">
        <v>767</v>
      </c>
      <c r="B704" s="14">
        <v>43286</v>
      </c>
      <c r="C704" t="s">
        <v>52</v>
      </c>
      <c r="D704" t="s">
        <v>57</v>
      </c>
      <c r="E704">
        <v>12</v>
      </c>
      <c r="F704">
        <v>230</v>
      </c>
      <c r="G704">
        <v>0.03</v>
      </c>
      <c r="H704" t="s">
        <v>70</v>
      </c>
      <c r="I704">
        <v>2760</v>
      </c>
      <c r="J704">
        <v>83</v>
      </c>
      <c r="K704">
        <v>2677.2</v>
      </c>
    </row>
    <row r="705" spans="1:11">
      <c r="A705" t="s">
        <v>768</v>
      </c>
      <c r="B705" s="14">
        <v>43286</v>
      </c>
      <c r="C705" t="s">
        <v>48</v>
      </c>
      <c r="D705" t="s">
        <v>60</v>
      </c>
      <c r="E705">
        <v>22</v>
      </c>
      <c r="F705">
        <v>40</v>
      </c>
      <c r="G705">
        <v>0.01</v>
      </c>
      <c r="H705" t="s">
        <v>72</v>
      </c>
      <c r="I705">
        <v>880</v>
      </c>
      <c r="J705">
        <v>9</v>
      </c>
      <c r="K705">
        <v>871.2</v>
      </c>
    </row>
    <row r="706" spans="1:11">
      <c r="A706" t="s">
        <v>769</v>
      </c>
      <c r="B706" s="14">
        <v>43286</v>
      </c>
      <c r="C706" t="s">
        <v>48</v>
      </c>
      <c r="D706" t="s">
        <v>49</v>
      </c>
      <c r="E706">
        <v>19</v>
      </c>
      <c r="F706">
        <v>40</v>
      </c>
      <c r="G706">
        <v>0.1</v>
      </c>
      <c r="H706" t="s">
        <v>65</v>
      </c>
      <c r="I706">
        <v>760</v>
      </c>
      <c r="J706">
        <v>76</v>
      </c>
      <c r="K706">
        <v>684</v>
      </c>
    </row>
    <row r="707" spans="1:11">
      <c r="A707" t="s">
        <v>770</v>
      </c>
      <c r="B707" s="14">
        <v>43286</v>
      </c>
      <c r="C707" t="s">
        <v>44</v>
      </c>
      <c r="D707" t="s">
        <v>49</v>
      </c>
      <c r="E707">
        <v>21</v>
      </c>
      <c r="F707">
        <v>80</v>
      </c>
      <c r="G707">
        <v>0.04</v>
      </c>
      <c r="H707" t="s">
        <v>68</v>
      </c>
      <c r="I707">
        <v>1680</v>
      </c>
      <c r="J707">
        <v>67</v>
      </c>
      <c r="K707">
        <v>1612.8</v>
      </c>
    </row>
    <row r="708" spans="1:11">
      <c r="A708" t="s">
        <v>771</v>
      </c>
      <c r="B708" s="14">
        <v>43286</v>
      </c>
      <c r="C708" t="s">
        <v>44</v>
      </c>
      <c r="D708" t="s">
        <v>49</v>
      </c>
      <c r="E708">
        <v>2</v>
      </c>
      <c r="F708">
        <v>80</v>
      </c>
      <c r="G708">
        <v>0.04</v>
      </c>
      <c r="H708" t="s">
        <v>70</v>
      </c>
      <c r="I708">
        <v>160</v>
      </c>
      <c r="J708">
        <v>6</v>
      </c>
      <c r="K708">
        <v>153.6</v>
      </c>
    </row>
    <row r="709" spans="1:11">
      <c r="A709" t="s">
        <v>772</v>
      </c>
      <c r="B709" s="14">
        <v>43286</v>
      </c>
      <c r="C709" t="s">
        <v>67</v>
      </c>
      <c r="D709" t="s">
        <v>49</v>
      </c>
      <c r="E709">
        <v>15</v>
      </c>
      <c r="F709">
        <v>150</v>
      </c>
      <c r="G709">
        <v>0.02</v>
      </c>
      <c r="H709" t="s">
        <v>72</v>
      </c>
      <c r="I709">
        <v>2250</v>
      </c>
      <c r="J709">
        <v>45</v>
      </c>
      <c r="K709">
        <v>2205</v>
      </c>
    </row>
    <row r="710" spans="1:11">
      <c r="A710" t="s">
        <v>773</v>
      </c>
      <c r="B710" s="14">
        <v>43287</v>
      </c>
      <c r="C710" t="s">
        <v>48</v>
      </c>
      <c r="D710" t="s">
        <v>49</v>
      </c>
      <c r="E710">
        <v>14</v>
      </c>
      <c r="F710">
        <v>40</v>
      </c>
      <c r="G710">
        <v>0.06</v>
      </c>
      <c r="H710" t="s">
        <v>65</v>
      </c>
      <c r="I710">
        <v>560</v>
      </c>
      <c r="J710">
        <v>34</v>
      </c>
      <c r="K710">
        <v>526.4</v>
      </c>
    </row>
    <row r="711" spans="1:11">
      <c r="A711" t="s">
        <v>774</v>
      </c>
      <c r="B711" s="14">
        <v>43287</v>
      </c>
      <c r="C711" t="s">
        <v>44</v>
      </c>
      <c r="D711" t="s">
        <v>60</v>
      </c>
      <c r="E711">
        <v>7</v>
      </c>
      <c r="F711">
        <v>80</v>
      </c>
      <c r="G711">
        <v>0.07</v>
      </c>
      <c r="H711" t="s">
        <v>68</v>
      </c>
      <c r="I711">
        <v>560</v>
      </c>
      <c r="J711">
        <v>39</v>
      </c>
      <c r="K711">
        <v>520.8</v>
      </c>
    </row>
    <row r="712" spans="1:11">
      <c r="A712" t="s">
        <v>775</v>
      </c>
      <c r="B712" s="14">
        <v>43287</v>
      </c>
      <c r="C712" t="s">
        <v>44</v>
      </c>
      <c r="D712" t="s">
        <v>57</v>
      </c>
      <c r="E712">
        <v>7</v>
      </c>
      <c r="F712">
        <v>80</v>
      </c>
      <c r="G712">
        <v>0.05</v>
      </c>
      <c r="H712" t="s">
        <v>70</v>
      </c>
      <c r="I712">
        <v>560</v>
      </c>
      <c r="J712">
        <v>28</v>
      </c>
      <c r="K712">
        <v>532</v>
      </c>
    </row>
    <row r="713" spans="1:11">
      <c r="A713" t="s">
        <v>776</v>
      </c>
      <c r="B713" s="14">
        <v>43287</v>
      </c>
      <c r="C713" t="s">
        <v>67</v>
      </c>
      <c r="D713" t="s">
        <v>49</v>
      </c>
      <c r="E713">
        <v>10</v>
      </c>
      <c r="F713">
        <v>150</v>
      </c>
      <c r="G713">
        <v>0.01</v>
      </c>
      <c r="H713" t="s">
        <v>72</v>
      </c>
      <c r="I713">
        <v>1500</v>
      </c>
      <c r="J713">
        <v>15</v>
      </c>
      <c r="K713">
        <v>1485</v>
      </c>
    </row>
    <row r="714" spans="1:11">
      <c r="A714" t="s">
        <v>777</v>
      </c>
      <c r="B714" s="14">
        <v>43287</v>
      </c>
      <c r="C714" t="s">
        <v>44</v>
      </c>
      <c r="D714" t="s">
        <v>57</v>
      </c>
      <c r="E714">
        <v>10</v>
      </c>
      <c r="F714">
        <v>80</v>
      </c>
      <c r="G714">
        <v>0.08</v>
      </c>
      <c r="H714" t="s">
        <v>65</v>
      </c>
      <c r="I714">
        <v>800</v>
      </c>
      <c r="J714">
        <v>64</v>
      </c>
      <c r="K714">
        <v>736</v>
      </c>
    </row>
    <row r="715" spans="1:11">
      <c r="A715" t="s">
        <v>778</v>
      </c>
      <c r="B715" s="14">
        <v>43287</v>
      </c>
      <c r="C715" t="s">
        <v>44</v>
      </c>
      <c r="D715" t="s">
        <v>60</v>
      </c>
      <c r="E715">
        <v>15</v>
      </c>
      <c r="F715">
        <v>80</v>
      </c>
      <c r="G715">
        <v>0.08</v>
      </c>
      <c r="H715" t="s">
        <v>68</v>
      </c>
      <c r="I715">
        <v>1200</v>
      </c>
      <c r="J715">
        <v>96</v>
      </c>
      <c r="K715">
        <v>1104</v>
      </c>
    </row>
    <row r="716" spans="1:11">
      <c r="A716" t="s">
        <v>779</v>
      </c>
      <c r="B716" s="14">
        <v>43287</v>
      </c>
      <c r="C716" t="s">
        <v>52</v>
      </c>
      <c r="D716" t="s">
        <v>60</v>
      </c>
      <c r="E716">
        <v>18</v>
      </c>
      <c r="F716">
        <v>230</v>
      </c>
      <c r="G716">
        <v>0.01</v>
      </c>
      <c r="H716" t="s">
        <v>70</v>
      </c>
      <c r="I716">
        <v>4140</v>
      </c>
      <c r="J716">
        <v>41</v>
      </c>
      <c r="K716">
        <v>4098.6</v>
      </c>
    </row>
    <row r="717" spans="1:11">
      <c r="A717" t="s">
        <v>780</v>
      </c>
      <c r="B717" s="14">
        <v>43287</v>
      </c>
      <c r="C717" t="s">
        <v>44</v>
      </c>
      <c r="D717" t="s">
        <v>45</v>
      </c>
      <c r="E717">
        <v>8</v>
      </c>
      <c r="F717">
        <v>80</v>
      </c>
      <c r="G717">
        <v>0.09</v>
      </c>
      <c r="H717" t="s">
        <v>72</v>
      </c>
      <c r="I717">
        <v>640</v>
      </c>
      <c r="J717">
        <v>58</v>
      </c>
      <c r="K717">
        <v>582.4</v>
      </c>
    </row>
    <row r="718" spans="1:11">
      <c r="A718" t="s">
        <v>781</v>
      </c>
      <c r="B718" s="14">
        <v>43287</v>
      </c>
      <c r="C718" t="s">
        <v>63</v>
      </c>
      <c r="D718" t="s">
        <v>57</v>
      </c>
      <c r="E718">
        <v>6</v>
      </c>
      <c r="F718">
        <v>16</v>
      </c>
      <c r="G718">
        <v>0.01</v>
      </c>
      <c r="H718" t="s">
        <v>65</v>
      </c>
      <c r="I718">
        <v>96</v>
      </c>
      <c r="J718">
        <v>1</v>
      </c>
      <c r="K718">
        <v>95.04</v>
      </c>
    </row>
    <row r="719" spans="1:11">
      <c r="A719" t="s">
        <v>782</v>
      </c>
      <c r="B719" s="14">
        <v>43287</v>
      </c>
      <c r="C719" t="s">
        <v>52</v>
      </c>
      <c r="D719" t="s">
        <v>49</v>
      </c>
      <c r="E719">
        <v>9</v>
      </c>
      <c r="F719">
        <v>230</v>
      </c>
      <c r="G719">
        <v>0.03</v>
      </c>
      <c r="H719" t="s">
        <v>68</v>
      </c>
      <c r="I719">
        <v>2070</v>
      </c>
      <c r="J719">
        <v>62</v>
      </c>
      <c r="K719">
        <v>2007.9</v>
      </c>
    </row>
    <row r="720" spans="1:11">
      <c r="A720" t="s">
        <v>783</v>
      </c>
      <c r="B720" s="14">
        <v>43288</v>
      </c>
      <c r="C720" t="s">
        <v>48</v>
      </c>
      <c r="D720" t="s">
        <v>60</v>
      </c>
      <c r="E720">
        <v>15</v>
      </c>
      <c r="F720">
        <v>40</v>
      </c>
      <c r="G720">
        <v>0.03</v>
      </c>
      <c r="H720" t="s">
        <v>70</v>
      </c>
      <c r="I720">
        <v>600</v>
      </c>
      <c r="J720">
        <v>18</v>
      </c>
      <c r="K720">
        <v>582</v>
      </c>
    </row>
    <row r="721" spans="1:11">
      <c r="A721" t="s">
        <v>784</v>
      </c>
      <c r="B721" s="14">
        <v>43288</v>
      </c>
      <c r="C721" t="s">
        <v>48</v>
      </c>
      <c r="D721" t="s">
        <v>49</v>
      </c>
      <c r="E721">
        <v>15</v>
      </c>
      <c r="F721">
        <v>40</v>
      </c>
      <c r="G721">
        <v>0.04</v>
      </c>
      <c r="H721" t="s">
        <v>72</v>
      </c>
      <c r="I721">
        <v>600</v>
      </c>
      <c r="J721">
        <v>24</v>
      </c>
      <c r="K721">
        <v>576</v>
      </c>
    </row>
    <row r="722" spans="1:11">
      <c r="A722" t="s">
        <v>785</v>
      </c>
      <c r="B722" s="14">
        <v>43288</v>
      </c>
      <c r="C722" t="s">
        <v>63</v>
      </c>
      <c r="D722" t="s">
        <v>64</v>
      </c>
      <c r="E722">
        <v>11</v>
      </c>
      <c r="F722">
        <v>16</v>
      </c>
      <c r="G722">
        <v>0.12</v>
      </c>
      <c r="H722" t="s">
        <v>65</v>
      </c>
      <c r="I722">
        <v>176</v>
      </c>
      <c r="J722">
        <v>21</v>
      </c>
      <c r="K722">
        <v>154.88</v>
      </c>
    </row>
    <row r="723" spans="1:11">
      <c r="A723" t="s">
        <v>786</v>
      </c>
      <c r="B723" s="14">
        <v>43288</v>
      </c>
      <c r="C723" t="s">
        <v>63</v>
      </c>
      <c r="D723" t="s">
        <v>45</v>
      </c>
      <c r="E723">
        <v>12</v>
      </c>
      <c r="F723">
        <v>16</v>
      </c>
      <c r="G723">
        <v>0.11</v>
      </c>
      <c r="H723" t="s">
        <v>53</v>
      </c>
      <c r="I723">
        <v>192</v>
      </c>
      <c r="J723">
        <v>21</v>
      </c>
      <c r="K723">
        <v>170.88</v>
      </c>
    </row>
    <row r="724" spans="1:11">
      <c r="A724" t="s">
        <v>787</v>
      </c>
      <c r="B724" s="14">
        <v>43288</v>
      </c>
      <c r="C724" t="s">
        <v>63</v>
      </c>
      <c r="D724" t="s">
        <v>60</v>
      </c>
      <c r="E724">
        <v>18</v>
      </c>
      <c r="F724">
        <v>16</v>
      </c>
      <c r="G724">
        <v>0.04</v>
      </c>
      <c r="H724" t="s">
        <v>70</v>
      </c>
      <c r="I724">
        <v>288</v>
      </c>
      <c r="J724">
        <v>12</v>
      </c>
      <c r="K724">
        <v>276.48</v>
      </c>
    </row>
    <row r="725" spans="1:11">
      <c r="A725" t="s">
        <v>788</v>
      </c>
      <c r="B725" s="14">
        <v>43288</v>
      </c>
      <c r="C725" t="s">
        <v>48</v>
      </c>
      <c r="D725" t="s">
        <v>57</v>
      </c>
      <c r="E725">
        <v>20</v>
      </c>
      <c r="F725">
        <v>40</v>
      </c>
      <c r="G725">
        <v>0.01</v>
      </c>
      <c r="H725" t="s">
        <v>53</v>
      </c>
      <c r="I725">
        <v>800</v>
      </c>
      <c r="J725">
        <v>8</v>
      </c>
      <c r="K725">
        <v>792</v>
      </c>
    </row>
    <row r="726" spans="1:11">
      <c r="A726" t="s">
        <v>789</v>
      </c>
      <c r="B726" s="14">
        <v>43288</v>
      </c>
      <c r="C726" t="s">
        <v>67</v>
      </c>
      <c r="D726" t="s">
        <v>64</v>
      </c>
      <c r="E726">
        <v>7</v>
      </c>
      <c r="F726">
        <v>150</v>
      </c>
      <c r="G726">
        <v>0.03</v>
      </c>
      <c r="H726" t="s">
        <v>70</v>
      </c>
      <c r="I726">
        <v>1050</v>
      </c>
      <c r="J726">
        <v>32</v>
      </c>
      <c r="K726">
        <v>1018.5</v>
      </c>
    </row>
    <row r="727" spans="1:11">
      <c r="A727" t="s">
        <v>790</v>
      </c>
      <c r="B727" s="14">
        <v>43288</v>
      </c>
      <c r="C727" t="s">
        <v>48</v>
      </c>
      <c r="D727" t="s">
        <v>60</v>
      </c>
      <c r="E727">
        <v>23</v>
      </c>
      <c r="F727">
        <v>40</v>
      </c>
      <c r="G727">
        <v>0.06</v>
      </c>
      <c r="H727" t="s">
        <v>53</v>
      </c>
      <c r="I727">
        <v>920</v>
      </c>
      <c r="J727">
        <v>55</v>
      </c>
      <c r="K727">
        <v>864.8</v>
      </c>
    </row>
    <row r="728" spans="1:11">
      <c r="A728" t="s">
        <v>791</v>
      </c>
      <c r="B728" s="14">
        <v>43288</v>
      </c>
      <c r="C728" t="s">
        <v>44</v>
      </c>
      <c r="D728" t="s">
        <v>45</v>
      </c>
      <c r="E728">
        <v>7</v>
      </c>
      <c r="F728">
        <v>80</v>
      </c>
      <c r="G728">
        <v>0.02</v>
      </c>
      <c r="H728" t="s">
        <v>70</v>
      </c>
      <c r="I728">
        <v>560</v>
      </c>
      <c r="J728">
        <v>11</v>
      </c>
      <c r="K728">
        <v>548.8</v>
      </c>
    </row>
    <row r="729" spans="1:11">
      <c r="A729" t="s">
        <v>792</v>
      </c>
      <c r="B729" s="14">
        <v>43288</v>
      </c>
      <c r="C729" t="s">
        <v>67</v>
      </c>
      <c r="D729" t="s">
        <v>49</v>
      </c>
      <c r="E729">
        <v>16</v>
      </c>
      <c r="F729">
        <v>150</v>
      </c>
      <c r="G729">
        <v>0.05</v>
      </c>
      <c r="H729" t="s">
        <v>53</v>
      </c>
      <c r="I729">
        <v>2400</v>
      </c>
      <c r="J729">
        <v>120</v>
      </c>
      <c r="K729">
        <v>2280</v>
      </c>
    </row>
    <row r="730" spans="1:11">
      <c r="A730" t="s">
        <v>793</v>
      </c>
      <c r="B730" s="14">
        <v>43288</v>
      </c>
      <c r="C730" t="s">
        <v>52</v>
      </c>
      <c r="D730" t="s">
        <v>49</v>
      </c>
      <c r="E730">
        <v>6</v>
      </c>
      <c r="F730">
        <v>230</v>
      </c>
      <c r="G730">
        <v>0.1</v>
      </c>
      <c r="H730" t="s">
        <v>70</v>
      </c>
      <c r="I730">
        <v>1380</v>
      </c>
      <c r="J730">
        <v>138</v>
      </c>
      <c r="K730">
        <v>1242</v>
      </c>
    </row>
    <row r="731" spans="1:11">
      <c r="A731" t="s">
        <v>794</v>
      </c>
      <c r="B731" s="14">
        <v>43289</v>
      </c>
      <c r="C731" t="s">
        <v>48</v>
      </c>
      <c r="D731" t="s">
        <v>64</v>
      </c>
      <c r="E731">
        <v>7</v>
      </c>
      <c r="F731">
        <v>40</v>
      </c>
      <c r="G731">
        <v>0.12</v>
      </c>
      <c r="H731" t="s">
        <v>53</v>
      </c>
      <c r="I731">
        <v>280</v>
      </c>
      <c r="J731">
        <v>34</v>
      </c>
      <c r="K731">
        <v>246.4</v>
      </c>
    </row>
    <row r="732" spans="1:11">
      <c r="A732" t="s">
        <v>795</v>
      </c>
      <c r="B732" s="14">
        <v>43289</v>
      </c>
      <c r="C732" t="s">
        <v>44</v>
      </c>
      <c r="D732" t="s">
        <v>57</v>
      </c>
      <c r="E732">
        <v>23</v>
      </c>
      <c r="F732">
        <v>80</v>
      </c>
      <c r="G732">
        <v>0.05</v>
      </c>
      <c r="H732" t="s">
        <v>70</v>
      </c>
      <c r="I732">
        <v>1840</v>
      </c>
      <c r="J732">
        <v>92</v>
      </c>
      <c r="K732">
        <v>1748</v>
      </c>
    </row>
    <row r="733" spans="1:11">
      <c r="A733" t="s">
        <v>796</v>
      </c>
      <c r="B733" s="14">
        <v>43289</v>
      </c>
      <c r="C733" t="s">
        <v>44</v>
      </c>
      <c r="D733" t="s">
        <v>60</v>
      </c>
      <c r="E733">
        <v>16</v>
      </c>
      <c r="F733">
        <v>80</v>
      </c>
      <c r="G733">
        <v>0.1</v>
      </c>
      <c r="H733" t="s">
        <v>53</v>
      </c>
      <c r="I733">
        <v>1280</v>
      </c>
      <c r="J733">
        <v>128</v>
      </c>
      <c r="K733">
        <v>1152</v>
      </c>
    </row>
    <row r="734" spans="1:11">
      <c r="A734" t="s">
        <v>797</v>
      </c>
      <c r="B734" s="14">
        <v>43289</v>
      </c>
      <c r="C734" t="s">
        <v>44</v>
      </c>
      <c r="D734" t="s">
        <v>45</v>
      </c>
      <c r="E734">
        <v>16</v>
      </c>
      <c r="F734">
        <v>80</v>
      </c>
      <c r="G734">
        <v>0.03</v>
      </c>
      <c r="H734" t="s">
        <v>70</v>
      </c>
      <c r="I734">
        <v>1280</v>
      </c>
      <c r="J734">
        <v>38</v>
      </c>
      <c r="K734">
        <v>1241.6</v>
      </c>
    </row>
    <row r="735" spans="1:11">
      <c r="A735" t="s">
        <v>798</v>
      </c>
      <c r="B735" s="14">
        <v>43289</v>
      </c>
      <c r="C735" t="s">
        <v>44</v>
      </c>
      <c r="D735" t="s">
        <v>64</v>
      </c>
      <c r="E735">
        <v>22</v>
      </c>
      <c r="F735">
        <v>80</v>
      </c>
      <c r="G735">
        <v>0.09</v>
      </c>
      <c r="H735" t="s">
        <v>53</v>
      </c>
      <c r="I735">
        <v>1760</v>
      </c>
      <c r="J735">
        <v>158</v>
      </c>
      <c r="K735">
        <v>1601.6</v>
      </c>
    </row>
    <row r="736" spans="1:11">
      <c r="A736" t="s">
        <v>799</v>
      </c>
      <c r="B736" s="14">
        <v>43289</v>
      </c>
      <c r="C736" t="s">
        <v>63</v>
      </c>
      <c r="D736" t="s">
        <v>45</v>
      </c>
      <c r="E736">
        <v>18</v>
      </c>
      <c r="F736">
        <v>16</v>
      </c>
      <c r="G736">
        <v>0.05</v>
      </c>
      <c r="H736" t="s">
        <v>70</v>
      </c>
      <c r="I736">
        <v>288</v>
      </c>
      <c r="J736">
        <v>14</v>
      </c>
      <c r="K736">
        <v>273.6</v>
      </c>
    </row>
    <row r="737" spans="1:11">
      <c r="A737" t="s">
        <v>800</v>
      </c>
      <c r="B737" s="14">
        <v>43289</v>
      </c>
      <c r="C737" t="s">
        <v>52</v>
      </c>
      <c r="D737" t="s">
        <v>64</v>
      </c>
      <c r="E737">
        <v>5</v>
      </c>
      <c r="F737">
        <v>230</v>
      </c>
      <c r="G737">
        <v>0.12</v>
      </c>
      <c r="H737" t="s">
        <v>53</v>
      </c>
      <c r="I737">
        <v>1150</v>
      </c>
      <c r="J737">
        <v>138</v>
      </c>
      <c r="K737">
        <v>1012</v>
      </c>
    </row>
    <row r="738" spans="1:11">
      <c r="A738" t="s">
        <v>801</v>
      </c>
      <c r="B738" s="14">
        <v>43289</v>
      </c>
      <c r="C738" t="s">
        <v>67</v>
      </c>
      <c r="D738" t="s">
        <v>64</v>
      </c>
      <c r="E738">
        <v>7</v>
      </c>
      <c r="F738">
        <v>150</v>
      </c>
      <c r="G738">
        <v>0.02</v>
      </c>
      <c r="H738" t="s">
        <v>70</v>
      </c>
      <c r="I738">
        <v>1050</v>
      </c>
      <c r="J738">
        <v>21</v>
      </c>
      <c r="K738">
        <v>1029</v>
      </c>
    </row>
    <row r="739" spans="1:11">
      <c r="A739" t="s">
        <v>802</v>
      </c>
      <c r="B739" s="14">
        <v>43289</v>
      </c>
      <c r="C739" t="s">
        <v>48</v>
      </c>
      <c r="D739" t="s">
        <v>57</v>
      </c>
      <c r="E739">
        <v>2</v>
      </c>
      <c r="F739">
        <v>40</v>
      </c>
      <c r="G739">
        <v>0.03</v>
      </c>
      <c r="H739" t="s">
        <v>53</v>
      </c>
      <c r="I739">
        <v>80</v>
      </c>
      <c r="J739">
        <v>2</v>
      </c>
      <c r="K739">
        <v>77.6</v>
      </c>
    </row>
    <row r="740" spans="1:11">
      <c r="A740" t="s">
        <v>803</v>
      </c>
      <c r="B740" s="14">
        <v>43289</v>
      </c>
      <c r="C740" t="s">
        <v>48</v>
      </c>
      <c r="D740" t="s">
        <v>60</v>
      </c>
      <c r="E740">
        <v>11</v>
      </c>
      <c r="F740">
        <v>40</v>
      </c>
      <c r="G740">
        <v>0.06</v>
      </c>
      <c r="H740" t="s">
        <v>70</v>
      </c>
      <c r="I740">
        <v>440</v>
      </c>
      <c r="J740">
        <v>26</v>
      </c>
      <c r="K740">
        <v>413.6</v>
      </c>
    </row>
    <row r="741" spans="1:11">
      <c r="A741" t="s">
        <v>804</v>
      </c>
      <c r="B741" s="14">
        <v>43289</v>
      </c>
      <c r="C741" t="s">
        <v>44</v>
      </c>
      <c r="D741" t="s">
        <v>60</v>
      </c>
      <c r="E741">
        <v>7</v>
      </c>
      <c r="F741">
        <v>80</v>
      </c>
      <c r="G741">
        <v>0.02</v>
      </c>
      <c r="H741" t="s">
        <v>53</v>
      </c>
      <c r="I741">
        <v>560</v>
      </c>
      <c r="J741">
        <v>11</v>
      </c>
      <c r="K741">
        <v>548.8</v>
      </c>
    </row>
    <row r="742" spans="1:11">
      <c r="A742" t="s">
        <v>805</v>
      </c>
      <c r="B742" s="14">
        <v>43290</v>
      </c>
      <c r="C742" t="s">
        <v>48</v>
      </c>
      <c r="D742" t="s">
        <v>57</v>
      </c>
      <c r="E742">
        <v>4</v>
      </c>
      <c r="F742">
        <v>40</v>
      </c>
      <c r="G742">
        <v>0.11</v>
      </c>
      <c r="H742" t="s">
        <v>70</v>
      </c>
      <c r="I742">
        <v>160</v>
      </c>
      <c r="J742">
        <v>18</v>
      </c>
      <c r="K742">
        <v>142.4</v>
      </c>
    </row>
    <row r="743" spans="1:11">
      <c r="A743" t="s">
        <v>806</v>
      </c>
      <c r="B743" s="14">
        <v>43290</v>
      </c>
      <c r="C743" t="s">
        <v>48</v>
      </c>
      <c r="D743" t="s">
        <v>57</v>
      </c>
      <c r="E743">
        <v>2</v>
      </c>
      <c r="F743">
        <v>40</v>
      </c>
      <c r="G743">
        <v>0.02</v>
      </c>
      <c r="H743" t="s">
        <v>53</v>
      </c>
      <c r="I743">
        <v>80</v>
      </c>
      <c r="J743">
        <v>2</v>
      </c>
      <c r="K743">
        <v>78.4</v>
      </c>
    </row>
    <row r="744" spans="1:11">
      <c r="A744" t="s">
        <v>807</v>
      </c>
      <c r="B744" s="14">
        <v>43290</v>
      </c>
      <c r="C744" t="s">
        <v>52</v>
      </c>
      <c r="D744" t="s">
        <v>60</v>
      </c>
      <c r="E744">
        <v>23</v>
      </c>
      <c r="F744">
        <v>230</v>
      </c>
      <c r="G744">
        <v>0.06</v>
      </c>
      <c r="H744" t="s">
        <v>70</v>
      </c>
      <c r="I744">
        <v>5290</v>
      </c>
      <c r="J744">
        <v>317</v>
      </c>
      <c r="K744">
        <v>4972.6</v>
      </c>
    </row>
    <row r="745" spans="1:11">
      <c r="A745" t="s">
        <v>808</v>
      </c>
      <c r="B745" s="14">
        <v>43290</v>
      </c>
      <c r="C745" t="s">
        <v>44</v>
      </c>
      <c r="D745" t="s">
        <v>64</v>
      </c>
      <c r="E745">
        <v>21</v>
      </c>
      <c r="F745">
        <v>80</v>
      </c>
      <c r="G745">
        <v>0.09</v>
      </c>
      <c r="H745" t="s">
        <v>53</v>
      </c>
      <c r="I745">
        <v>1680</v>
      </c>
      <c r="J745">
        <v>151</v>
      </c>
      <c r="K745">
        <v>1528.8</v>
      </c>
    </row>
    <row r="746" spans="1:11">
      <c r="A746" t="s">
        <v>809</v>
      </c>
      <c r="B746" s="14">
        <v>43290</v>
      </c>
      <c r="C746" t="s">
        <v>44</v>
      </c>
      <c r="D746" t="s">
        <v>64</v>
      </c>
      <c r="E746">
        <v>9</v>
      </c>
      <c r="F746">
        <v>80</v>
      </c>
      <c r="G746">
        <v>0.06</v>
      </c>
      <c r="H746" t="s">
        <v>70</v>
      </c>
      <c r="I746">
        <v>720</v>
      </c>
      <c r="J746">
        <v>43</v>
      </c>
      <c r="K746">
        <v>676.8</v>
      </c>
    </row>
    <row r="747" spans="1:11">
      <c r="A747" t="s">
        <v>810</v>
      </c>
      <c r="B747" s="14">
        <v>43290</v>
      </c>
      <c r="C747" t="s">
        <v>44</v>
      </c>
      <c r="D747" t="s">
        <v>64</v>
      </c>
      <c r="E747">
        <v>22</v>
      </c>
      <c r="F747">
        <v>80</v>
      </c>
      <c r="G747">
        <v>0.11</v>
      </c>
      <c r="H747" t="s">
        <v>53</v>
      </c>
      <c r="I747">
        <v>1760</v>
      </c>
      <c r="J747">
        <v>194</v>
      </c>
      <c r="K747">
        <v>1566.4</v>
      </c>
    </row>
    <row r="748" spans="1:11">
      <c r="A748" t="s">
        <v>811</v>
      </c>
      <c r="B748" s="14">
        <v>43291</v>
      </c>
      <c r="C748" t="s">
        <v>52</v>
      </c>
      <c r="D748" t="s">
        <v>57</v>
      </c>
      <c r="E748">
        <v>15</v>
      </c>
      <c r="F748">
        <v>230</v>
      </c>
      <c r="G748">
        <v>0.11</v>
      </c>
      <c r="H748" t="s">
        <v>70</v>
      </c>
      <c r="I748">
        <v>3450</v>
      </c>
      <c r="J748">
        <v>380</v>
      </c>
      <c r="K748">
        <v>3070.5</v>
      </c>
    </row>
    <row r="749" spans="1:11">
      <c r="A749" t="s">
        <v>812</v>
      </c>
      <c r="B749" s="14">
        <v>43291</v>
      </c>
      <c r="C749" t="s">
        <v>48</v>
      </c>
      <c r="D749" t="s">
        <v>49</v>
      </c>
      <c r="E749">
        <v>7</v>
      </c>
      <c r="F749">
        <v>40</v>
      </c>
      <c r="G749">
        <v>0.01</v>
      </c>
      <c r="H749" t="s">
        <v>53</v>
      </c>
      <c r="I749">
        <v>280</v>
      </c>
      <c r="J749">
        <v>3</v>
      </c>
      <c r="K749">
        <v>277.2</v>
      </c>
    </row>
    <row r="750" spans="1:11">
      <c r="A750" t="s">
        <v>813</v>
      </c>
      <c r="B750" s="14">
        <v>43291</v>
      </c>
      <c r="C750" t="s">
        <v>67</v>
      </c>
      <c r="D750" t="s">
        <v>64</v>
      </c>
      <c r="E750">
        <v>17</v>
      </c>
      <c r="F750">
        <v>150</v>
      </c>
      <c r="G750">
        <v>0.02</v>
      </c>
      <c r="H750" t="s">
        <v>70</v>
      </c>
      <c r="I750">
        <v>2550</v>
      </c>
      <c r="J750">
        <v>51</v>
      </c>
      <c r="K750">
        <v>2499</v>
      </c>
    </row>
    <row r="751" spans="1:11">
      <c r="A751" t="s">
        <v>814</v>
      </c>
      <c r="B751" s="14">
        <v>43291</v>
      </c>
      <c r="C751" t="s">
        <v>67</v>
      </c>
      <c r="D751" t="s">
        <v>49</v>
      </c>
      <c r="E751">
        <v>22</v>
      </c>
      <c r="F751">
        <v>150</v>
      </c>
      <c r="G751">
        <v>0.02</v>
      </c>
      <c r="H751" t="s">
        <v>53</v>
      </c>
      <c r="I751">
        <v>3300</v>
      </c>
      <c r="J751">
        <v>66</v>
      </c>
      <c r="K751">
        <v>3234</v>
      </c>
    </row>
    <row r="752" spans="1:11">
      <c r="A752" t="s">
        <v>815</v>
      </c>
      <c r="B752" s="14">
        <v>43291</v>
      </c>
      <c r="C752" t="s">
        <v>52</v>
      </c>
      <c r="D752" t="s">
        <v>57</v>
      </c>
      <c r="E752">
        <v>10</v>
      </c>
      <c r="F752">
        <v>230</v>
      </c>
      <c r="G752">
        <v>0.02</v>
      </c>
      <c r="H752" t="s">
        <v>70</v>
      </c>
      <c r="I752">
        <v>2300</v>
      </c>
      <c r="J752">
        <v>46</v>
      </c>
      <c r="K752">
        <v>2254</v>
      </c>
    </row>
    <row r="753" spans="1:11">
      <c r="A753" t="s">
        <v>816</v>
      </c>
      <c r="B753" s="14">
        <v>43291</v>
      </c>
      <c r="C753" t="s">
        <v>48</v>
      </c>
      <c r="D753" t="s">
        <v>64</v>
      </c>
      <c r="E753">
        <v>21</v>
      </c>
      <c r="F753">
        <v>40</v>
      </c>
      <c r="G753">
        <v>0.01</v>
      </c>
      <c r="H753" t="s">
        <v>53</v>
      </c>
      <c r="I753">
        <v>840</v>
      </c>
      <c r="J753">
        <v>8</v>
      </c>
      <c r="K753">
        <v>831.6</v>
      </c>
    </row>
    <row r="754" spans="1:11">
      <c r="A754" t="s">
        <v>817</v>
      </c>
      <c r="B754" s="14">
        <v>43291</v>
      </c>
      <c r="C754" t="s">
        <v>52</v>
      </c>
      <c r="D754" t="s">
        <v>57</v>
      </c>
      <c r="E754">
        <v>5</v>
      </c>
      <c r="F754">
        <v>230</v>
      </c>
      <c r="G754">
        <v>0.1</v>
      </c>
      <c r="H754" t="s">
        <v>70</v>
      </c>
      <c r="I754">
        <v>1150</v>
      </c>
      <c r="J754">
        <v>115</v>
      </c>
      <c r="K754">
        <v>1035</v>
      </c>
    </row>
    <row r="755" spans="1:11">
      <c r="A755" t="s">
        <v>818</v>
      </c>
      <c r="B755" s="14">
        <v>43291</v>
      </c>
      <c r="C755" t="s">
        <v>52</v>
      </c>
      <c r="D755" t="s">
        <v>64</v>
      </c>
      <c r="E755">
        <v>13</v>
      </c>
      <c r="F755">
        <v>230</v>
      </c>
      <c r="G755">
        <v>0.06</v>
      </c>
      <c r="H755" t="s">
        <v>53</v>
      </c>
      <c r="I755">
        <v>2990</v>
      </c>
      <c r="J755">
        <v>179</v>
      </c>
      <c r="K755">
        <v>2810.6</v>
      </c>
    </row>
    <row r="756" spans="1:11">
      <c r="A756" t="s">
        <v>819</v>
      </c>
      <c r="B756" s="14">
        <v>43291</v>
      </c>
      <c r="C756" t="s">
        <v>67</v>
      </c>
      <c r="D756" t="s">
        <v>45</v>
      </c>
      <c r="E756">
        <v>23</v>
      </c>
      <c r="F756">
        <v>150</v>
      </c>
      <c r="G756">
        <v>0.1</v>
      </c>
      <c r="H756" t="s">
        <v>70</v>
      </c>
      <c r="I756">
        <v>3450</v>
      </c>
      <c r="J756">
        <v>345</v>
      </c>
      <c r="K756">
        <v>3105</v>
      </c>
    </row>
    <row r="757" spans="1:11">
      <c r="A757" t="s">
        <v>820</v>
      </c>
      <c r="B757" s="14">
        <v>43291</v>
      </c>
      <c r="C757" t="s">
        <v>67</v>
      </c>
      <c r="D757" t="s">
        <v>45</v>
      </c>
      <c r="E757">
        <v>20</v>
      </c>
      <c r="F757">
        <v>150</v>
      </c>
      <c r="G757">
        <v>0.03</v>
      </c>
      <c r="H757" t="s">
        <v>53</v>
      </c>
      <c r="I757">
        <v>3000</v>
      </c>
      <c r="J757">
        <v>90</v>
      </c>
      <c r="K757">
        <v>2910</v>
      </c>
    </row>
    <row r="758" spans="1:11">
      <c r="A758" t="s">
        <v>821</v>
      </c>
      <c r="B758" s="14">
        <v>43292</v>
      </c>
      <c r="C758" t="s">
        <v>52</v>
      </c>
      <c r="D758" t="s">
        <v>45</v>
      </c>
      <c r="E758">
        <v>3</v>
      </c>
      <c r="F758">
        <v>230</v>
      </c>
      <c r="G758">
        <v>0.11</v>
      </c>
      <c r="H758" t="s">
        <v>70</v>
      </c>
      <c r="I758">
        <v>690</v>
      </c>
      <c r="J758">
        <v>76</v>
      </c>
      <c r="K758">
        <v>614.1</v>
      </c>
    </row>
    <row r="759" spans="1:11">
      <c r="A759" t="s">
        <v>822</v>
      </c>
      <c r="B759" s="14">
        <v>43292</v>
      </c>
      <c r="C759" t="s">
        <v>67</v>
      </c>
      <c r="D759" t="s">
        <v>49</v>
      </c>
      <c r="E759">
        <v>16</v>
      </c>
      <c r="F759">
        <v>150</v>
      </c>
      <c r="G759">
        <v>0.08</v>
      </c>
      <c r="H759" t="s">
        <v>53</v>
      </c>
      <c r="I759">
        <v>2400</v>
      </c>
      <c r="J759">
        <v>192</v>
      </c>
      <c r="K759">
        <v>2208</v>
      </c>
    </row>
    <row r="760" spans="1:11">
      <c r="A760" t="s">
        <v>823</v>
      </c>
      <c r="B760" s="14">
        <v>43292</v>
      </c>
      <c r="C760" t="s">
        <v>63</v>
      </c>
      <c r="D760" t="s">
        <v>64</v>
      </c>
      <c r="E760">
        <v>14</v>
      </c>
      <c r="F760">
        <v>16</v>
      </c>
      <c r="G760">
        <v>0.06</v>
      </c>
      <c r="H760" t="s">
        <v>70</v>
      </c>
      <c r="I760">
        <v>224</v>
      </c>
      <c r="J760">
        <v>13</v>
      </c>
      <c r="K760">
        <v>210.56</v>
      </c>
    </row>
    <row r="761" spans="1:11">
      <c r="A761" t="s">
        <v>824</v>
      </c>
      <c r="B761" s="14">
        <v>43292</v>
      </c>
      <c r="C761" t="s">
        <v>67</v>
      </c>
      <c r="D761" t="s">
        <v>49</v>
      </c>
      <c r="E761">
        <v>16</v>
      </c>
      <c r="F761">
        <v>150</v>
      </c>
      <c r="G761">
        <v>0.03</v>
      </c>
      <c r="H761" t="s">
        <v>53</v>
      </c>
      <c r="I761">
        <v>2400</v>
      </c>
      <c r="J761">
        <v>72</v>
      </c>
      <c r="K761">
        <v>2328</v>
      </c>
    </row>
    <row r="762" spans="1:11">
      <c r="A762" t="s">
        <v>825</v>
      </c>
      <c r="B762" s="14">
        <v>43292</v>
      </c>
      <c r="C762" t="s">
        <v>63</v>
      </c>
      <c r="D762" t="s">
        <v>64</v>
      </c>
      <c r="E762">
        <v>19</v>
      </c>
      <c r="F762">
        <v>16</v>
      </c>
      <c r="G762">
        <v>0.02</v>
      </c>
      <c r="H762" t="s">
        <v>70</v>
      </c>
      <c r="I762">
        <v>304</v>
      </c>
      <c r="J762">
        <v>6</v>
      </c>
      <c r="K762">
        <v>297.92</v>
      </c>
    </row>
    <row r="763" spans="1:11">
      <c r="A763" t="s">
        <v>826</v>
      </c>
      <c r="B763" s="14">
        <v>43292</v>
      </c>
      <c r="C763" t="s">
        <v>44</v>
      </c>
      <c r="D763" t="s">
        <v>64</v>
      </c>
      <c r="E763">
        <v>6</v>
      </c>
      <c r="F763">
        <v>80</v>
      </c>
      <c r="G763">
        <v>0.09</v>
      </c>
      <c r="H763" t="s">
        <v>53</v>
      </c>
      <c r="I763">
        <v>480</v>
      </c>
      <c r="J763">
        <v>43</v>
      </c>
      <c r="K763">
        <v>436.8</v>
      </c>
    </row>
    <row r="764" spans="1:11">
      <c r="A764" t="s">
        <v>827</v>
      </c>
      <c r="B764" s="14">
        <v>43292</v>
      </c>
      <c r="C764" t="s">
        <v>44</v>
      </c>
      <c r="D764" t="s">
        <v>64</v>
      </c>
      <c r="E764">
        <v>9</v>
      </c>
      <c r="F764">
        <v>80</v>
      </c>
      <c r="G764">
        <v>0.07</v>
      </c>
      <c r="H764" t="s">
        <v>70</v>
      </c>
      <c r="I764">
        <v>720</v>
      </c>
      <c r="J764">
        <v>50</v>
      </c>
      <c r="K764">
        <v>669.6</v>
      </c>
    </row>
    <row r="765" spans="1:11">
      <c r="A765" t="s">
        <v>828</v>
      </c>
      <c r="B765" s="14">
        <v>43292</v>
      </c>
      <c r="C765" t="s">
        <v>67</v>
      </c>
      <c r="D765" t="s">
        <v>49</v>
      </c>
      <c r="E765">
        <v>20</v>
      </c>
      <c r="F765">
        <v>150</v>
      </c>
      <c r="G765">
        <v>0.09</v>
      </c>
      <c r="H765" t="s">
        <v>53</v>
      </c>
      <c r="I765">
        <v>3000</v>
      </c>
      <c r="J765">
        <v>270</v>
      </c>
      <c r="K765">
        <v>2730</v>
      </c>
    </row>
    <row r="766" spans="1:11">
      <c r="A766" t="s">
        <v>829</v>
      </c>
      <c r="B766" s="14">
        <v>43292</v>
      </c>
      <c r="C766" t="s">
        <v>44</v>
      </c>
      <c r="D766" t="s">
        <v>57</v>
      </c>
      <c r="E766">
        <v>10</v>
      </c>
      <c r="F766">
        <v>80</v>
      </c>
      <c r="G766">
        <v>0.11</v>
      </c>
      <c r="H766" t="s">
        <v>70</v>
      </c>
      <c r="I766">
        <v>800</v>
      </c>
      <c r="J766">
        <v>88</v>
      </c>
      <c r="K766">
        <v>712</v>
      </c>
    </row>
    <row r="767" spans="1:11">
      <c r="A767" t="s">
        <v>830</v>
      </c>
      <c r="B767" s="14">
        <v>43292</v>
      </c>
      <c r="C767" t="s">
        <v>63</v>
      </c>
      <c r="D767" t="s">
        <v>45</v>
      </c>
      <c r="E767">
        <v>4</v>
      </c>
      <c r="F767">
        <v>16</v>
      </c>
      <c r="G767">
        <v>0.12</v>
      </c>
      <c r="H767" t="s">
        <v>53</v>
      </c>
      <c r="I767">
        <v>64</v>
      </c>
      <c r="J767">
        <v>8</v>
      </c>
      <c r="K767">
        <v>56.32</v>
      </c>
    </row>
    <row r="768" spans="1:11">
      <c r="A768" t="s">
        <v>831</v>
      </c>
      <c r="B768" s="14">
        <v>43292</v>
      </c>
      <c r="C768" t="s">
        <v>48</v>
      </c>
      <c r="D768" t="s">
        <v>64</v>
      </c>
      <c r="E768">
        <v>16</v>
      </c>
      <c r="F768">
        <v>40</v>
      </c>
      <c r="G768">
        <v>0.11</v>
      </c>
      <c r="H768" t="s">
        <v>70</v>
      </c>
      <c r="I768">
        <v>640</v>
      </c>
      <c r="J768">
        <v>70</v>
      </c>
      <c r="K768">
        <v>569.6</v>
      </c>
    </row>
    <row r="769" spans="1:11">
      <c r="A769" t="s">
        <v>832</v>
      </c>
      <c r="B769" s="14">
        <v>43293</v>
      </c>
      <c r="C769" t="s">
        <v>44</v>
      </c>
      <c r="D769" t="s">
        <v>49</v>
      </c>
      <c r="E769">
        <v>5</v>
      </c>
      <c r="F769">
        <v>80</v>
      </c>
      <c r="G769">
        <v>0.04</v>
      </c>
      <c r="H769" t="s">
        <v>53</v>
      </c>
      <c r="I769">
        <v>400</v>
      </c>
      <c r="J769">
        <v>16</v>
      </c>
      <c r="K769">
        <v>384</v>
      </c>
    </row>
    <row r="770" spans="1:11">
      <c r="A770" t="s">
        <v>833</v>
      </c>
      <c r="B770" s="14">
        <v>43293</v>
      </c>
      <c r="C770" t="s">
        <v>63</v>
      </c>
      <c r="D770" t="s">
        <v>57</v>
      </c>
      <c r="E770">
        <v>11</v>
      </c>
      <c r="F770">
        <v>16</v>
      </c>
      <c r="G770">
        <v>0.04</v>
      </c>
      <c r="H770" t="s">
        <v>70</v>
      </c>
      <c r="I770">
        <v>176</v>
      </c>
      <c r="J770">
        <v>7</v>
      </c>
      <c r="K770">
        <v>168.96</v>
      </c>
    </row>
    <row r="771" spans="1:11">
      <c r="A771" t="s">
        <v>834</v>
      </c>
      <c r="B771" s="14">
        <v>43293</v>
      </c>
      <c r="C771" t="s">
        <v>67</v>
      </c>
      <c r="D771" t="s">
        <v>45</v>
      </c>
      <c r="E771">
        <v>17</v>
      </c>
      <c r="F771">
        <v>150</v>
      </c>
      <c r="G771">
        <v>0.12</v>
      </c>
      <c r="H771" t="s">
        <v>53</v>
      </c>
      <c r="I771">
        <v>2550</v>
      </c>
      <c r="J771">
        <v>306</v>
      </c>
      <c r="K771">
        <v>2244</v>
      </c>
    </row>
    <row r="772" spans="1:11">
      <c r="A772" t="s">
        <v>835</v>
      </c>
      <c r="B772" s="14">
        <v>43293</v>
      </c>
      <c r="C772" t="s">
        <v>52</v>
      </c>
      <c r="D772" t="s">
        <v>49</v>
      </c>
      <c r="E772">
        <v>19</v>
      </c>
      <c r="F772">
        <v>230</v>
      </c>
      <c r="G772">
        <v>0.11</v>
      </c>
      <c r="H772" t="s">
        <v>70</v>
      </c>
      <c r="I772">
        <v>4370</v>
      </c>
      <c r="J772">
        <v>481</v>
      </c>
      <c r="K772">
        <v>3889.3</v>
      </c>
    </row>
    <row r="773" spans="1:11">
      <c r="A773" t="s">
        <v>836</v>
      </c>
      <c r="B773" s="14">
        <v>43293</v>
      </c>
      <c r="C773" t="s">
        <v>44</v>
      </c>
      <c r="D773" t="s">
        <v>45</v>
      </c>
      <c r="E773">
        <v>21</v>
      </c>
      <c r="F773">
        <v>80</v>
      </c>
      <c r="G773">
        <v>0.04</v>
      </c>
      <c r="H773" t="s">
        <v>53</v>
      </c>
      <c r="I773">
        <v>1680</v>
      </c>
      <c r="J773">
        <v>67</v>
      </c>
      <c r="K773">
        <v>1612.8</v>
      </c>
    </row>
    <row r="774" spans="1:11">
      <c r="A774" t="s">
        <v>837</v>
      </c>
      <c r="B774" s="14">
        <v>43293</v>
      </c>
      <c r="C774" t="s">
        <v>52</v>
      </c>
      <c r="D774" t="s">
        <v>49</v>
      </c>
      <c r="E774">
        <v>7</v>
      </c>
      <c r="F774">
        <v>230</v>
      </c>
      <c r="G774">
        <v>0.01</v>
      </c>
      <c r="H774" t="s">
        <v>70</v>
      </c>
      <c r="I774">
        <v>1610</v>
      </c>
      <c r="J774">
        <v>16</v>
      </c>
      <c r="K774">
        <v>1593.9</v>
      </c>
    </row>
    <row r="775" spans="1:11">
      <c r="A775" t="s">
        <v>838</v>
      </c>
      <c r="B775" s="14">
        <v>43293</v>
      </c>
      <c r="C775" t="s">
        <v>48</v>
      </c>
      <c r="D775" t="s">
        <v>57</v>
      </c>
      <c r="E775">
        <v>2</v>
      </c>
      <c r="F775">
        <v>40</v>
      </c>
      <c r="G775">
        <v>0.03</v>
      </c>
      <c r="H775" t="s">
        <v>53</v>
      </c>
      <c r="I775">
        <v>80</v>
      </c>
      <c r="J775">
        <v>2</v>
      </c>
      <c r="K775">
        <v>77.6</v>
      </c>
    </row>
    <row r="776" spans="1:11">
      <c r="A776" t="s">
        <v>839</v>
      </c>
      <c r="B776" s="14">
        <v>43293</v>
      </c>
      <c r="C776" t="s">
        <v>67</v>
      </c>
      <c r="D776" t="s">
        <v>45</v>
      </c>
      <c r="E776">
        <v>7</v>
      </c>
      <c r="F776">
        <v>150</v>
      </c>
      <c r="G776">
        <v>0.02</v>
      </c>
      <c r="H776" t="s">
        <v>70</v>
      </c>
      <c r="I776">
        <v>1050</v>
      </c>
      <c r="J776">
        <v>21</v>
      </c>
      <c r="K776">
        <v>1029</v>
      </c>
    </row>
    <row r="777" spans="1:11">
      <c r="A777" t="s">
        <v>840</v>
      </c>
      <c r="B777" s="14">
        <v>43294</v>
      </c>
      <c r="C777" t="s">
        <v>44</v>
      </c>
      <c r="D777" t="s">
        <v>57</v>
      </c>
      <c r="E777">
        <v>16</v>
      </c>
      <c r="F777">
        <v>80</v>
      </c>
      <c r="G777">
        <v>0.04</v>
      </c>
      <c r="H777" t="s">
        <v>53</v>
      </c>
      <c r="I777">
        <v>1280</v>
      </c>
      <c r="J777">
        <v>51</v>
      </c>
      <c r="K777">
        <v>1228.8</v>
      </c>
    </row>
    <row r="778" spans="1:11">
      <c r="A778" t="s">
        <v>841</v>
      </c>
      <c r="B778" s="14">
        <v>43294</v>
      </c>
      <c r="C778" t="s">
        <v>48</v>
      </c>
      <c r="D778" t="s">
        <v>49</v>
      </c>
      <c r="E778">
        <v>4</v>
      </c>
      <c r="F778">
        <v>40</v>
      </c>
      <c r="G778">
        <v>0.12</v>
      </c>
      <c r="H778" t="s">
        <v>70</v>
      </c>
      <c r="I778">
        <v>160</v>
      </c>
      <c r="J778">
        <v>19</v>
      </c>
      <c r="K778">
        <v>140.8</v>
      </c>
    </row>
    <row r="779" spans="1:11">
      <c r="A779" t="s">
        <v>842</v>
      </c>
      <c r="B779" s="14">
        <v>43294</v>
      </c>
      <c r="C779" t="s">
        <v>63</v>
      </c>
      <c r="D779" t="s">
        <v>45</v>
      </c>
      <c r="E779">
        <v>22</v>
      </c>
      <c r="F779">
        <v>16</v>
      </c>
      <c r="G779">
        <v>0.01</v>
      </c>
      <c r="H779" t="s">
        <v>53</v>
      </c>
      <c r="I779">
        <v>352</v>
      </c>
      <c r="J779">
        <v>4</v>
      </c>
      <c r="K779">
        <v>348.48</v>
      </c>
    </row>
    <row r="780" spans="1:11">
      <c r="A780" t="s">
        <v>843</v>
      </c>
      <c r="B780" s="14">
        <v>43294</v>
      </c>
      <c r="C780" t="s">
        <v>48</v>
      </c>
      <c r="D780" t="s">
        <v>60</v>
      </c>
      <c r="E780">
        <v>18</v>
      </c>
      <c r="F780">
        <v>40</v>
      </c>
      <c r="G780">
        <v>0.06</v>
      </c>
      <c r="H780" t="s">
        <v>70</v>
      </c>
      <c r="I780">
        <v>720</v>
      </c>
      <c r="J780">
        <v>43</v>
      </c>
      <c r="K780">
        <v>676.8</v>
      </c>
    </row>
    <row r="781" spans="1:11">
      <c r="A781" t="s">
        <v>844</v>
      </c>
      <c r="B781" s="14">
        <v>43294</v>
      </c>
      <c r="C781" t="s">
        <v>44</v>
      </c>
      <c r="D781" t="s">
        <v>57</v>
      </c>
      <c r="E781">
        <v>6</v>
      </c>
      <c r="F781">
        <v>80</v>
      </c>
      <c r="G781">
        <v>0.01</v>
      </c>
      <c r="H781" t="s">
        <v>53</v>
      </c>
      <c r="I781">
        <v>480</v>
      </c>
      <c r="J781">
        <v>5</v>
      </c>
      <c r="K781">
        <v>475.2</v>
      </c>
    </row>
    <row r="782" spans="1:11">
      <c r="A782" t="s">
        <v>845</v>
      </c>
      <c r="B782" s="14">
        <v>43294</v>
      </c>
      <c r="C782" t="s">
        <v>52</v>
      </c>
      <c r="D782" t="s">
        <v>57</v>
      </c>
      <c r="E782">
        <v>2</v>
      </c>
      <c r="F782">
        <v>230</v>
      </c>
      <c r="G782">
        <v>0.09</v>
      </c>
      <c r="H782" t="s">
        <v>70</v>
      </c>
      <c r="I782">
        <v>460</v>
      </c>
      <c r="J782">
        <v>41</v>
      </c>
      <c r="K782">
        <v>418.6</v>
      </c>
    </row>
    <row r="783" spans="1:11">
      <c r="A783" t="s">
        <v>846</v>
      </c>
      <c r="B783" s="14">
        <v>43295</v>
      </c>
      <c r="C783" t="s">
        <v>67</v>
      </c>
      <c r="D783" t="s">
        <v>64</v>
      </c>
      <c r="E783">
        <v>11</v>
      </c>
      <c r="F783">
        <v>150</v>
      </c>
      <c r="G783">
        <v>0.09</v>
      </c>
      <c r="H783" t="s">
        <v>53</v>
      </c>
      <c r="I783">
        <v>1650</v>
      </c>
      <c r="J783">
        <v>148</v>
      </c>
      <c r="K783">
        <v>1501.5</v>
      </c>
    </row>
    <row r="784" spans="1:11">
      <c r="A784" t="s">
        <v>847</v>
      </c>
      <c r="B784" s="14">
        <v>43295</v>
      </c>
      <c r="C784" t="s">
        <v>67</v>
      </c>
      <c r="D784" t="s">
        <v>60</v>
      </c>
      <c r="E784">
        <v>15</v>
      </c>
      <c r="F784">
        <v>150</v>
      </c>
      <c r="G784">
        <v>0.08</v>
      </c>
      <c r="H784" t="s">
        <v>70</v>
      </c>
      <c r="I784">
        <v>2250</v>
      </c>
      <c r="J784">
        <v>180</v>
      </c>
      <c r="K784">
        <v>2070</v>
      </c>
    </row>
    <row r="785" spans="1:11">
      <c r="A785" t="s">
        <v>848</v>
      </c>
      <c r="B785" s="14">
        <v>43295</v>
      </c>
      <c r="C785" t="s">
        <v>44</v>
      </c>
      <c r="D785" t="s">
        <v>45</v>
      </c>
      <c r="E785">
        <v>17</v>
      </c>
      <c r="F785">
        <v>80</v>
      </c>
      <c r="G785">
        <v>0.09</v>
      </c>
      <c r="H785" t="s">
        <v>53</v>
      </c>
      <c r="I785">
        <v>1360</v>
      </c>
      <c r="J785">
        <v>122</v>
      </c>
      <c r="K785">
        <v>1237.6</v>
      </c>
    </row>
    <row r="786" spans="1:11">
      <c r="A786" t="s">
        <v>849</v>
      </c>
      <c r="B786" s="14">
        <v>43295</v>
      </c>
      <c r="C786" t="s">
        <v>67</v>
      </c>
      <c r="D786" t="s">
        <v>64</v>
      </c>
      <c r="E786">
        <v>13</v>
      </c>
      <c r="F786">
        <v>150</v>
      </c>
      <c r="G786">
        <v>0.11</v>
      </c>
      <c r="H786" t="s">
        <v>70</v>
      </c>
      <c r="I786">
        <v>1950</v>
      </c>
      <c r="J786">
        <v>214</v>
      </c>
      <c r="K786">
        <v>1735.5</v>
      </c>
    </row>
    <row r="787" spans="1:11">
      <c r="A787" t="s">
        <v>850</v>
      </c>
      <c r="B787" s="14">
        <v>43295</v>
      </c>
      <c r="C787" t="s">
        <v>48</v>
      </c>
      <c r="D787" t="s">
        <v>60</v>
      </c>
      <c r="E787">
        <v>7</v>
      </c>
      <c r="F787">
        <v>40</v>
      </c>
      <c r="G787">
        <v>0.07</v>
      </c>
      <c r="H787" t="s">
        <v>53</v>
      </c>
      <c r="I787">
        <v>280</v>
      </c>
      <c r="J787">
        <v>20</v>
      </c>
      <c r="K787">
        <v>260.4</v>
      </c>
    </row>
    <row r="788" spans="1:11">
      <c r="A788" t="s">
        <v>851</v>
      </c>
      <c r="B788" s="14">
        <v>43295</v>
      </c>
      <c r="C788" t="s">
        <v>52</v>
      </c>
      <c r="D788" t="s">
        <v>60</v>
      </c>
      <c r="E788">
        <v>3</v>
      </c>
      <c r="F788">
        <v>230</v>
      </c>
      <c r="G788">
        <v>0.01</v>
      </c>
      <c r="H788" t="s">
        <v>70</v>
      </c>
      <c r="I788">
        <v>690</v>
      </c>
      <c r="J788">
        <v>7</v>
      </c>
      <c r="K788">
        <v>683.1</v>
      </c>
    </row>
    <row r="789" spans="1:11">
      <c r="A789" t="s">
        <v>852</v>
      </c>
      <c r="B789" s="14">
        <v>43295</v>
      </c>
      <c r="C789" t="s">
        <v>48</v>
      </c>
      <c r="D789" t="s">
        <v>57</v>
      </c>
      <c r="E789">
        <v>12</v>
      </c>
      <c r="F789">
        <v>40</v>
      </c>
      <c r="G789">
        <v>0.02</v>
      </c>
      <c r="H789" t="s">
        <v>53</v>
      </c>
      <c r="I789">
        <v>480</v>
      </c>
      <c r="J789">
        <v>10</v>
      </c>
      <c r="K789">
        <v>470.4</v>
      </c>
    </row>
    <row r="790" spans="1:11">
      <c r="A790" t="s">
        <v>853</v>
      </c>
      <c r="B790" s="14">
        <v>43295</v>
      </c>
      <c r="C790" t="s">
        <v>67</v>
      </c>
      <c r="D790" t="s">
        <v>57</v>
      </c>
      <c r="E790">
        <v>11</v>
      </c>
      <c r="F790">
        <v>150</v>
      </c>
      <c r="G790">
        <v>0.11</v>
      </c>
      <c r="H790" t="s">
        <v>70</v>
      </c>
      <c r="I790">
        <v>1650</v>
      </c>
      <c r="J790">
        <v>182</v>
      </c>
      <c r="K790">
        <v>1468.5</v>
      </c>
    </row>
    <row r="791" spans="1:11">
      <c r="A791" t="s">
        <v>854</v>
      </c>
      <c r="B791" s="14">
        <v>43295</v>
      </c>
      <c r="C791" t="s">
        <v>48</v>
      </c>
      <c r="D791" t="s">
        <v>49</v>
      </c>
      <c r="E791">
        <v>21</v>
      </c>
      <c r="F791">
        <v>40</v>
      </c>
      <c r="G791">
        <v>0.03</v>
      </c>
      <c r="H791" t="s">
        <v>53</v>
      </c>
      <c r="I791">
        <v>840</v>
      </c>
      <c r="J791">
        <v>25</v>
      </c>
      <c r="K791">
        <v>814.8</v>
      </c>
    </row>
    <row r="792" spans="1:11">
      <c r="A792" t="s">
        <v>855</v>
      </c>
      <c r="B792" s="14">
        <v>43295</v>
      </c>
      <c r="C792" t="s">
        <v>67</v>
      </c>
      <c r="D792" t="s">
        <v>45</v>
      </c>
      <c r="E792">
        <v>22</v>
      </c>
      <c r="F792">
        <v>150</v>
      </c>
      <c r="G792">
        <v>0.07</v>
      </c>
      <c r="H792" t="s">
        <v>70</v>
      </c>
      <c r="I792">
        <v>3300</v>
      </c>
      <c r="J792">
        <v>231</v>
      </c>
      <c r="K792">
        <v>3069</v>
      </c>
    </row>
    <row r="793" spans="1:11">
      <c r="A793" t="s">
        <v>856</v>
      </c>
      <c r="B793" s="14">
        <v>43295</v>
      </c>
      <c r="C793" t="s">
        <v>48</v>
      </c>
      <c r="D793" t="s">
        <v>57</v>
      </c>
      <c r="E793">
        <v>20</v>
      </c>
      <c r="F793">
        <v>40</v>
      </c>
      <c r="G793">
        <v>0.01</v>
      </c>
      <c r="H793" t="s">
        <v>53</v>
      </c>
      <c r="I793">
        <v>800</v>
      </c>
      <c r="J793">
        <v>8</v>
      </c>
      <c r="K793">
        <v>792</v>
      </c>
    </row>
    <row r="794" spans="1:11">
      <c r="A794" t="s">
        <v>857</v>
      </c>
      <c r="B794" s="14">
        <v>43296</v>
      </c>
      <c r="C794" t="s">
        <v>63</v>
      </c>
      <c r="D794" t="s">
        <v>64</v>
      </c>
      <c r="E794">
        <v>22</v>
      </c>
      <c r="F794">
        <v>16</v>
      </c>
      <c r="G794">
        <v>0.12</v>
      </c>
      <c r="H794" t="s">
        <v>70</v>
      </c>
      <c r="I794">
        <v>352</v>
      </c>
      <c r="J794">
        <v>42</v>
      </c>
      <c r="K794">
        <v>309.76</v>
      </c>
    </row>
    <row r="795" spans="1:11">
      <c r="A795" t="s">
        <v>858</v>
      </c>
      <c r="B795" s="14">
        <v>43296</v>
      </c>
      <c r="C795" t="s">
        <v>48</v>
      </c>
      <c r="D795" t="s">
        <v>57</v>
      </c>
      <c r="E795">
        <v>4</v>
      </c>
      <c r="F795">
        <v>40</v>
      </c>
      <c r="G795">
        <v>0.1</v>
      </c>
      <c r="H795" t="s">
        <v>53</v>
      </c>
      <c r="I795">
        <v>160</v>
      </c>
      <c r="J795">
        <v>16</v>
      </c>
      <c r="K795">
        <v>144</v>
      </c>
    </row>
    <row r="796" spans="1:11">
      <c r="A796" t="s">
        <v>859</v>
      </c>
      <c r="B796" s="14">
        <v>43296</v>
      </c>
      <c r="C796" t="s">
        <v>52</v>
      </c>
      <c r="D796" t="s">
        <v>60</v>
      </c>
      <c r="E796">
        <v>2</v>
      </c>
      <c r="F796">
        <v>230</v>
      </c>
      <c r="G796">
        <v>0.09</v>
      </c>
      <c r="H796" t="s">
        <v>70</v>
      </c>
      <c r="I796">
        <v>460</v>
      </c>
      <c r="J796">
        <v>41</v>
      </c>
      <c r="K796">
        <v>418.6</v>
      </c>
    </row>
    <row r="797" spans="1:11">
      <c r="A797" t="s">
        <v>860</v>
      </c>
      <c r="B797" s="14">
        <v>43296</v>
      </c>
      <c r="C797" t="s">
        <v>48</v>
      </c>
      <c r="D797" t="s">
        <v>45</v>
      </c>
      <c r="E797">
        <v>22</v>
      </c>
      <c r="F797">
        <v>40</v>
      </c>
      <c r="G797">
        <v>0.02</v>
      </c>
      <c r="H797" t="s">
        <v>53</v>
      </c>
      <c r="I797">
        <v>880</v>
      </c>
      <c r="J797">
        <v>18</v>
      </c>
      <c r="K797">
        <v>862.4</v>
      </c>
    </row>
    <row r="798" spans="1:11">
      <c r="A798" t="s">
        <v>861</v>
      </c>
      <c r="B798" s="14">
        <v>43296</v>
      </c>
      <c r="C798" t="s">
        <v>48</v>
      </c>
      <c r="D798" t="s">
        <v>49</v>
      </c>
      <c r="E798">
        <v>4</v>
      </c>
      <c r="F798">
        <v>40</v>
      </c>
      <c r="G798">
        <v>0.03</v>
      </c>
      <c r="H798" t="s">
        <v>70</v>
      </c>
      <c r="I798">
        <v>160</v>
      </c>
      <c r="J798">
        <v>5</v>
      </c>
      <c r="K798">
        <v>155.2</v>
      </c>
    </row>
    <row r="799" spans="1:11">
      <c r="A799" t="s">
        <v>862</v>
      </c>
      <c r="B799" s="14">
        <v>43296</v>
      </c>
      <c r="C799" t="s">
        <v>63</v>
      </c>
      <c r="D799" t="s">
        <v>49</v>
      </c>
      <c r="E799">
        <v>5</v>
      </c>
      <c r="F799">
        <v>16</v>
      </c>
      <c r="G799">
        <v>0.11</v>
      </c>
      <c r="H799" t="s">
        <v>53</v>
      </c>
      <c r="I799">
        <v>80</v>
      </c>
      <c r="J799">
        <v>9</v>
      </c>
      <c r="K799">
        <v>71.2</v>
      </c>
    </row>
    <row r="800" spans="1:11">
      <c r="A800" t="s">
        <v>863</v>
      </c>
      <c r="B800" s="14">
        <v>43296</v>
      </c>
      <c r="C800" t="s">
        <v>44</v>
      </c>
      <c r="D800" t="s">
        <v>60</v>
      </c>
      <c r="E800">
        <v>2</v>
      </c>
      <c r="F800">
        <v>80</v>
      </c>
      <c r="G800">
        <v>0.08</v>
      </c>
      <c r="H800" t="s">
        <v>70</v>
      </c>
      <c r="I800">
        <v>160</v>
      </c>
      <c r="J800">
        <v>13</v>
      </c>
      <c r="K800">
        <v>147.2</v>
      </c>
    </row>
    <row r="801" spans="1:11">
      <c r="A801" t="s">
        <v>864</v>
      </c>
      <c r="B801" s="14">
        <v>43296</v>
      </c>
      <c r="C801" t="s">
        <v>63</v>
      </c>
      <c r="D801" t="s">
        <v>57</v>
      </c>
      <c r="E801">
        <v>9</v>
      </c>
      <c r="F801">
        <v>16</v>
      </c>
      <c r="G801">
        <v>0.05</v>
      </c>
      <c r="H801" t="s">
        <v>53</v>
      </c>
      <c r="I801">
        <v>144</v>
      </c>
      <c r="J801">
        <v>7</v>
      </c>
      <c r="K801">
        <v>136.8</v>
      </c>
    </row>
    <row r="802" spans="1:11">
      <c r="A802" t="s">
        <v>865</v>
      </c>
      <c r="B802" s="14">
        <v>43296</v>
      </c>
      <c r="C802" t="s">
        <v>52</v>
      </c>
      <c r="D802" t="s">
        <v>57</v>
      </c>
      <c r="E802">
        <v>6</v>
      </c>
      <c r="F802">
        <v>230</v>
      </c>
      <c r="G802">
        <v>0.05</v>
      </c>
      <c r="H802" t="s">
        <v>70</v>
      </c>
      <c r="I802">
        <v>1380</v>
      </c>
      <c r="J802">
        <v>69</v>
      </c>
      <c r="K802">
        <v>1311</v>
      </c>
    </row>
    <row r="803" spans="1:11">
      <c r="A803" t="s">
        <v>866</v>
      </c>
      <c r="B803" s="14">
        <v>43296</v>
      </c>
      <c r="C803" t="s">
        <v>67</v>
      </c>
      <c r="D803" t="s">
        <v>60</v>
      </c>
      <c r="E803">
        <v>22</v>
      </c>
      <c r="F803">
        <v>150</v>
      </c>
      <c r="G803">
        <v>0.05</v>
      </c>
      <c r="H803" t="s">
        <v>53</v>
      </c>
      <c r="I803">
        <v>3300</v>
      </c>
      <c r="J803">
        <v>165</v>
      </c>
      <c r="K803">
        <v>3135</v>
      </c>
    </row>
    <row r="804" spans="1:11">
      <c r="A804" t="s">
        <v>867</v>
      </c>
      <c r="B804" s="14">
        <v>43297</v>
      </c>
      <c r="C804" t="s">
        <v>52</v>
      </c>
      <c r="D804" t="s">
        <v>60</v>
      </c>
      <c r="E804">
        <v>8</v>
      </c>
      <c r="F804">
        <v>230</v>
      </c>
      <c r="G804">
        <v>0.01</v>
      </c>
      <c r="H804" t="s">
        <v>70</v>
      </c>
      <c r="I804">
        <v>1840</v>
      </c>
      <c r="J804">
        <v>18</v>
      </c>
      <c r="K804">
        <v>1821.6</v>
      </c>
    </row>
    <row r="805" spans="1:11">
      <c r="A805" t="s">
        <v>868</v>
      </c>
      <c r="B805" s="14">
        <v>43297</v>
      </c>
      <c r="C805" t="s">
        <v>67</v>
      </c>
      <c r="D805" t="s">
        <v>45</v>
      </c>
      <c r="E805">
        <v>22</v>
      </c>
      <c r="F805">
        <v>150</v>
      </c>
      <c r="G805">
        <v>0.05</v>
      </c>
      <c r="H805" t="s">
        <v>53</v>
      </c>
      <c r="I805">
        <v>3300</v>
      </c>
      <c r="J805">
        <v>165</v>
      </c>
      <c r="K805">
        <v>3135</v>
      </c>
    </row>
    <row r="806" spans="1:11">
      <c r="A806" t="s">
        <v>869</v>
      </c>
      <c r="B806" s="14">
        <v>43297</v>
      </c>
      <c r="C806" t="s">
        <v>48</v>
      </c>
      <c r="D806" t="s">
        <v>45</v>
      </c>
      <c r="E806">
        <v>5</v>
      </c>
      <c r="F806">
        <v>40</v>
      </c>
      <c r="G806">
        <v>0.06</v>
      </c>
      <c r="H806" t="s">
        <v>70</v>
      </c>
      <c r="I806">
        <v>200</v>
      </c>
      <c r="J806">
        <v>12</v>
      </c>
      <c r="K806">
        <v>188</v>
      </c>
    </row>
    <row r="807" spans="1:11">
      <c r="A807" t="s">
        <v>870</v>
      </c>
      <c r="B807" s="14">
        <v>43297</v>
      </c>
      <c r="C807" t="s">
        <v>67</v>
      </c>
      <c r="D807" t="s">
        <v>60</v>
      </c>
      <c r="E807">
        <v>20</v>
      </c>
      <c r="F807">
        <v>150</v>
      </c>
      <c r="G807">
        <v>0.1</v>
      </c>
      <c r="H807" t="s">
        <v>53</v>
      </c>
      <c r="I807">
        <v>3000</v>
      </c>
      <c r="J807">
        <v>300</v>
      </c>
      <c r="K807">
        <v>2700</v>
      </c>
    </row>
    <row r="808" spans="1:11">
      <c r="A808" t="s">
        <v>871</v>
      </c>
      <c r="B808" s="14">
        <v>43297</v>
      </c>
      <c r="C808" t="s">
        <v>44</v>
      </c>
      <c r="D808" t="s">
        <v>60</v>
      </c>
      <c r="E808">
        <v>22</v>
      </c>
      <c r="F808">
        <v>80</v>
      </c>
      <c r="G808">
        <v>0.03</v>
      </c>
      <c r="H808" t="s">
        <v>70</v>
      </c>
      <c r="I808">
        <v>1760</v>
      </c>
      <c r="J808">
        <v>53</v>
      </c>
      <c r="K808">
        <v>1707.2</v>
      </c>
    </row>
    <row r="809" spans="1:11">
      <c r="A809" t="s">
        <v>872</v>
      </c>
      <c r="B809" s="14">
        <v>43297</v>
      </c>
      <c r="C809" t="s">
        <v>63</v>
      </c>
      <c r="D809" t="s">
        <v>45</v>
      </c>
      <c r="E809">
        <v>11</v>
      </c>
      <c r="F809">
        <v>16</v>
      </c>
      <c r="G809">
        <v>0.09</v>
      </c>
      <c r="H809" t="s">
        <v>53</v>
      </c>
      <c r="I809">
        <v>176</v>
      </c>
      <c r="J809">
        <v>16</v>
      </c>
      <c r="K809">
        <v>160.16</v>
      </c>
    </row>
    <row r="810" spans="1:11">
      <c r="A810" t="s">
        <v>873</v>
      </c>
      <c r="B810" s="14">
        <v>43297</v>
      </c>
      <c r="C810" t="s">
        <v>63</v>
      </c>
      <c r="D810" t="s">
        <v>49</v>
      </c>
      <c r="E810">
        <v>22</v>
      </c>
      <c r="F810">
        <v>16</v>
      </c>
      <c r="G810">
        <v>0.01</v>
      </c>
      <c r="H810" t="s">
        <v>70</v>
      </c>
      <c r="I810">
        <v>352</v>
      </c>
      <c r="J810">
        <v>4</v>
      </c>
      <c r="K810">
        <v>348.48</v>
      </c>
    </row>
    <row r="811" spans="1:11">
      <c r="A811" t="s">
        <v>874</v>
      </c>
      <c r="B811" s="14">
        <v>43297</v>
      </c>
      <c r="C811" t="s">
        <v>48</v>
      </c>
      <c r="D811" t="s">
        <v>49</v>
      </c>
      <c r="E811">
        <v>23</v>
      </c>
      <c r="F811">
        <v>40</v>
      </c>
      <c r="G811">
        <v>0.06</v>
      </c>
      <c r="H811" t="s">
        <v>53</v>
      </c>
      <c r="I811">
        <v>920</v>
      </c>
      <c r="J811">
        <v>55</v>
      </c>
      <c r="K811">
        <v>864.8</v>
      </c>
    </row>
    <row r="812" spans="1:11">
      <c r="A812" t="s">
        <v>875</v>
      </c>
      <c r="B812" s="14">
        <v>43297</v>
      </c>
      <c r="C812" t="s">
        <v>44</v>
      </c>
      <c r="D812" t="s">
        <v>57</v>
      </c>
      <c r="E812">
        <v>14</v>
      </c>
      <c r="F812">
        <v>80</v>
      </c>
      <c r="G812">
        <v>0.1</v>
      </c>
      <c r="H812" t="s">
        <v>70</v>
      </c>
      <c r="I812">
        <v>1120</v>
      </c>
      <c r="J812">
        <v>112</v>
      </c>
      <c r="K812">
        <v>1008</v>
      </c>
    </row>
    <row r="813" spans="1:11">
      <c r="A813" t="s">
        <v>876</v>
      </c>
      <c r="B813" s="14">
        <v>43297</v>
      </c>
      <c r="C813" t="s">
        <v>48</v>
      </c>
      <c r="D813" t="s">
        <v>45</v>
      </c>
      <c r="E813">
        <v>18</v>
      </c>
      <c r="F813">
        <v>40</v>
      </c>
      <c r="G813">
        <v>0.06</v>
      </c>
      <c r="H813" t="s">
        <v>53</v>
      </c>
      <c r="I813">
        <v>720</v>
      </c>
      <c r="J813">
        <v>43</v>
      </c>
      <c r="K813">
        <v>676.8</v>
      </c>
    </row>
    <row r="814" spans="1:11">
      <c r="A814" t="s">
        <v>877</v>
      </c>
      <c r="B814" s="14">
        <v>43298</v>
      </c>
      <c r="C814" t="s">
        <v>67</v>
      </c>
      <c r="D814" t="s">
        <v>60</v>
      </c>
      <c r="E814">
        <v>7</v>
      </c>
      <c r="F814">
        <v>150</v>
      </c>
      <c r="G814">
        <v>0.05</v>
      </c>
      <c r="H814" t="s">
        <v>50</v>
      </c>
      <c r="I814">
        <v>1050</v>
      </c>
      <c r="J814">
        <v>52</v>
      </c>
      <c r="K814">
        <v>997.5</v>
      </c>
    </row>
    <row r="815" spans="1:11">
      <c r="A815" t="s">
        <v>878</v>
      </c>
      <c r="B815" s="14">
        <v>43298</v>
      </c>
      <c r="C815" t="s">
        <v>48</v>
      </c>
      <c r="D815" t="s">
        <v>60</v>
      </c>
      <c r="E815">
        <v>15</v>
      </c>
      <c r="F815">
        <v>40</v>
      </c>
      <c r="G815">
        <v>0.03</v>
      </c>
      <c r="H815" t="s">
        <v>53</v>
      </c>
      <c r="I815">
        <v>600</v>
      </c>
      <c r="J815">
        <v>18</v>
      </c>
      <c r="K815">
        <v>582</v>
      </c>
    </row>
    <row r="816" spans="1:11">
      <c r="A816" t="s">
        <v>879</v>
      </c>
      <c r="B816" s="14">
        <v>43298</v>
      </c>
      <c r="C816" t="s">
        <v>63</v>
      </c>
      <c r="D816" t="s">
        <v>45</v>
      </c>
      <c r="E816">
        <v>7</v>
      </c>
      <c r="F816">
        <v>16</v>
      </c>
      <c r="G816">
        <v>0.02</v>
      </c>
      <c r="H816" t="s">
        <v>55</v>
      </c>
      <c r="I816">
        <v>112</v>
      </c>
      <c r="J816">
        <v>2</v>
      </c>
      <c r="K816">
        <v>109.76</v>
      </c>
    </row>
    <row r="817" spans="1:11">
      <c r="A817" t="s">
        <v>880</v>
      </c>
      <c r="B817" s="14">
        <v>43298</v>
      </c>
      <c r="C817" t="s">
        <v>63</v>
      </c>
      <c r="D817" t="s">
        <v>60</v>
      </c>
      <c r="E817">
        <v>15</v>
      </c>
      <c r="F817">
        <v>16</v>
      </c>
      <c r="G817">
        <v>0.12</v>
      </c>
      <c r="H817" t="s">
        <v>58</v>
      </c>
      <c r="I817">
        <v>240</v>
      </c>
      <c r="J817">
        <v>29</v>
      </c>
      <c r="K817">
        <v>211.2</v>
      </c>
    </row>
    <row r="818" spans="1:11">
      <c r="A818" t="s">
        <v>881</v>
      </c>
      <c r="B818" s="14">
        <v>43298</v>
      </c>
      <c r="C818" t="s">
        <v>48</v>
      </c>
      <c r="D818" t="s">
        <v>45</v>
      </c>
      <c r="E818">
        <v>5</v>
      </c>
      <c r="F818">
        <v>40</v>
      </c>
      <c r="G818">
        <v>0.09</v>
      </c>
      <c r="H818" t="s">
        <v>61</v>
      </c>
      <c r="I818">
        <v>200</v>
      </c>
      <c r="J818">
        <v>18</v>
      </c>
      <c r="K818">
        <v>182</v>
      </c>
    </row>
    <row r="819" spans="1:11">
      <c r="A819" t="s">
        <v>882</v>
      </c>
      <c r="B819" s="14">
        <v>43298</v>
      </c>
      <c r="C819" t="s">
        <v>48</v>
      </c>
      <c r="D819" t="s">
        <v>64</v>
      </c>
      <c r="E819">
        <v>20</v>
      </c>
      <c r="F819">
        <v>40</v>
      </c>
      <c r="G819">
        <v>0.03</v>
      </c>
      <c r="H819" t="s">
        <v>65</v>
      </c>
      <c r="I819">
        <v>800</v>
      </c>
      <c r="J819">
        <v>24</v>
      </c>
      <c r="K819">
        <v>776</v>
      </c>
    </row>
    <row r="820" spans="1:11">
      <c r="A820" t="s">
        <v>883</v>
      </c>
      <c r="B820" s="14">
        <v>43298</v>
      </c>
      <c r="C820" t="s">
        <v>52</v>
      </c>
      <c r="D820" t="s">
        <v>60</v>
      </c>
      <c r="E820">
        <v>11</v>
      </c>
      <c r="F820">
        <v>230</v>
      </c>
      <c r="G820">
        <v>0.12</v>
      </c>
      <c r="H820" t="s">
        <v>68</v>
      </c>
      <c r="I820">
        <v>2530</v>
      </c>
      <c r="J820">
        <v>304</v>
      </c>
      <c r="K820">
        <v>2226.4</v>
      </c>
    </row>
    <row r="821" spans="1:11">
      <c r="A821" t="s">
        <v>884</v>
      </c>
      <c r="B821" s="14">
        <v>43298</v>
      </c>
      <c r="C821" t="s">
        <v>63</v>
      </c>
      <c r="D821" t="s">
        <v>64</v>
      </c>
      <c r="E821">
        <v>17</v>
      </c>
      <c r="F821">
        <v>16</v>
      </c>
      <c r="G821">
        <v>0.08</v>
      </c>
      <c r="H821" t="s">
        <v>70</v>
      </c>
      <c r="I821">
        <v>272</v>
      </c>
      <c r="J821">
        <v>22</v>
      </c>
      <c r="K821">
        <v>250.24</v>
      </c>
    </row>
    <row r="822" spans="1:11">
      <c r="A822" t="s">
        <v>885</v>
      </c>
      <c r="B822" s="14">
        <v>43299</v>
      </c>
      <c r="C822" t="s">
        <v>63</v>
      </c>
      <c r="D822" t="s">
        <v>45</v>
      </c>
      <c r="E822">
        <v>18</v>
      </c>
      <c r="F822">
        <v>16</v>
      </c>
      <c r="G822">
        <v>0.11</v>
      </c>
      <c r="H822" t="s">
        <v>72</v>
      </c>
      <c r="I822">
        <v>288</v>
      </c>
      <c r="J822">
        <v>32</v>
      </c>
      <c r="K822">
        <v>256.32</v>
      </c>
    </row>
    <row r="823" spans="1:11">
      <c r="A823" t="s">
        <v>886</v>
      </c>
      <c r="B823" s="14">
        <v>43299</v>
      </c>
      <c r="C823" t="s">
        <v>52</v>
      </c>
      <c r="D823" t="s">
        <v>60</v>
      </c>
      <c r="E823">
        <v>2</v>
      </c>
      <c r="F823">
        <v>230</v>
      </c>
      <c r="G823">
        <v>0.08</v>
      </c>
      <c r="H823" t="s">
        <v>74</v>
      </c>
      <c r="I823">
        <v>460</v>
      </c>
      <c r="J823">
        <v>37</v>
      </c>
      <c r="K823">
        <v>423.2</v>
      </c>
    </row>
    <row r="824" spans="1:11">
      <c r="A824" t="s">
        <v>887</v>
      </c>
      <c r="B824" s="14">
        <v>43299</v>
      </c>
      <c r="C824" t="s">
        <v>63</v>
      </c>
      <c r="D824" t="s">
        <v>57</v>
      </c>
      <c r="E824">
        <v>17</v>
      </c>
      <c r="F824">
        <v>16</v>
      </c>
      <c r="G824">
        <v>0.05</v>
      </c>
      <c r="H824" t="s">
        <v>76</v>
      </c>
      <c r="I824">
        <v>272</v>
      </c>
      <c r="J824">
        <v>14</v>
      </c>
      <c r="K824">
        <v>258.4</v>
      </c>
    </row>
    <row r="825" spans="1:11">
      <c r="A825" t="s">
        <v>888</v>
      </c>
      <c r="B825" s="14">
        <v>43299</v>
      </c>
      <c r="C825" t="s">
        <v>44</v>
      </c>
      <c r="D825" t="s">
        <v>60</v>
      </c>
      <c r="E825">
        <v>16</v>
      </c>
      <c r="F825">
        <v>80</v>
      </c>
      <c r="G825">
        <v>0.05</v>
      </c>
      <c r="H825" t="s">
        <v>46</v>
      </c>
      <c r="I825">
        <v>1280</v>
      </c>
      <c r="J825">
        <v>64</v>
      </c>
      <c r="K825">
        <v>1216</v>
      </c>
    </row>
    <row r="826" spans="1:11">
      <c r="A826" t="s">
        <v>889</v>
      </c>
      <c r="B826" s="14">
        <v>43299</v>
      </c>
      <c r="C826" t="s">
        <v>52</v>
      </c>
      <c r="D826" t="s">
        <v>49</v>
      </c>
      <c r="E826">
        <v>14</v>
      </c>
      <c r="F826">
        <v>230</v>
      </c>
      <c r="G826">
        <v>0.05</v>
      </c>
      <c r="H826" t="s">
        <v>50</v>
      </c>
      <c r="I826">
        <v>3220</v>
      </c>
      <c r="J826">
        <v>161</v>
      </c>
      <c r="K826">
        <v>3059</v>
      </c>
    </row>
    <row r="827" spans="1:11">
      <c r="A827" t="s">
        <v>890</v>
      </c>
      <c r="B827" s="14">
        <v>43299</v>
      </c>
      <c r="C827" t="s">
        <v>48</v>
      </c>
      <c r="D827" t="s">
        <v>57</v>
      </c>
      <c r="E827">
        <v>13</v>
      </c>
      <c r="F827">
        <v>40</v>
      </c>
      <c r="G827">
        <v>0.02</v>
      </c>
      <c r="H827" t="s">
        <v>53</v>
      </c>
      <c r="I827">
        <v>520</v>
      </c>
      <c r="J827">
        <v>10</v>
      </c>
      <c r="K827">
        <v>509.6</v>
      </c>
    </row>
    <row r="828" spans="1:11">
      <c r="A828" t="s">
        <v>891</v>
      </c>
      <c r="B828" s="14">
        <v>43299</v>
      </c>
      <c r="C828" t="s">
        <v>52</v>
      </c>
      <c r="D828" t="s">
        <v>49</v>
      </c>
      <c r="E828">
        <v>7</v>
      </c>
      <c r="F828">
        <v>230</v>
      </c>
      <c r="G828">
        <v>0.08</v>
      </c>
      <c r="H828" t="s">
        <v>55</v>
      </c>
      <c r="I828">
        <v>1610</v>
      </c>
      <c r="J828">
        <v>129</v>
      </c>
      <c r="K828">
        <v>1481.2</v>
      </c>
    </row>
    <row r="829" spans="1:11">
      <c r="A829" t="s">
        <v>892</v>
      </c>
      <c r="B829" s="14">
        <v>43299</v>
      </c>
      <c r="C829" t="s">
        <v>48</v>
      </c>
      <c r="D829" t="s">
        <v>60</v>
      </c>
      <c r="E829">
        <v>7</v>
      </c>
      <c r="F829">
        <v>40</v>
      </c>
      <c r="G829">
        <v>0.11</v>
      </c>
      <c r="H829" t="s">
        <v>58</v>
      </c>
      <c r="I829">
        <v>280</v>
      </c>
      <c r="J829">
        <v>31</v>
      </c>
      <c r="K829">
        <v>249.2</v>
      </c>
    </row>
    <row r="830" spans="1:11">
      <c r="A830" t="s">
        <v>893</v>
      </c>
      <c r="B830" s="14">
        <v>43299</v>
      </c>
      <c r="C830" t="s">
        <v>52</v>
      </c>
      <c r="D830" t="s">
        <v>57</v>
      </c>
      <c r="E830">
        <v>12</v>
      </c>
      <c r="F830">
        <v>230</v>
      </c>
      <c r="G830">
        <v>0.06</v>
      </c>
      <c r="H830" t="s">
        <v>61</v>
      </c>
      <c r="I830">
        <v>2760</v>
      </c>
      <c r="J830">
        <v>166</v>
      </c>
      <c r="K830">
        <v>2594.4</v>
      </c>
    </row>
    <row r="831" spans="1:11">
      <c r="A831" t="s">
        <v>894</v>
      </c>
      <c r="B831" s="14">
        <v>43299</v>
      </c>
      <c r="C831" t="s">
        <v>48</v>
      </c>
      <c r="D831" t="s">
        <v>45</v>
      </c>
      <c r="E831">
        <v>19</v>
      </c>
      <c r="F831">
        <v>40</v>
      </c>
      <c r="G831">
        <v>0.04</v>
      </c>
      <c r="H831" t="s">
        <v>50</v>
      </c>
      <c r="I831">
        <v>760</v>
      </c>
      <c r="J831">
        <v>30</v>
      </c>
      <c r="K831">
        <v>729.6</v>
      </c>
    </row>
    <row r="832" spans="1:11">
      <c r="A832" t="s">
        <v>895</v>
      </c>
      <c r="B832" s="14">
        <v>43300</v>
      </c>
      <c r="C832" t="s">
        <v>52</v>
      </c>
      <c r="D832" t="s">
        <v>57</v>
      </c>
      <c r="E832">
        <v>20</v>
      </c>
      <c r="F832">
        <v>230</v>
      </c>
      <c r="G832">
        <v>0.06</v>
      </c>
      <c r="H832" t="s">
        <v>53</v>
      </c>
      <c r="I832">
        <v>4600</v>
      </c>
      <c r="J832">
        <v>276</v>
      </c>
      <c r="K832">
        <v>4324</v>
      </c>
    </row>
    <row r="833" spans="1:11">
      <c r="A833" t="s">
        <v>896</v>
      </c>
      <c r="B833" s="14">
        <v>43300</v>
      </c>
      <c r="C833" t="s">
        <v>48</v>
      </c>
      <c r="D833" t="s">
        <v>64</v>
      </c>
      <c r="E833">
        <v>23</v>
      </c>
      <c r="F833">
        <v>40</v>
      </c>
      <c r="G833">
        <v>0.04</v>
      </c>
      <c r="H833" t="s">
        <v>55</v>
      </c>
      <c r="I833">
        <v>920</v>
      </c>
      <c r="J833">
        <v>37</v>
      </c>
      <c r="K833">
        <v>883.2</v>
      </c>
    </row>
    <row r="834" spans="1:11">
      <c r="A834" t="s">
        <v>897</v>
      </c>
      <c r="B834" s="14">
        <v>43300</v>
      </c>
      <c r="C834" t="s">
        <v>44</v>
      </c>
      <c r="D834" t="s">
        <v>64</v>
      </c>
      <c r="E834">
        <v>16</v>
      </c>
      <c r="F834">
        <v>80</v>
      </c>
      <c r="G834">
        <v>0.05</v>
      </c>
      <c r="H834" t="s">
        <v>58</v>
      </c>
      <c r="I834">
        <v>1280</v>
      </c>
      <c r="J834">
        <v>64</v>
      </c>
      <c r="K834">
        <v>1216</v>
      </c>
    </row>
    <row r="835" spans="1:11">
      <c r="A835" t="s">
        <v>898</v>
      </c>
      <c r="B835" s="14">
        <v>43300</v>
      </c>
      <c r="C835" t="s">
        <v>67</v>
      </c>
      <c r="D835" t="s">
        <v>49</v>
      </c>
      <c r="E835">
        <v>23</v>
      </c>
      <c r="F835">
        <v>150</v>
      </c>
      <c r="G835">
        <v>0.11</v>
      </c>
      <c r="H835" t="s">
        <v>61</v>
      </c>
      <c r="I835">
        <v>3450</v>
      </c>
      <c r="J835">
        <v>380</v>
      </c>
      <c r="K835">
        <v>3070.5</v>
      </c>
    </row>
    <row r="836" spans="1:11">
      <c r="A836" t="s">
        <v>899</v>
      </c>
      <c r="B836" s="14">
        <v>43300</v>
      </c>
      <c r="C836" t="s">
        <v>63</v>
      </c>
      <c r="D836" t="s">
        <v>49</v>
      </c>
      <c r="E836">
        <v>4</v>
      </c>
      <c r="F836">
        <v>16</v>
      </c>
      <c r="G836">
        <v>0.07</v>
      </c>
      <c r="H836" t="s">
        <v>65</v>
      </c>
      <c r="I836">
        <v>64</v>
      </c>
      <c r="J836">
        <v>4</v>
      </c>
      <c r="K836">
        <v>59.52</v>
      </c>
    </row>
    <row r="837" spans="1:11">
      <c r="A837" t="s">
        <v>900</v>
      </c>
      <c r="B837" s="14">
        <v>43300</v>
      </c>
      <c r="C837" t="s">
        <v>52</v>
      </c>
      <c r="D837" t="s">
        <v>45</v>
      </c>
      <c r="E837">
        <v>8</v>
      </c>
      <c r="F837">
        <v>230</v>
      </c>
      <c r="G837">
        <v>0.03</v>
      </c>
      <c r="H837" t="s">
        <v>68</v>
      </c>
      <c r="I837">
        <v>1840</v>
      </c>
      <c r="J837">
        <v>55</v>
      </c>
      <c r="K837">
        <v>1784.8</v>
      </c>
    </row>
    <row r="838" spans="1:11">
      <c r="A838" t="s">
        <v>901</v>
      </c>
      <c r="B838" s="14">
        <v>43300</v>
      </c>
      <c r="C838" t="s">
        <v>44</v>
      </c>
      <c r="D838" t="s">
        <v>49</v>
      </c>
      <c r="E838">
        <v>17</v>
      </c>
      <c r="F838">
        <v>80</v>
      </c>
      <c r="G838">
        <v>0.03</v>
      </c>
      <c r="H838" t="s">
        <v>70</v>
      </c>
      <c r="I838">
        <v>1360</v>
      </c>
      <c r="J838">
        <v>41</v>
      </c>
      <c r="K838">
        <v>1319.2</v>
      </c>
    </row>
    <row r="839" spans="1:11">
      <c r="A839" t="s">
        <v>902</v>
      </c>
      <c r="B839" s="14">
        <v>43300</v>
      </c>
      <c r="C839" t="s">
        <v>44</v>
      </c>
      <c r="D839" t="s">
        <v>60</v>
      </c>
      <c r="E839">
        <v>10</v>
      </c>
      <c r="F839">
        <v>80</v>
      </c>
      <c r="G839">
        <v>0.1</v>
      </c>
      <c r="H839" t="s">
        <v>72</v>
      </c>
      <c r="I839">
        <v>800</v>
      </c>
      <c r="J839">
        <v>80</v>
      </c>
      <c r="K839">
        <v>720</v>
      </c>
    </row>
    <row r="840" spans="1:11">
      <c r="A840" t="s">
        <v>903</v>
      </c>
      <c r="B840" s="14">
        <v>43300</v>
      </c>
      <c r="C840" t="s">
        <v>63</v>
      </c>
      <c r="D840" t="s">
        <v>45</v>
      </c>
      <c r="E840">
        <v>20</v>
      </c>
      <c r="F840">
        <v>16</v>
      </c>
      <c r="G840">
        <v>0.11</v>
      </c>
      <c r="H840" t="s">
        <v>74</v>
      </c>
      <c r="I840">
        <v>320</v>
      </c>
      <c r="J840">
        <v>35</v>
      </c>
      <c r="K840">
        <v>284.8</v>
      </c>
    </row>
    <row r="841" spans="1:11">
      <c r="A841" t="s">
        <v>904</v>
      </c>
      <c r="B841" s="14">
        <v>43301</v>
      </c>
      <c r="C841" t="s">
        <v>52</v>
      </c>
      <c r="D841" t="s">
        <v>60</v>
      </c>
      <c r="E841">
        <v>19</v>
      </c>
      <c r="F841">
        <v>230</v>
      </c>
      <c r="G841">
        <v>0.06</v>
      </c>
      <c r="H841" t="s">
        <v>76</v>
      </c>
      <c r="I841">
        <v>4370</v>
      </c>
      <c r="J841">
        <v>262</v>
      </c>
      <c r="K841">
        <v>4107.8</v>
      </c>
    </row>
    <row r="842" spans="1:11">
      <c r="A842" t="s">
        <v>905</v>
      </c>
      <c r="B842" s="14">
        <v>43301</v>
      </c>
      <c r="C842" t="s">
        <v>48</v>
      </c>
      <c r="D842" t="s">
        <v>57</v>
      </c>
      <c r="E842">
        <v>18</v>
      </c>
      <c r="F842">
        <v>40</v>
      </c>
      <c r="G842">
        <v>0.03</v>
      </c>
      <c r="H842" t="s">
        <v>46</v>
      </c>
      <c r="I842">
        <v>720</v>
      </c>
      <c r="J842">
        <v>22</v>
      </c>
      <c r="K842">
        <v>698.4</v>
      </c>
    </row>
    <row r="843" spans="1:11">
      <c r="A843" t="s">
        <v>906</v>
      </c>
      <c r="B843" s="14">
        <v>43301</v>
      </c>
      <c r="C843" t="s">
        <v>44</v>
      </c>
      <c r="D843" t="s">
        <v>49</v>
      </c>
      <c r="E843">
        <v>16</v>
      </c>
      <c r="F843">
        <v>80</v>
      </c>
      <c r="G843">
        <v>0.04</v>
      </c>
      <c r="H843" t="s">
        <v>50</v>
      </c>
      <c r="I843">
        <v>1280</v>
      </c>
      <c r="J843">
        <v>51</v>
      </c>
      <c r="K843">
        <v>1228.8</v>
      </c>
    </row>
    <row r="844" spans="1:11">
      <c r="A844" t="s">
        <v>907</v>
      </c>
      <c r="B844" s="14">
        <v>43301</v>
      </c>
      <c r="C844" t="s">
        <v>44</v>
      </c>
      <c r="D844" t="s">
        <v>60</v>
      </c>
      <c r="E844">
        <v>8</v>
      </c>
      <c r="F844">
        <v>80</v>
      </c>
      <c r="G844">
        <v>0.06</v>
      </c>
      <c r="H844" t="s">
        <v>53</v>
      </c>
      <c r="I844">
        <v>640</v>
      </c>
      <c r="J844">
        <v>38</v>
      </c>
      <c r="K844">
        <v>601.6</v>
      </c>
    </row>
    <row r="845" spans="1:11">
      <c r="A845" t="s">
        <v>908</v>
      </c>
      <c r="B845" s="14">
        <v>43301</v>
      </c>
      <c r="C845" t="s">
        <v>67</v>
      </c>
      <c r="D845" t="s">
        <v>60</v>
      </c>
      <c r="E845">
        <v>4</v>
      </c>
      <c r="F845">
        <v>150</v>
      </c>
      <c r="G845">
        <v>0.12</v>
      </c>
      <c r="H845" t="s">
        <v>55</v>
      </c>
      <c r="I845">
        <v>600</v>
      </c>
      <c r="J845">
        <v>72</v>
      </c>
      <c r="K845">
        <v>528</v>
      </c>
    </row>
    <row r="846" spans="1:11">
      <c r="A846" t="s">
        <v>909</v>
      </c>
      <c r="B846" s="14">
        <v>43301</v>
      </c>
      <c r="C846" t="s">
        <v>52</v>
      </c>
      <c r="D846" t="s">
        <v>57</v>
      </c>
      <c r="E846">
        <v>15</v>
      </c>
      <c r="F846">
        <v>230</v>
      </c>
      <c r="G846">
        <v>0.04</v>
      </c>
      <c r="H846" t="s">
        <v>58</v>
      </c>
      <c r="I846">
        <v>3450</v>
      </c>
      <c r="J846">
        <v>138</v>
      </c>
      <c r="K846">
        <v>3312</v>
      </c>
    </row>
    <row r="847" spans="1:11">
      <c r="A847" t="s">
        <v>910</v>
      </c>
      <c r="B847" s="14">
        <v>43302</v>
      </c>
      <c r="C847" t="s">
        <v>63</v>
      </c>
      <c r="D847" t="s">
        <v>49</v>
      </c>
      <c r="E847">
        <v>7</v>
      </c>
      <c r="F847">
        <v>16</v>
      </c>
      <c r="G847">
        <v>0.08</v>
      </c>
      <c r="H847" t="s">
        <v>61</v>
      </c>
      <c r="I847">
        <v>112</v>
      </c>
      <c r="J847">
        <v>9</v>
      </c>
      <c r="K847">
        <v>103.04</v>
      </c>
    </row>
    <row r="848" spans="1:11">
      <c r="A848" t="s">
        <v>911</v>
      </c>
      <c r="B848" s="14">
        <v>43302</v>
      </c>
      <c r="C848" t="s">
        <v>48</v>
      </c>
      <c r="D848" t="s">
        <v>45</v>
      </c>
      <c r="E848">
        <v>18</v>
      </c>
      <c r="F848">
        <v>40</v>
      </c>
      <c r="G848">
        <v>0.11</v>
      </c>
      <c r="H848" t="s">
        <v>50</v>
      </c>
      <c r="I848">
        <v>720</v>
      </c>
      <c r="J848">
        <v>79</v>
      </c>
      <c r="K848">
        <v>640.8</v>
      </c>
    </row>
    <row r="849" spans="1:11">
      <c r="A849" t="s">
        <v>912</v>
      </c>
      <c r="B849" s="14">
        <v>43302</v>
      </c>
      <c r="C849" t="s">
        <v>48</v>
      </c>
      <c r="D849" t="s">
        <v>57</v>
      </c>
      <c r="E849">
        <v>4</v>
      </c>
      <c r="F849">
        <v>40</v>
      </c>
      <c r="G849">
        <v>0.06</v>
      </c>
      <c r="H849" t="s">
        <v>53</v>
      </c>
      <c r="I849">
        <v>160</v>
      </c>
      <c r="J849">
        <v>10</v>
      </c>
      <c r="K849">
        <v>150.4</v>
      </c>
    </row>
    <row r="850" spans="1:11">
      <c r="A850" t="s">
        <v>913</v>
      </c>
      <c r="B850" s="14">
        <v>43302</v>
      </c>
      <c r="C850" t="s">
        <v>48</v>
      </c>
      <c r="D850" t="s">
        <v>64</v>
      </c>
      <c r="E850">
        <v>16</v>
      </c>
      <c r="F850">
        <v>40</v>
      </c>
      <c r="G850">
        <v>0.09</v>
      </c>
      <c r="H850" t="s">
        <v>55</v>
      </c>
      <c r="I850">
        <v>640</v>
      </c>
      <c r="J850">
        <v>58</v>
      </c>
      <c r="K850">
        <v>582.4</v>
      </c>
    </row>
    <row r="851" spans="1:11">
      <c r="A851" t="s">
        <v>914</v>
      </c>
      <c r="B851" s="14">
        <v>43302</v>
      </c>
      <c r="C851" t="s">
        <v>48</v>
      </c>
      <c r="D851" t="s">
        <v>49</v>
      </c>
      <c r="E851">
        <v>18</v>
      </c>
      <c r="F851">
        <v>40</v>
      </c>
      <c r="G851">
        <v>0.08</v>
      </c>
      <c r="H851" t="s">
        <v>58</v>
      </c>
      <c r="I851">
        <v>720</v>
      </c>
      <c r="J851">
        <v>58</v>
      </c>
      <c r="K851">
        <v>662.4</v>
      </c>
    </row>
    <row r="852" spans="1:11">
      <c r="A852" t="s">
        <v>915</v>
      </c>
      <c r="B852" s="14">
        <v>43302</v>
      </c>
      <c r="C852" t="s">
        <v>48</v>
      </c>
      <c r="D852" t="s">
        <v>45</v>
      </c>
      <c r="E852">
        <v>9</v>
      </c>
      <c r="F852">
        <v>40</v>
      </c>
      <c r="G852">
        <v>0.01</v>
      </c>
      <c r="H852" t="s">
        <v>61</v>
      </c>
      <c r="I852">
        <v>360</v>
      </c>
      <c r="J852">
        <v>4</v>
      </c>
      <c r="K852">
        <v>356.4</v>
      </c>
    </row>
    <row r="853" spans="1:11">
      <c r="A853" t="s">
        <v>916</v>
      </c>
      <c r="B853" s="14">
        <v>43302</v>
      </c>
      <c r="C853" t="s">
        <v>52</v>
      </c>
      <c r="D853" t="s">
        <v>60</v>
      </c>
      <c r="E853">
        <v>16</v>
      </c>
      <c r="F853">
        <v>230</v>
      </c>
      <c r="G853">
        <v>0.11</v>
      </c>
      <c r="H853" t="s">
        <v>65</v>
      </c>
      <c r="I853">
        <v>3680</v>
      </c>
      <c r="J853">
        <v>405</v>
      </c>
      <c r="K853">
        <v>3275.2</v>
      </c>
    </row>
    <row r="854" spans="1:11">
      <c r="A854" t="s">
        <v>917</v>
      </c>
      <c r="B854" s="14">
        <v>43302</v>
      </c>
      <c r="C854" t="s">
        <v>63</v>
      </c>
      <c r="D854" t="s">
        <v>57</v>
      </c>
      <c r="E854">
        <v>12</v>
      </c>
      <c r="F854">
        <v>16</v>
      </c>
      <c r="G854">
        <v>0.11</v>
      </c>
      <c r="H854" t="s">
        <v>68</v>
      </c>
      <c r="I854">
        <v>192</v>
      </c>
      <c r="J854">
        <v>21</v>
      </c>
      <c r="K854">
        <v>170.88</v>
      </c>
    </row>
    <row r="855" spans="1:11">
      <c r="A855" t="s">
        <v>918</v>
      </c>
      <c r="B855" s="14">
        <v>43302</v>
      </c>
      <c r="C855" t="s">
        <v>44</v>
      </c>
      <c r="D855" t="s">
        <v>49</v>
      </c>
      <c r="E855">
        <v>2</v>
      </c>
      <c r="F855">
        <v>80</v>
      </c>
      <c r="G855">
        <v>0.07</v>
      </c>
      <c r="H855" t="s">
        <v>70</v>
      </c>
      <c r="I855">
        <v>160</v>
      </c>
      <c r="J855">
        <v>11</v>
      </c>
      <c r="K855">
        <v>148.8</v>
      </c>
    </row>
    <row r="856" spans="1:11">
      <c r="A856" t="s">
        <v>919</v>
      </c>
      <c r="B856" s="14">
        <v>43302</v>
      </c>
      <c r="C856" t="s">
        <v>48</v>
      </c>
      <c r="D856" t="s">
        <v>45</v>
      </c>
      <c r="E856">
        <v>2</v>
      </c>
      <c r="F856">
        <v>40</v>
      </c>
      <c r="G856">
        <v>0.12</v>
      </c>
      <c r="H856" t="s">
        <v>72</v>
      </c>
      <c r="I856">
        <v>80</v>
      </c>
      <c r="J856">
        <v>10</v>
      </c>
      <c r="K856">
        <v>70.4</v>
      </c>
    </row>
    <row r="857" spans="1:11">
      <c r="A857" t="s">
        <v>920</v>
      </c>
      <c r="B857" s="14">
        <v>43303</v>
      </c>
      <c r="C857" t="s">
        <v>67</v>
      </c>
      <c r="D857" t="s">
        <v>45</v>
      </c>
      <c r="E857">
        <v>13</v>
      </c>
      <c r="F857">
        <v>150</v>
      </c>
      <c r="G857">
        <v>0.05</v>
      </c>
      <c r="H857" t="s">
        <v>74</v>
      </c>
      <c r="I857">
        <v>1950</v>
      </c>
      <c r="J857">
        <v>98</v>
      </c>
      <c r="K857">
        <v>1852.5</v>
      </c>
    </row>
    <row r="858" spans="1:11">
      <c r="A858" t="s">
        <v>921</v>
      </c>
      <c r="B858" s="14">
        <v>43303</v>
      </c>
      <c r="C858" t="s">
        <v>44</v>
      </c>
      <c r="D858" t="s">
        <v>45</v>
      </c>
      <c r="E858">
        <v>14</v>
      </c>
      <c r="F858">
        <v>80</v>
      </c>
      <c r="G858">
        <v>0.08</v>
      </c>
      <c r="H858" t="s">
        <v>76</v>
      </c>
      <c r="I858">
        <v>1120</v>
      </c>
      <c r="J858">
        <v>90</v>
      </c>
      <c r="K858">
        <v>1030.4</v>
      </c>
    </row>
    <row r="859" spans="1:11">
      <c r="A859" t="s">
        <v>922</v>
      </c>
      <c r="B859" s="14">
        <v>43303</v>
      </c>
      <c r="C859" t="s">
        <v>67</v>
      </c>
      <c r="D859" t="s">
        <v>60</v>
      </c>
      <c r="E859">
        <v>6</v>
      </c>
      <c r="F859">
        <v>150</v>
      </c>
      <c r="G859">
        <v>0.03</v>
      </c>
      <c r="H859" t="s">
        <v>46</v>
      </c>
      <c r="I859">
        <v>900</v>
      </c>
      <c r="J859">
        <v>27</v>
      </c>
      <c r="K859">
        <v>873</v>
      </c>
    </row>
    <row r="860" spans="1:11">
      <c r="A860" t="s">
        <v>923</v>
      </c>
      <c r="B860" s="14">
        <v>43303</v>
      </c>
      <c r="C860" t="s">
        <v>44</v>
      </c>
      <c r="D860" t="s">
        <v>60</v>
      </c>
      <c r="E860">
        <v>23</v>
      </c>
      <c r="F860">
        <v>80</v>
      </c>
      <c r="G860">
        <v>0.11</v>
      </c>
      <c r="H860" t="s">
        <v>50</v>
      </c>
      <c r="I860">
        <v>1840</v>
      </c>
      <c r="J860">
        <v>202</v>
      </c>
      <c r="K860">
        <v>1637.6</v>
      </c>
    </row>
    <row r="861" spans="1:11">
      <c r="A861" t="s">
        <v>924</v>
      </c>
      <c r="B861" s="14">
        <v>43303</v>
      </c>
      <c r="C861" t="s">
        <v>44</v>
      </c>
      <c r="D861" t="s">
        <v>60</v>
      </c>
      <c r="E861">
        <v>21</v>
      </c>
      <c r="F861">
        <v>80</v>
      </c>
      <c r="G861">
        <v>0.05</v>
      </c>
      <c r="H861" t="s">
        <v>53</v>
      </c>
      <c r="I861">
        <v>1680</v>
      </c>
      <c r="J861">
        <v>84</v>
      </c>
      <c r="K861">
        <v>1596</v>
      </c>
    </row>
    <row r="862" spans="1:11">
      <c r="A862" t="s">
        <v>925</v>
      </c>
      <c r="B862" s="14">
        <v>43303</v>
      </c>
      <c r="C862" t="s">
        <v>63</v>
      </c>
      <c r="D862" t="s">
        <v>57</v>
      </c>
      <c r="E862">
        <v>3</v>
      </c>
      <c r="F862">
        <v>16</v>
      </c>
      <c r="G862">
        <v>0.05</v>
      </c>
      <c r="H862" t="s">
        <v>55</v>
      </c>
      <c r="I862">
        <v>48</v>
      </c>
      <c r="J862">
        <v>2</v>
      </c>
      <c r="K862">
        <v>45.6</v>
      </c>
    </row>
    <row r="863" spans="1:11">
      <c r="A863" t="s">
        <v>926</v>
      </c>
      <c r="B863" s="14">
        <v>43303</v>
      </c>
      <c r="C863" t="s">
        <v>63</v>
      </c>
      <c r="D863" t="s">
        <v>49</v>
      </c>
      <c r="E863">
        <v>21</v>
      </c>
      <c r="F863">
        <v>16</v>
      </c>
      <c r="G863">
        <v>0.02</v>
      </c>
      <c r="H863" t="s">
        <v>58</v>
      </c>
      <c r="I863">
        <v>336</v>
      </c>
      <c r="J863">
        <v>7</v>
      </c>
      <c r="K863">
        <v>329.28</v>
      </c>
    </row>
    <row r="864" spans="1:11">
      <c r="A864" t="s">
        <v>927</v>
      </c>
      <c r="B864" s="14">
        <v>43303</v>
      </c>
      <c r="C864" t="s">
        <v>44</v>
      </c>
      <c r="D864" t="s">
        <v>60</v>
      </c>
      <c r="E864">
        <v>4</v>
      </c>
      <c r="F864">
        <v>80</v>
      </c>
      <c r="G864">
        <v>0.11</v>
      </c>
      <c r="H864" t="s">
        <v>61</v>
      </c>
      <c r="I864">
        <v>320</v>
      </c>
      <c r="J864">
        <v>35</v>
      </c>
      <c r="K864">
        <v>284.8</v>
      </c>
    </row>
    <row r="865" spans="1:11">
      <c r="A865" t="s">
        <v>928</v>
      </c>
      <c r="B865" s="14">
        <v>43303</v>
      </c>
      <c r="C865" t="s">
        <v>67</v>
      </c>
      <c r="D865" t="s">
        <v>64</v>
      </c>
      <c r="E865">
        <v>23</v>
      </c>
      <c r="F865">
        <v>150</v>
      </c>
      <c r="G865">
        <v>0.08</v>
      </c>
      <c r="H865" t="s">
        <v>50</v>
      </c>
      <c r="I865">
        <v>3450</v>
      </c>
      <c r="J865">
        <v>276</v>
      </c>
      <c r="K865">
        <v>3174</v>
      </c>
    </row>
    <row r="866" spans="1:11">
      <c r="A866" t="s">
        <v>929</v>
      </c>
      <c r="B866" s="14">
        <v>43303</v>
      </c>
      <c r="C866" t="s">
        <v>63</v>
      </c>
      <c r="D866" t="s">
        <v>64</v>
      </c>
      <c r="E866">
        <v>23</v>
      </c>
      <c r="F866">
        <v>16</v>
      </c>
      <c r="G866">
        <v>0.01</v>
      </c>
      <c r="H866" t="s">
        <v>53</v>
      </c>
      <c r="I866">
        <v>368</v>
      </c>
      <c r="J866">
        <v>4</v>
      </c>
      <c r="K866">
        <v>364.32</v>
      </c>
    </row>
    <row r="867" spans="1:11">
      <c r="A867" t="s">
        <v>930</v>
      </c>
      <c r="B867" s="14">
        <v>43303</v>
      </c>
      <c r="C867" t="s">
        <v>48</v>
      </c>
      <c r="D867" t="s">
        <v>60</v>
      </c>
      <c r="E867">
        <v>22</v>
      </c>
      <c r="F867">
        <v>40</v>
      </c>
      <c r="G867">
        <v>0.01</v>
      </c>
      <c r="H867" t="s">
        <v>55</v>
      </c>
      <c r="I867">
        <v>880</v>
      </c>
      <c r="J867">
        <v>9</v>
      </c>
      <c r="K867">
        <v>871.2</v>
      </c>
    </row>
    <row r="868" spans="1:11">
      <c r="A868" t="s">
        <v>931</v>
      </c>
      <c r="B868" s="14">
        <v>43304</v>
      </c>
      <c r="C868" t="s">
        <v>67</v>
      </c>
      <c r="D868" t="s">
        <v>45</v>
      </c>
      <c r="E868">
        <v>8</v>
      </c>
      <c r="F868">
        <v>150</v>
      </c>
      <c r="G868">
        <v>0.09</v>
      </c>
      <c r="H868" t="s">
        <v>58</v>
      </c>
      <c r="I868">
        <v>1200</v>
      </c>
      <c r="J868">
        <v>108</v>
      </c>
      <c r="K868">
        <v>1092</v>
      </c>
    </row>
    <row r="869" spans="1:11">
      <c r="A869" t="s">
        <v>932</v>
      </c>
      <c r="B869" s="14">
        <v>43304</v>
      </c>
      <c r="C869" t="s">
        <v>67</v>
      </c>
      <c r="D869" t="s">
        <v>45</v>
      </c>
      <c r="E869">
        <v>20</v>
      </c>
      <c r="F869">
        <v>150</v>
      </c>
      <c r="G869">
        <v>0.01</v>
      </c>
      <c r="H869" t="s">
        <v>61</v>
      </c>
      <c r="I869">
        <v>3000</v>
      </c>
      <c r="J869">
        <v>30</v>
      </c>
      <c r="K869">
        <v>2970</v>
      </c>
    </row>
    <row r="870" spans="1:11">
      <c r="A870" t="s">
        <v>933</v>
      </c>
      <c r="B870" s="14">
        <v>43304</v>
      </c>
      <c r="C870" t="s">
        <v>52</v>
      </c>
      <c r="D870" t="s">
        <v>49</v>
      </c>
      <c r="E870">
        <v>22</v>
      </c>
      <c r="F870">
        <v>230</v>
      </c>
      <c r="G870">
        <v>0.11</v>
      </c>
      <c r="H870" t="s">
        <v>65</v>
      </c>
      <c r="I870">
        <v>5060</v>
      </c>
      <c r="J870">
        <v>557</v>
      </c>
      <c r="K870">
        <v>4503.4</v>
      </c>
    </row>
    <row r="871" spans="1:11">
      <c r="A871" t="s">
        <v>934</v>
      </c>
      <c r="B871" s="14">
        <v>43304</v>
      </c>
      <c r="C871" t="s">
        <v>63</v>
      </c>
      <c r="D871" t="s">
        <v>57</v>
      </c>
      <c r="E871">
        <v>23</v>
      </c>
      <c r="F871">
        <v>16</v>
      </c>
      <c r="G871">
        <v>0.11</v>
      </c>
      <c r="H871" t="s">
        <v>68</v>
      </c>
      <c r="I871">
        <v>368</v>
      </c>
      <c r="J871">
        <v>40</v>
      </c>
      <c r="K871">
        <v>327.52</v>
      </c>
    </row>
    <row r="872" spans="1:11">
      <c r="A872" t="s">
        <v>935</v>
      </c>
      <c r="B872" s="14">
        <v>43304</v>
      </c>
      <c r="C872" t="s">
        <v>44</v>
      </c>
      <c r="D872" t="s">
        <v>45</v>
      </c>
      <c r="E872">
        <v>6</v>
      </c>
      <c r="F872">
        <v>80</v>
      </c>
      <c r="G872">
        <v>0.01</v>
      </c>
      <c r="H872" t="s">
        <v>70</v>
      </c>
      <c r="I872">
        <v>480</v>
      </c>
      <c r="J872">
        <v>5</v>
      </c>
      <c r="K872">
        <v>475.2</v>
      </c>
    </row>
    <row r="873" spans="1:11">
      <c r="A873" t="s">
        <v>936</v>
      </c>
      <c r="B873" s="14">
        <v>43304</v>
      </c>
      <c r="C873" t="s">
        <v>63</v>
      </c>
      <c r="D873" t="s">
        <v>45</v>
      </c>
      <c r="E873">
        <v>7</v>
      </c>
      <c r="F873">
        <v>16</v>
      </c>
      <c r="G873">
        <v>0.12</v>
      </c>
      <c r="H873" t="s">
        <v>72</v>
      </c>
      <c r="I873">
        <v>112</v>
      </c>
      <c r="J873">
        <v>13</v>
      </c>
      <c r="K873">
        <v>98.56</v>
      </c>
    </row>
    <row r="874" spans="1:11">
      <c r="A874" t="s">
        <v>937</v>
      </c>
      <c r="B874" s="14">
        <v>43304</v>
      </c>
      <c r="C874" t="s">
        <v>44</v>
      </c>
      <c r="D874" t="s">
        <v>49</v>
      </c>
      <c r="E874">
        <v>10</v>
      </c>
      <c r="F874">
        <v>80</v>
      </c>
      <c r="G874">
        <v>0.11</v>
      </c>
      <c r="H874" t="s">
        <v>74</v>
      </c>
      <c r="I874">
        <v>800</v>
      </c>
      <c r="J874">
        <v>88</v>
      </c>
      <c r="K874">
        <v>712</v>
      </c>
    </row>
    <row r="875" spans="1:11">
      <c r="A875" t="s">
        <v>938</v>
      </c>
      <c r="B875" s="14">
        <v>43304</v>
      </c>
      <c r="C875" t="s">
        <v>52</v>
      </c>
      <c r="D875" t="s">
        <v>45</v>
      </c>
      <c r="E875">
        <v>9</v>
      </c>
      <c r="F875">
        <v>230</v>
      </c>
      <c r="G875">
        <v>0.07</v>
      </c>
      <c r="H875" t="s">
        <v>76</v>
      </c>
      <c r="I875">
        <v>2070</v>
      </c>
      <c r="J875">
        <v>145</v>
      </c>
      <c r="K875">
        <v>1925.1</v>
      </c>
    </row>
    <row r="876" spans="1:11">
      <c r="A876" t="s">
        <v>939</v>
      </c>
      <c r="B876" s="14">
        <v>43305</v>
      </c>
      <c r="C876" t="s">
        <v>48</v>
      </c>
      <c r="D876" t="s">
        <v>49</v>
      </c>
      <c r="E876">
        <v>12</v>
      </c>
      <c r="F876">
        <v>40</v>
      </c>
      <c r="G876">
        <v>0.1</v>
      </c>
      <c r="H876" t="s">
        <v>46</v>
      </c>
      <c r="I876">
        <v>480</v>
      </c>
      <c r="J876">
        <v>48</v>
      </c>
      <c r="K876">
        <v>432</v>
      </c>
    </row>
    <row r="877" spans="1:11">
      <c r="A877" t="s">
        <v>940</v>
      </c>
      <c r="B877" s="14">
        <v>43305</v>
      </c>
      <c r="C877" t="s">
        <v>63</v>
      </c>
      <c r="D877" t="s">
        <v>64</v>
      </c>
      <c r="E877">
        <v>17</v>
      </c>
      <c r="F877">
        <v>16</v>
      </c>
      <c r="G877">
        <v>0.1</v>
      </c>
      <c r="H877" t="s">
        <v>50</v>
      </c>
      <c r="I877">
        <v>272</v>
      </c>
      <c r="J877">
        <v>27</v>
      </c>
      <c r="K877">
        <v>244.8</v>
      </c>
    </row>
    <row r="878" spans="1:11">
      <c r="A878" t="s">
        <v>941</v>
      </c>
      <c r="B878" s="14">
        <v>43305</v>
      </c>
      <c r="C878" t="s">
        <v>67</v>
      </c>
      <c r="D878" t="s">
        <v>57</v>
      </c>
      <c r="E878">
        <v>22</v>
      </c>
      <c r="F878">
        <v>150</v>
      </c>
      <c r="G878">
        <v>0.04</v>
      </c>
      <c r="H878" t="s">
        <v>53</v>
      </c>
      <c r="I878">
        <v>3300</v>
      </c>
      <c r="J878">
        <v>132</v>
      </c>
      <c r="K878">
        <v>3168</v>
      </c>
    </row>
    <row r="879" spans="1:11">
      <c r="A879" t="s">
        <v>942</v>
      </c>
      <c r="B879" s="14">
        <v>43305</v>
      </c>
      <c r="C879" t="s">
        <v>67</v>
      </c>
      <c r="D879" t="s">
        <v>57</v>
      </c>
      <c r="E879">
        <v>11</v>
      </c>
      <c r="F879">
        <v>150</v>
      </c>
      <c r="G879">
        <v>0.05</v>
      </c>
      <c r="H879" t="s">
        <v>55</v>
      </c>
      <c r="I879">
        <v>1650</v>
      </c>
      <c r="J879">
        <v>82</v>
      </c>
      <c r="K879">
        <v>1567.5</v>
      </c>
    </row>
    <row r="880" spans="1:11">
      <c r="A880" t="s">
        <v>943</v>
      </c>
      <c r="B880" s="14">
        <v>43305</v>
      </c>
      <c r="C880" t="s">
        <v>44</v>
      </c>
      <c r="D880" t="s">
        <v>64</v>
      </c>
      <c r="E880">
        <v>9</v>
      </c>
      <c r="F880">
        <v>80</v>
      </c>
      <c r="G880">
        <v>0.02</v>
      </c>
      <c r="H880" t="s">
        <v>58</v>
      </c>
      <c r="I880">
        <v>720</v>
      </c>
      <c r="J880">
        <v>14</v>
      </c>
      <c r="K880">
        <v>705.6</v>
      </c>
    </row>
    <row r="881" spans="1:11">
      <c r="A881" t="s">
        <v>944</v>
      </c>
      <c r="B881" s="14">
        <v>43305</v>
      </c>
      <c r="C881" t="s">
        <v>44</v>
      </c>
      <c r="D881" t="s">
        <v>64</v>
      </c>
      <c r="E881">
        <v>13</v>
      </c>
      <c r="F881">
        <v>80</v>
      </c>
      <c r="G881">
        <v>0.05</v>
      </c>
      <c r="H881" t="s">
        <v>61</v>
      </c>
      <c r="I881">
        <v>1040</v>
      </c>
      <c r="J881">
        <v>52</v>
      </c>
      <c r="K881">
        <v>988</v>
      </c>
    </row>
    <row r="882" spans="1:11">
      <c r="A882" t="s">
        <v>945</v>
      </c>
      <c r="B882" s="14">
        <v>43305</v>
      </c>
      <c r="C882" t="s">
        <v>48</v>
      </c>
      <c r="D882" t="s">
        <v>64</v>
      </c>
      <c r="E882">
        <v>20</v>
      </c>
      <c r="F882">
        <v>40</v>
      </c>
      <c r="G882">
        <v>0.1</v>
      </c>
      <c r="H882" t="s">
        <v>50</v>
      </c>
      <c r="I882">
        <v>800</v>
      </c>
      <c r="J882">
        <v>80</v>
      </c>
      <c r="K882">
        <v>720</v>
      </c>
    </row>
    <row r="883" spans="1:11">
      <c r="A883" t="s">
        <v>946</v>
      </c>
      <c r="B883" s="14">
        <v>43305</v>
      </c>
      <c r="C883" t="s">
        <v>48</v>
      </c>
      <c r="D883" t="s">
        <v>49</v>
      </c>
      <c r="E883">
        <v>15</v>
      </c>
      <c r="F883">
        <v>40</v>
      </c>
      <c r="G883">
        <v>0.02</v>
      </c>
      <c r="H883" t="s">
        <v>53</v>
      </c>
      <c r="I883">
        <v>600</v>
      </c>
      <c r="J883">
        <v>12</v>
      </c>
      <c r="K883">
        <v>588</v>
      </c>
    </row>
    <row r="884" spans="1:11">
      <c r="A884" t="s">
        <v>947</v>
      </c>
      <c r="B884" s="14">
        <v>43306</v>
      </c>
      <c r="C884" t="s">
        <v>67</v>
      </c>
      <c r="D884" t="s">
        <v>64</v>
      </c>
      <c r="E884">
        <v>15</v>
      </c>
      <c r="F884">
        <v>150</v>
      </c>
      <c r="G884">
        <v>0.07</v>
      </c>
      <c r="H884" t="s">
        <v>55</v>
      </c>
      <c r="I884">
        <v>2250</v>
      </c>
      <c r="J884">
        <v>158</v>
      </c>
      <c r="K884">
        <v>2092.5</v>
      </c>
    </row>
    <row r="885" spans="1:11">
      <c r="A885" t="s">
        <v>948</v>
      </c>
      <c r="B885" s="14">
        <v>43306</v>
      </c>
      <c r="C885" t="s">
        <v>44</v>
      </c>
      <c r="D885" t="s">
        <v>64</v>
      </c>
      <c r="E885">
        <v>16</v>
      </c>
      <c r="F885">
        <v>80</v>
      </c>
      <c r="G885">
        <v>0.09</v>
      </c>
      <c r="H885" t="s">
        <v>58</v>
      </c>
      <c r="I885">
        <v>1280</v>
      </c>
      <c r="J885">
        <v>115</v>
      </c>
      <c r="K885">
        <v>1164.8</v>
      </c>
    </row>
    <row r="886" spans="1:11">
      <c r="A886" t="s">
        <v>949</v>
      </c>
      <c r="B886" s="14">
        <v>43306</v>
      </c>
      <c r="C886" t="s">
        <v>52</v>
      </c>
      <c r="D886" t="s">
        <v>45</v>
      </c>
      <c r="E886">
        <v>16</v>
      </c>
      <c r="F886">
        <v>230</v>
      </c>
      <c r="G886">
        <v>0.07</v>
      </c>
      <c r="H886" t="s">
        <v>61</v>
      </c>
      <c r="I886">
        <v>3680</v>
      </c>
      <c r="J886">
        <v>258</v>
      </c>
      <c r="K886">
        <v>3422.4</v>
      </c>
    </row>
    <row r="887" spans="1:11">
      <c r="A887" t="s">
        <v>950</v>
      </c>
      <c r="B887" s="14">
        <v>43306</v>
      </c>
      <c r="C887" t="s">
        <v>44</v>
      </c>
      <c r="D887" t="s">
        <v>49</v>
      </c>
      <c r="E887">
        <v>14</v>
      </c>
      <c r="F887">
        <v>80</v>
      </c>
      <c r="G887">
        <v>0.11</v>
      </c>
      <c r="H887" t="s">
        <v>65</v>
      </c>
      <c r="I887">
        <v>1120</v>
      </c>
      <c r="J887">
        <v>123</v>
      </c>
      <c r="K887">
        <v>996.8</v>
      </c>
    </row>
    <row r="888" spans="1:11">
      <c r="A888" t="s">
        <v>951</v>
      </c>
      <c r="B888" s="14">
        <v>43306</v>
      </c>
      <c r="C888" t="s">
        <v>44</v>
      </c>
      <c r="D888" t="s">
        <v>64</v>
      </c>
      <c r="E888">
        <v>17</v>
      </c>
      <c r="F888">
        <v>80</v>
      </c>
      <c r="G888">
        <v>0.07</v>
      </c>
      <c r="H888" t="s">
        <v>68</v>
      </c>
      <c r="I888">
        <v>1360</v>
      </c>
      <c r="J888">
        <v>95</v>
      </c>
      <c r="K888">
        <v>1264.8</v>
      </c>
    </row>
    <row r="889" spans="1:11">
      <c r="A889" t="s">
        <v>952</v>
      </c>
      <c r="B889" s="14">
        <v>43306</v>
      </c>
      <c r="C889" t="s">
        <v>44</v>
      </c>
      <c r="D889" t="s">
        <v>57</v>
      </c>
      <c r="E889">
        <v>16</v>
      </c>
      <c r="F889">
        <v>80</v>
      </c>
      <c r="G889">
        <v>0.02</v>
      </c>
      <c r="H889" t="s">
        <v>70</v>
      </c>
      <c r="I889">
        <v>1280</v>
      </c>
      <c r="J889">
        <v>26</v>
      </c>
      <c r="K889">
        <v>1254.4</v>
      </c>
    </row>
    <row r="890" spans="1:11">
      <c r="A890" t="s">
        <v>953</v>
      </c>
      <c r="B890" s="14">
        <v>43306</v>
      </c>
      <c r="C890" t="s">
        <v>63</v>
      </c>
      <c r="D890" t="s">
        <v>45</v>
      </c>
      <c r="E890">
        <v>21</v>
      </c>
      <c r="F890">
        <v>16</v>
      </c>
      <c r="G890">
        <v>0.09</v>
      </c>
      <c r="H890" t="s">
        <v>72</v>
      </c>
      <c r="I890">
        <v>336</v>
      </c>
      <c r="J890">
        <v>30</v>
      </c>
      <c r="K890">
        <v>305.76</v>
      </c>
    </row>
    <row r="891" spans="1:11">
      <c r="A891" t="s">
        <v>954</v>
      </c>
      <c r="B891" s="14">
        <v>43306</v>
      </c>
      <c r="C891" t="s">
        <v>67</v>
      </c>
      <c r="D891" t="s">
        <v>45</v>
      </c>
      <c r="E891">
        <v>9</v>
      </c>
      <c r="F891">
        <v>150</v>
      </c>
      <c r="G891">
        <v>0.1</v>
      </c>
      <c r="H891" t="s">
        <v>74</v>
      </c>
      <c r="I891">
        <v>1350</v>
      </c>
      <c r="J891">
        <v>135</v>
      </c>
      <c r="K891">
        <v>1215</v>
      </c>
    </row>
    <row r="892" spans="1:11">
      <c r="A892" t="s">
        <v>955</v>
      </c>
      <c r="B892" s="14">
        <v>43306</v>
      </c>
      <c r="C892" t="s">
        <v>67</v>
      </c>
      <c r="D892" t="s">
        <v>60</v>
      </c>
      <c r="E892">
        <v>3</v>
      </c>
      <c r="F892">
        <v>150</v>
      </c>
      <c r="G892">
        <v>0.01</v>
      </c>
      <c r="H892" t="s">
        <v>76</v>
      </c>
      <c r="I892">
        <v>450</v>
      </c>
      <c r="J892">
        <v>4</v>
      </c>
      <c r="K892">
        <v>445.5</v>
      </c>
    </row>
    <row r="893" spans="1:11">
      <c r="A893" t="s">
        <v>956</v>
      </c>
      <c r="B893" s="14">
        <v>43307</v>
      </c>
      <c r="C893" t="s">
        <v>44</v>
      </c>
      <c r="D893" t="s">
        <v>49</v>
      </c>
      <c r="E893">
        <v>14</v>
      </c>
      <c r="F893">
        <v>80</v>
      </c>
      <c r="G893">
        <v>0.06</v>
      </c>
      <c r="H893" t="s">
        <v>46</v>
      </c>
      <c r="I893">
        <v>1120</v>
      </c>
      <c r="J893">
        <v>67</v>
      </c>
      <c r="K893">
        <v>1052.8</v>
      </c>
    </row>
    <row r="894" spans="1:11">
      <c r="A894" t="s">
        <v>957</v>
      </c>
      <c r="B894" s="14">
        <v>43307</v>
      </c>
      <c r="C894" t="s">
        <v>67</v>
      </c>
      <c r="D894" t="s">
        <v>64</v>
      </c>
      <c r="E894">
        <v>4</v>
      </c>
      <c r="F894">
        <v>150</v>
      </c>
      <c r="G894">
        <v>0.05</v>
      </c>
      <c r="H894" t="s">
        <v>50</v>
      </c>
      <c r="I894">
        <v>600</v>
      </c>
      <c r="J894">
        <v>30</v>
      </c>
      <c r="K894">
        <v>570</v>
      </c>
    </row>
    <row r="895" spans="1:11">
      <c r="A895" t="s">
        <v>958</v>
      </c>
      <c r="B895" s="14">
        <v>43307</v>
      </c>
      <c r="C895" t="s">
        <v>63</v>
      </c>
      <c r="D895" t="s">
        <v>49</v>
      </c>
      <c r="E895">
        <v>20</v>
      </c>
      <c r="F895">
        <v>16</v>
      </c>
      <c r="G895">
        <v>0.06</v>
      </c>
      <c r="H895" t="s">
        <v>53</v>
      </c>
      <c r="I895">
        <v>320</v>
      </c>
      <c r="J895">
        <v>19</v>
      </c>
      <c r="K895">
        <v>300.8</v>
      </c>
    </row>
    <row r="896" spans="1:11">
      <c r="A896" t="s">
        <v>959</v>
      </c>
      <c r="B896" s="14">
        <v>43307</v>
      </c>
      <c r="C896" t="s">
        <v>52</v>
      </c>
      <c r="D896" t="s">
        <v>57</v>
      </c>
      <c r="E896">
        <v>7</v>
      </c>
      <c r="F896">
        <v>230</v>
      </c>
      <c r="G896">
        <v>0.01</v>
      </c>
      <c r="H896" t="s">
        <v>55</v>
      </c>
      <c r="I896">
        <v>1610</v>
      </c>
      <c r="J896">
        <v>16</v>
      </c>
      <c r="K896">
        <v>1593.9</v>
      </c>
    </row>
    <row r="897" spans="1:11">
      <c r="A897" t="s">
        <v>960</v>
      </c>
      <c r="B897" s="14">
        <v>43307</v>
      </c>
      <c r="C897" t="s">
        <v>44</v>
      </c>
      <c r="D897" t="s">
        <v>49</v>
      </c>
      <c r="E897">
        <v>9</v>
      </c>
      <c r="F897">
        <v>80</v>
      </c>
      <c r="G897">
        <v>0.03</v>
      </c>
      <c r="H897" t="s">
        <v>58</v>
      </c>
      <c r="I897">
        <v>720</v>
      </c>
      <c r="J897">
        <v>22</v>
      </c>
      <c r="K897">
        <v>698.4</v>
      </c>
    </row>
    <row r="898" spans="1:11">
      <c r="A898" t="s">
        <v>961</v>
      </c>
      <c r="B898" s="14">
        <v>43307</v>
      </c>
      <c r="C898" t="s">
        <v>48</v>
      </c>
      <c r="D898" t="s">
        <v>60</v>
      </c>
      <c r="E898">
        <v>4</v>
      </c>
      <c r="F898">
        <v>40</v>
      </c>
      <c r="G898">
        <v>0.05</v>
      </c>
      <c r="H898" t="s">
        <v>61</v>
      </c>
      <c r="I898">
        <v>160</v>
      </c>
      <c r="J898">
        <v>8</v>
      </c>
      <c r="K898">
        <v>152</v>
      </c>
    </row>
    <row r="899" spans="1:11">
      <c r="A899" t="s">
        <v>962</v>
      </c>
      <c r="B899" s="14">
        <v>43307</v>
      </c>
      <c r="C899" t="s">
        <v>44</v>
      </c>
      <c r="D899" t="s">
        <v>45</v>
      </c>
      <c r="E899">
        <v>6</v>
      </c>
      <c r="F899">
        <v>80</v>
      </c>
      <c r="G899">
        <v>0.07</v>
      </c>
      <c r="H899" t="s">
        <v>50</v>
      </c>
      <c r="I899">
        <v>480</v>
      </c>
      <c r="J899">
        <v>34</v>
      </c>
      <c r="K899">
        <v>446.4</v>
      </c>
    </row>
    <row r="900" spans="1:11">
      <c r="A900" t="s">
        <v>963</v>
      </c>
      <c r="B900" s="14">
        <v>43307</v>
      </c>
      <c r="C900" t="s">
        <v>63</v>
      </c>
      <c r="D900" t="s">
        <v>57</v>
      </c>
      <c r="E900">
        <v>8</v>
      </c>
      <c r="F900">
        <v>16</v>
      </c>
      <c r="G900">
        <v>0.03</v>
      </c>
      <c r="H900" t="s">
        <v>53</v>
      </c>
      <c r="I900">
        <v>128</v>
      </c>
      <c r="J900">
        <v>4</v>
      </c>
      <c r="K900">
        <v>124.16</v>
      </c>
    </row>
    <row r="901" spans="1:11">
      <c r="A901" t="s">
        <v>964</v>
      </c>
      <c r="B901" s="14">
        <v>43307</v>
      </c>
      <c r="C901" t="s">
        <v>63</v>
      </c>
      <c r="D901" t="s">
        <v>45</v>
      </c>
      <c r="E901">
        <v>10</v>
      </c>
      <c r="F901">
        <v>16</v>
      </c>
      <c r="G901">
        <v>0.08</v>
      </c>
      <c r="H901" t="s">
        <v>55</v>
      </c>
      <c r="I901">
        <v>160</v>
      </c>
      <c r="J901">
        <v>13</v>
      </c>
      <c r="K901">
        <v>147.2</v>
      </c>
    </row>
    <row r="902" spans="1:11">
      <c r="A902" t="s">
        <v>965</v>
      </c>
      <c r="B902" s="14">
        <v>43307</v>
      </c>
      <c r="C902" t="s">
        <v>63</v>
      </c>
      <c r="D902" t="s">
        <v>60</v>
      </c>
      <c r="E902">
        <v>22</v>
      </c>
      <c r="F902">
        <v>16</v>
      </c>
      <c r="G902">
        <v>0.03</v>
      </c>
      <c r="H902" t="s">
        <v>58</v>
      </c>
      <c r="I902">
        <v>352</v>
      </c>
      <c r="J902">
        <v>11</v>
      </c>
      <c r="K902">
        <v>341.44</v>
      </c>
    </row>
    <row r="903" spans="1:11">
      <c r="A903" t="s">
        <v>966</v>
      </c>
      <c r="B903" s="14">
        <v>43307</v>
      </c>
      <c r="C903" t="s">
        <v>44</v>
      </c>
      <c r="D903" t="s">
        <v>60</v>
      </c>
      <c r="E903">
        <v>11</v>
      </c>
      <c r="F903">
        <v>80</v>
      </c>
      <c r="G903">
        <v>0.01</v>
      </c>
      <c r="H903" t="s">
        <v>61</v>
      </c>
      <c r="I903">
        <v>880</v>
      </c>
      <c r="J903">
        <v>9</v>
      </c>
      <c r="K903">
        <v>871.2</v>
      </c>
    </row>
    <row r="904" spans="1:11">
      <c r="A904" t="s">
        <v>967</v>
      </c>
      <c r="B904" s="14">
        <v>43307</v>
      </c>
      <c r="C904" t="s">
        <v>63</v>
      </c>
      <c r="D904" t="s">
        <v>60</v>
      </c>
      <c r="E904">
        <v>7</v>
      </c>
      <c r="F904">
        <v>16</v>
      </c>
      <c r="G904">
        <v>0.08</v>
      </c>
      <c r="H904" t="s">
        <v>65</v>
      </c>
      <c r="I904">
        <v>112</v>
      </c>
      <c r="J904">
        <v>9</v>
      </c>
      <c r="K904">
        <v>103.04</v>
      </c>
    </row>
    <row r="905" spans="1:11">
      <c r="A905" t="s">
        <v>968</v>
      </c>
      <c r="B905" s="14">
        <v>43308</v>
      </c>
      <c r="C905" t="s">
        <v>63</v>
      </c>
      <c r="D905" t="s">
        <v>57</v>
      </c>
      <c r="E905">
        <v>11</v>
      </c>
      <c r="F905">
        <v>16</v>
      </c>
      <c r="G905">
        <v>0.12</v>
      </c>
      <c r="H905" t="s">
        <v>68</v>
      </c>
      <c r="I905">
        <v>176</v>
      </c>
      <c r="J905">
        <v>21</v>
      </c>
      <c r="K905">
        <v>154.88</v>
      </c>
    </row>
    <row r="906" spans="1:11">
      <c r="A906" t="s">
        <v>969</v>
      </c>
      <c r="B906" s="14">
        <v>43308</v>
      </c>
      <c r="C906" t="s">
        <v>48</v>
      </c>
      <c r="D906" t="s">
        <v>64</v>
      </c>
      <c r="E906">
        <v>7</v>
      </c>
      <c r="F906">
        <v>40</v>
      </c>
      <c r="G906">
        <v>0.05</v>
      </c>
      <c r="H906" t="s">
        <v>70</v>
      </c>
      <c r="I906">
        <v>280</v>
      </c>
      <c r="J906">
        <v>14</v>
      </c>
      <c r="K906">
        <v>266</v>
      </c>
    </row>
    <row r="907" spans="1:11">
      <c r="A907" t="s">
        <v>970</v>
      </c>
      <c r="B907" s="14">
        <v>43308</v>
      </c>
      <c r="C907" t="s">
        <v>67</v>
      </c>
      <c r="D907" t="s">
        <v>57</v>
      </c>
      <c r="E907">
        <v>9</v>
      </c>
      <c r="F907">
        <v>150</v>
      </c>
      <c r="G907">
        <v>0.06</v>
      </c>
      <c r="H907" t="s">
        <v>72</v>
      </c>
      <c r="I907">
        <v>1350</v>
      </c>
      <c r="J907">
        <v>81</v>
      </c>
      <c r="K907">
        <v>1269</v>
      </c>
    </row>
    <row r="908" spans="1:11">
      <c r="A908" t="s">
        <v>971</v>
      </c>
      <c r="B908" s="14">
        <v>43308</v>
      </c>
      <c r="C908" t="s">
        <v>52</v>
      </c>
      <c r="D908" t="s">
        <v>45</v>
      </c>
      <c r="E908">
        <v>20</v>
      </c>
      <c r="F908">
        <v>230</v>
      </c>
      <c r="G908">
        <v>0.04</v>
      </c>
      <c r="H908" t="s">
        <v>74</v>
      </c>
      <c r="I908">
        <v>4600</v>
      </c>
      <c r="J908">
        <v>184</v>
      </c>
      <c r="K908">
        <v>4416</v>
      </c>
    </row>
    <row r="909" spans="1:11">
      <c r="A909" t="s">
        <v>972</v>
      </c>
      <c r="B909" s="14">
        <v>43308</v>
      </c>
      <c r="C909" t="s">
        <v>67</v>
      </c>
      <c r="D909" t="s">
        <v>57</v>
      </c>
      <c r="E909">
        <v>9</v>
      </c>
      <c r="F909">
        <v>150</v>
      </c>
      <c r="G909">
        <v>0.02</v>
      </c>
      <c r="H909" t="s">
        <v>76</v>
      </c>
      <c r="I909">
        <v>1350</v>
      </c>
      <c r="J909">
        <v>27</v>
      </c>
      <c r="K909">
        <v>1323</v>
      </c>
    </row>
    <row r="910" spans="1:11">
      <c r="A910" t="s">
        <v>973</v>
      </c>
      <c r="B910" s="14">
        <v>43308</v>
      </c>
      <c r="C910" t="s">
        <v>44</v>
      </c>
      <c r="D910" t="s">
        <v>49</v>
      </c>
      <c r="E910">
        <v>5</v>
      </c>
      <c r="F910">
        <v>80</v>
      </c>
      <c r="G910">
        <v>0.07</v>
      </c>
      <c r="H910" t="s">
        <v>46</v>
      </c>
      <c r="I910">
        <v>400</v>
      </c>
      <c r="J910">
        <v>28</v>
      </c>
      <c r="K910">
        <v>372</v>
      </c>
    </row>
    <row r="911" spans="1:11">
      <c r="A911" t="s">
        <v>974</v>
      </c>
      <c r="B911" s="14">
        <v>43308</v>
      </c>
      <c r="C911" t="s">
        <v>67</v>
      </c>
      <c r="D911" t="s">
        <v>57</v>
      </c>
      <c r="E911">
        <v>20</v>
      </c>
      <c r="F911">
        <v>150</v>
      </c>
      <c r="G911">
        <v>0.04</v>
      </c>
      <c r="H911" t="s">
        <v>50</v>
      </c>
      <c r="I911">
        <v>3000</v>
      </c>
      <c r="J911">
        <v>120</v>
      </c>
      <c r="K911">
        <v>2880</v>
      </c>
    </row>
    <row r="912" spans="1:11">
      <c r="A912" t="s">
        <v>975</v>
      </c>
      <c r="B912" s="14">
        <v>43308</v>
      </c>
      <c r="C912" t="s">
        <v>67</v>
      </c>
      <c r="D912" t="s">
        <v>60</v>
      </c>
      <c r="E912">
        <v>15</v>
      </c>
      <c r="F912">
        <v>150</v>
      </c>
      <c r="G912">
        <v>0.05</v>
      </c>
      <c r="H912" t="s">
        <v>53</v>
      </c>
      <c r="I912">
        <v>2250</v>
      </c>
      <c r="J912">
        <v>112</v>
      </c>
      <c r="K912">
        <v>2137.5</v>
      </c>
    </row>
    <row r="913" spans="1:11">
      <c r="A913" t="s">
        <v>976</v>
      </c>
      <c r="B913" s="14">
        <v>43308</v>
      </c>
      <c r="C913" t="s">
        <v>44</v>
      </c>
      <c r="D913" t="s">
        <v>45</v>
      </c>
      <c r="E913">
        <v>20</v>
      </c>
      <c r="F913">
        <v>80</v>
      </c>
      <c r="G913">
        <v>0.01</v>
      </c>
      <c r="H913" t="s">
        <v>55</v>
      </c>
      <c r="I913">
        <v>1600</v>
      </c>
      <c r="J913">
        <v>16</v>
      </c>
      <c r="K913">
        <v>1584</v>
      </c>
    </row>
    <row r="914" spans="1:11">
      <c r="A914" t="s">
        <v>977</v>
      </c>
      <c r="B914" s="14">
        <v>43309</v>
      </c>
      <c r="C914" t="s">
        <v>52</v>
      </c>
      <c r="D914" t="s">
        <v>49</v>
      </c>
      <c r="E914">
        <v>12</v>
      </c>
      <c r="F914">
        <v>230</v>
      </c>
      <c r="G914">
        <v>0.03</v>
      </c>
      <c r="H914" t="s">
        <v>58</v>
      </c>
      <c r="I914">
        <v>2760</v>
      </c>
      <c r="J914">
        <v>83</v>
      </c>
      <c r="K914">
        <v>2677.2</v>
      </c>
    </row>
    <row r="915" spans="1:11">
      <c r="A915" t="s">
        <v>978</v>
      </c>
      <c r="B915" s="14">
        <v>43309</v>
      </c>
      <c r="C915" t="s">
        <v>48</v>
      </c>
      <c r="D915" t="s">
        <v>64</v>
      </c>
      <c r="E915">
        <v>20</v>
      </c>
      <c r="F915">
        <v>40</v>
      </c>
      <c r="G915">
        <v>0.05</v>
      </c>
      <c r="H915" t="s">
        <v>61</v>
      </c>
      <c r="I915">
        <v>800</v>
      </c>
      <c r="J915">
        <v>40</v>
      </c>
      <c r="K915">
        <v>760</v>
      </c>
    </row>
    <row r="916" spans="1:11">
      <c r="A916" t="s">
        <v>979</v>
      </c>
      <c r="B916" s="14">
        <v>43309</v>
      </c>
      <c r="C916" t="s">
        <v>48</v>
      </c>
      <c r="D916" t="s">
        <v>64</v>
      </c>
      <c r="E916">
        <v>4</v>
      </c>
      <c r="F916">
        <v>40</v>
      </c>
      <c r="G916">
        <v>0.09</v>
      </c>
      <c r="H916" t="s">
        <v>50</v>
      </c>
      <c r="I916">
        <v>160</v>
      </c>
      <c r="J916">
        <v>14</v>
      </c>
      <c r="K916">
        <v>145.6</v>
      </c>
    </row>
    <row r="917" spans="1:11">
      <c r="A917" t="s">
        <v>980</v>
      </c>
      <c r="B917" s="14">
        <v>43309</v>
      </c>
      <c r="C917" t="s">
        <v>63</v>
      </c>
      <c r="D917" t="s">
        <v>57</v>
      </c>
      <c r="E917">
        <v>6</v>
      </c>
      <c r="F917">
        <v>16</v>
      </c>
      <c r="G917">
        <v>0.07</v>
      </c>
      <c r="H917" t="s">
        <v>53</v>
      </c>
      <c r="I917">
        <v>96</v>
      </c>
      <c r="J917">
        <v>7</v>
      </c>
      <c r="K917">
        <v>89.28</v>
      </c>
    </row>
    <row r="918" spans="1:11">
      <c r="A918" t="s">
        <v>981</v>
      </c>
      <c r="B918" s="14">
        <v>43309</v>
      </c>
      <c r="C918" t="s">
        <v>44</v>
      </c>
      <c r="D918" t="s">
        <v>49</v>
      </c>
      <c r="E918">
        <v>13</v>
      </c>
      <c r="F918">
        <v>80</v>
      </c>
      <c r="G918">
        <v>0.06</v>
      </c>
      <c r="H918" t="s">
        <v>55</v>
      </c>
      <c r="I918">
        <v>1040</v>
      </c>
      <c r="J918">
        <v>62</v>
      </c>
      <c r="K918">
        <v>977.6</v>
      </c>
    </row>
    <row r="919" spans="1:11">
      <c r="A919" t="s">
        <v>982</v>
      </c>
      <c r="B919" s="14">
        <v>43309</v>
      </c>
      <c r="C919" t="s">
        <v>67</v>
      </c>
      <c r="D919" t="s">
        <v>45</v>
      </c>
      <c r="E919">
        <v>4</v>
      </c>
      <c r="F919">
        <v>150</v>
      </c>
      <c r="G919">
        <v>0.1</v>
      </c>
      <c r="H919" t="s">
        <v>58</v>
      </c>
      <c r="I919">
        <v>600</v>
      </c>
      <c r="J919">
        <v>60</v>
      </c>
      <c r="K919">
        <v>540</v>
      </c>
    </row>
    <row r="920" spans="1:11">
      <c r="A920" t="s">
        <v>983</v>
      </c>
      <c r="B920" s="14">
        <v>43309</v>
      </c>
      <c r="C920" t="s">
        <v>67</v>
      </c>
      <c r="D920" t="s">
        <v>60</v>
      </c>
      <c r="E920">
        <v>9</v>
      </c>
      <c r="F920">
        <v>150</v>
      </c>
      <c r="G920">
        <v>0.02</v>
      </c>
      <c r="H920" t="s">
        <v>61</v>
      </c>
      <c r="I920">
        <v>1350</v>
      </c>
      <c r="J920">
        <v>27</v>
      </c>
      <c r="K920">
        <v>1323</v>
      </c>
    </row>
    <row r="921" spans="1:11">
      <c r="A921" t="s">
        <v>984</v>
      </c>
      <c r="B921" s="14">
        <v>43309</v>
      </c>
      <c r="C921" t="s">
        <v>67</v>
      </c>
      <c r="D921" t="s">
        <v>45</v>
      </c>
      <c r="E921">
        <v>11</v>
      </c>
      <c r="F921">
        <v>150</v>
      </c>
      <c r="G921">
        <v>0.05</v>
      </c>
      <c r="H921" t="s">
        <v>65</v>
      </c>
      <c r="I921">
        <v>1650</v>
      </c>
      <c r="J921">
        <v>82</v>
      </c>
      <c r="K921">
        <v>1567.5</v>
      </c>
    </row>
    <row r="922" spans="1:11">
      <c r="A922" t="s">
        <v>985</v>
      </c>
      <c r="B922" s="14">
        <v>43309</v>
      </c>
      <c r="C922" t="s">
        <v>63</v>
      </c>
      <c r="D922" t="s">
        <v>57</v>
      </c>
      <c r="E922">
        <v>6</v>
      </c>
      <c r="F922">
        <v>16</v>
      </c>
      <c r="G922">
        <v>0.06</v>
      </c>
      <c r="H922" t="s">
        <v>68</v>
      </c>
      <c r="I922">
        <v>96</v>
      </c>
      <c r="J922">
        <v>6</v>
      </c>
      <c r="K922">
        <v>90.24</v>
      </c>
    </row>
    <row r="923" spans="1:11">
      <c r="A923" t="s">
        <v>986</v>
      </c>
      <c r="B923" s="14">
        <v>43310</v>
      </c>
      <c r="C923" t="s">
        <v>52</v>
      </c>
      <c r="D923" t="s">
        <v>57</v>
      </c>
      <c r="E923">
        <v>14</v>
      </c>
      <c r="F923">
        <v>230</v>
      </c>
      <c r="G923">
        <v>0.12</v>
      </c>
      <c r="H923" t="s">
        <v>70</v>
      </c>
      <c r="I923">
        <v>3220</v>
      </c>
      <c r="J923">
        <v>386</v>
      </c>
      <c r="K923">
        <v>2833.6</v>
      </c>
    </row>
    <row r="924" spans="1:11">
      <c r="A924" t="s">
        <v>987</v>
      </c>
      <c r="B924" s="14">
        <v>43310</v>
      </c>
      <c r="C924" t="s">
        <v>44</v>
      </c>
      <c r="D924" t="s">
        <v>49</v>
      </c>
      <c r="E924">
        <v>15</v>
      </c>
      <c r="F924">
        <v>80</v>
      </c>
      <c r="G924">
        <v>0.12</v>
      </c>
      <c r="H924" t="s">
        <v>72</v>
      </c>
      <c r="I924">
        <v>1200</v>
      </c>
      <c r="J924">
        <v>144</v>
      </c>
      <c r="K924">
        <v>1056</v>
      </c>
    </row>
    <row r="925" spans="1:11">
      <c r="A925" t="s">
        <v>988</v>
      </c>
      <c r="B925" s="14">
        <v>43310</v>
      </c>
      <c r="C925" t="s">
        <v>52</v>
      </c>
      <c r="D925" t="s">
        <v>60</v>
      </c>
      <c r="E925">
        <v>17</v>
      </c>
      <c r="F925">
        <v>230</v>
      </c>
      <c r="G925">
        <v>0.12</v>
      </c>
      <c r="H925" t="s">
        <v>74</v>
      </c>
      <c r="I925">
        <v>3910</v>
      </c>
      <c r="J925">
        <v>469</v>
      </c>
      <c r="K925">
        <v>3440.8</v>
      </c>
    </row>
    <row r="926" spans="1:11">
      <c r="A926" t="s">
        <v>989</v>
      </c>
      <c r="B926" s="14">
        <v>43310</v>
      </c>
      <c r="C926" t="s">
        <v>67</v>
      </c>
      <c r="D926" t="s">
        <v>45</v>
      </c>
      <c r="E926">
        <v>5</v>
      </c>
      <c r="F926">
        <v>150</v>
      </c>
      <c r="G926">
        <v>0.11</v>
      </c>
      <c r="H926" t="s">
        <v>76</v>
      </c>
      <c r="I926">
        <v>750</v>
      </c>
      <c r="J926">
        <v>82</v>
      </c>
      <c r="K926">
        <v>667.5</v>
      </c>
    </row>
    <row r="927" spans="1:11">
      <c r="A927" t="s">
        <v>990</v>
      </c>
      <c r="B927" s="14">
        <v>43310</v>
      </c>
      <c r="C927" t="s">
        <v>44</v>
      </c>
      <c r="D927" t="s">
        <v>64</v>
      </c>
      <c r="E927">
        <v>10</v>
      </c>
      <c r="F927">
        <v>80</v>
      </c>
      <c r="G927">
        <v>0.06</v>
      </c>
      <c r="H927" t="s">
        <v>46</v>
      </c>
      <c r="I927">
        <v>800</v>
      </c>
      <c r="J927">
        <v>48</v>
      </c>
      <c r="K927">
        <v>752</v>
      </c>
    </row>
    <row r="928" spans="1:11">
      <c r="A928" t="s">
        <v>991</v>
      </c>
      <c r="B928" s="14">
        <v>43310</v>
      </c>
      <c r="C928" t="s">
        <v>44</v>
      </c>
      <c r="D928" t="s">
        <v>45</v>
      </c>
      <c r="E928">
        <v>9</v>
      </c>
      <c r="F928">
        <v>80</v>
      </c>
      <c r="G928">
        <v>0.04</v>
      </c>
      <c r="H928" t="s">
        <v>50</v>
      </c>
      <c r="I928">
        <v>720</v>
      </c>
      <c r="J928">
        <v>29</v>
      </c>
      <c r="K928">
        <v>691.2</v>
      </c>
    </row>
    <row r="929" spans="1:11">
      <c r="A929" t="s">
        <v>992</v>
      </c>
      <c r="B929" s="14">
        <v>43310</v>
      </c>
      <c r="C929" t="s">
        <v>48</v>
      </c>
      <c r="D929" t="s">
        <v>64</v>
      </c>
      <c r="E929">
        <v>16</v>
      </c>
      <c r="F929">
        <v>40</v>
      </c>
      <c r="G929">
        <v>0.09</v>
      </c>
      <c r="H929" t="s">
        <v>53</v>
      </c>
      <c r="I929">
        <v>640</v>
      </c>
      <c r="J929">
        <v>58</v>
      </c>
      <c r="K929">
        <v>582.4</v>
      </c>
    </row>
    <row r="930" spans="1:11">
      <c r="A930" t="s">
        <v>993</v>
      </c>
      <c r="B930" s="14">
        <v>43310</v>
      </c>
      <c r="C930" t="s">
        <v>52</v>
      </c>
      <c r="D930" t="s">
        <v>45</v>
      </c>
      <c r="E930">
        <v>7</v>
      </c>
      <c r="F930">
        <v>230</v>
      </c>
      <c r="G930">
        <v>0.08</v>
      </c>
      <c r="H930" t="s">
        <v>55</v>
      </c>
      <c r="I930">
        <v>1610</v>
      </c>
      <c r="J930">
        <v>129</v>
      </c>
      <c r="K930">
        <v>1481.2</v>
      </c>
    </row>
    <row r="931" spans="1:11">
      <c r="A931" t="s">
        <v>994</v>
      </c>
      <c r="B931" s="14">
        <v>43310</v>
      </c>
      <c r="C931" t="s">
        <v>44</v>
      </c>
      <c r="D931" t="s">
        <v>60</v>
      </c>
      <c r="E931">
        <v>17</v>
      </c>
      <c r="F931">
        <v>80</v>
      </c>
      <c r="G931">
        <v>0.05</v>
      </c>
      <c r="H931" t="s">
        <v>58</v>
      </c>
      <c r="I931">
        <v>1360</v>
      </c>
      <c r="J931">
        <v>68</v>
      </c>
      <c r="K931">
        <v>1292</v>
      </c>
    </row>
    <row r="932" spans="1:11">
      <c r="A932" t="s">
        <v>995</v>
      </c>
      <c r="B932" s="14">
        <v>43310</v>
      </c>
      <c r="C932" t="s">
        <v>52</v>
      </c>
      <c r="D932" t="s">
        <v>45</v>
      </c>
      <c r="E932">
        <v>11</v>
      </c>
      <c r="F932">
        <v>230</v>
      </c>
      <c r="G932">
        <v>0.02</v>
      </c>
      <c r="H932" t="s">
        <v>61</v>
      </c>
      <c r="I932">
        <v>2530</v>
      </c>
      <c r="J932">
        <v>51</v>
      </c>
      <c r="K932">
        <v>2479.4</v>
      </c>
    </row>
    <row r="933" spans="1:11">
      <c r="A933" t="s">
        <v>996</v>
      </c>
      <c r="B933" s="14">
        <v>43311</v>
      </c>
      <c r="C933" t="s">
        <v>48</v>
      </c>
      <c r="D933" t="s">
        <v>45</v>
      </c>
      <c r="E933">
        <v>15</v>
      </c>
      <c r="F933">
        <v>40</v>
      </c>
      <c r="G933">
        <v>0.06</v>
      </c>
      <c r="H933" t="s">
        <v>50</v>
      </c>
      <c r="I933">
        <v>600</v>
      </c>
      <c r="J933">
        <v>36</v>
      </c>
      <c r="K933">
        <v>564</v>
      </c>
    </row>
    <row r="934" spans="1:11">
      <c r="A934" t="s">
        <v>997</v>
      </c>
      <c r="B934" s="14">
        <v>43312</v>
      </c>
      <c r="C934" t="s">
        <v>52</v>
      </c>
      <c r="D934" t="s">
        <v>45</v>
      </c>
      <c r="E934">
        <v>7</v>
      </c>
      <c r="F934">
        <v>230</v>
      </c>
      <c r="G934">
        <v>0.02</v>
      </c>
      <c r="H934" t="s">
        <v>53</v>
      </c>
      <c r="I934">
        <v>1610</v>
      </c>
      <c r="J934">
        <v>32</v>
      </c>
      <c r="K934">
        <v>1577.8</v>
      </c>
    </row>
    <row r="935" spans="1:11">
      <c r="A935" t="s">
        <v>998</v>
      </c>
      <c r="B935" s="14">
        <v>43312</v>
      </c>
      <c r="C935" t="s">
        <v>44</v>
      </c>
      <c r="D935" t="s">
        <v>57</v>
      </c>
      <c r="E935">
        <v>20</v>
      </c>
      <c r="F935">
        <v>80</v>
      </c>
      <c r="G935">
        <v>0.07</v>
      </c>
      <c r="H935" t="s">
        <v>55</v>
      </c>
      <c r="I935">
        <v>1600</v>
      </c>
      <c r="J935">
        <v>112</v>
      </c>
      <c r="K935">
        <v>1488</v>
      </c>
    </row>
    <row r="936" spans="1:11">
      <c r="A936" t="s">
        <v>999</v>
      </c>
      <c r="B936" s="14">
        <v>43312</v>
      </c>
      <c r="C936" t="s">
        <v>44</v>
      </c>
      <c r="D936" t="s">
        <v>49</v>
      </c>
      <c r="E936">
        <v>3</v>
      </c>
      <c r="F936">
        <v>80</v>
      </c>
      <c r="G936">
        <v>0.02</v>
      </c>
      <c r="H936" t="s">
        <v>58</v>
      </c>
      <c r="I936">
        <v>240</v>
      </c>
      <c r="J936">
        <v>5</v>
      </c>
      <c r="K936">
        <v>235.2</v>
      </c>
    </row>
    <row r="937" spans="1:11">
      <c r="A937" t="s">
        <v>1000</v>
      </c>
      <c r="B937" s="14">
        <v>43312</v>
      </c>
      <c r="C937" t="s">
        <v>67</v>
      </c>
      <c r="D937" t="s">
        <v>57</v>
      </c>
      <c r="E937">
        <v>2</v>
      </c>
      <c r="F937">
        <v>150</v>
      </c>
      <c r="G937">
        <v>0.02</v>
      </c>
      <c r="H937" t="s">
        <v>61</v>
      </c>
      <c r="I937">
        <v>300</v>
      </c>
      <c r="J937">
        <v>6</v>
      </c>
      <c r="K937">
        <v>294</v>
      </c>
    </row>
    <row r="938" spans="1:11">
      <c r="A938" t="s">
        <v>1001</v>
      </c>
      <c r="B938" s="14">
        <v>43312</v>
      </c>
      <c r="C938" t="s">
        <v>67</v>
      </c>
      <c r="D938" t="s">
        <v>57</v>
      </c>
      <c r="E938">
        <v>22</v>
      </c>
      <c r="F938">
        <v>150</v>
      </c>
      <c r="G938">
        <v>0.09</v>
      </c>
      <c r="H938" t="s">
        <v>65</v>
      </c>
      <c r="I938">
        <v>3300</v>
      </c>
      <c r="J938">
        <v>297</v>
      </c>
      <c r="K938">
        <v>3003</v>
      </c>
    </row>
    <row r="939" spans="1:11">
      <c r="A939" t="s">
        <v>1002</v>
      </c>
      <c r="B939" s="14">
        <v>43312</v>
      </c>
      <c r="C939" t="s">
        <v>52</v>
      </c>
      <c r="D939" t="s">
        <v>45</v>
      </c>
      <c r="E939">
        <v>5</v>
      </c>
      <c r="F939">
        <v>230</v>
      </c>
      <c r="G939">
        <v>0.1</v>
      </c>
      <c r="H939" t="s">
        <v>68</v>
      </c>
      <c r="I939">
        <v>1150</v>
      </c>
      <c r="J939">
        <v>115</v>
      </c>
      <c r="K939">
        <v>1035</v>
      </c>
    </row>
    <row r="940" spans="1:11">
      <c r="A940" t="s">
        <v>1003</v>
      </c>
      <c r="B940" s="14">
        <v>43312</v>
      </c>
      <c r="C940" t="s">
        <v>63</v>
      </c>
      <c r="D940" t="s">
        <v>64</v>
      </c>
      <c r="E940">
        <v>12</v>
      </c>
      <c r="F940">
        <v>16</v>
      </c>
      <c r="G940">
        <v>0.04</v>
      </c>
      <c r="H940" t="s">
        <v>70</v>
      </c>
      <c r="I940">
        <v>192</v>
      </c>
      <c r="J940">
        <v>8</v>
      </c>
      <c r="K940">
        <v>184.32</v>
      </c>
    </row>
    <row r="941" spans="1:11">
      <c r="A941" t="s">
        <v>1004</v>
      </c>
      <c r="B941" s="14">
        <v>43312</v>
      </c>
      <c r="C941" t="s">
        <v>48</v>
      </c>
      <c r="D941" t="s">
        <v>60</v>
      </c>
      <c r="E941">
        <v>6</v>
      </c>
      <c r="F941">
        <v>40</v>
      </c>
      <c r="G941">
        <v>0.07</v>
      </c>
      <c r="H941" t="s">
        <v>72</v>
      </c>
      <c r="I941">
        <v>240</v>
      </c>
      <c r="J941">
        <v>17</v>
      </c>
      <c r="K941">
        <v>223.2</v>
      </c>
    </row>
    <row r="942" spans="1:11">
      <c r="A942" t="s">
        <v>1005</v>
      </c>
      <c r="B942" s="14">
        <v>43312</v>
      </c>
      <c r="C942" t="s">
        <v>63</v>
      </c>
      <c r="D942" t="s">
        <v>64</v>
      </c>
      <c r="E942">
        <v>15</v>
      </c>
      <c r="F942">
        <v>16</v>
      </c>
      <c r="G942">
        <v>0.01</v>
      </c>
      <c r="H942" t="s">
        <v>74</v>
      </c>
      <c r="I942">
        <v>240</v>
      </c>
      <c r="J942">
        <v>2</v>
      </c>
      <c r="K942">
        <v>237.6</v>
      </c>
    </row>
    <row r="943" spans="1:11">
      <c r="A943" t="s">
        <v>1006</v>
      </c>
      <c r="B943" s="14">
        <v>43282</v>
      </c>
      <c r="C943" t="s">
        <v>67</v>
      </c>
      <c r="D943" t="s">
        <v>64</v>
      </c>
      <c r="E943">
        <v>13</v>
      </c>
      <c r="F943">
        <v>150</v>
      </c>
      <c r="G943">
        <v>0.11</v>
      </c>
      <c r="H943" t="s">
        <v>76</v>
      </c>
      <c r="I943">
        <v>1950</v>
      </c>
      <c r="J943">
        <v>214</v>
      </c>
      <c r="K943">
        <v>1735.5</v>
      </c>
    </row>
    <row r="944" spans="1:11">
      <c r="A944" t="s">
        <v>1007</v>
      </c>
      <c r="B944" s="14">
        <v>43282</v>
      </c>
      <c r="C944" t="s">
        <v>48</v>
      </c>
      <c r="D944" t="s">
        <v>49</v>
      </c>
      <c r="E944">
        <v>8</v>
      </c>
      <c r="F944">
        <v>40</v>
      </c>
      <c r="G944">
        <v>0.09</v>
      </c>
      <c r="H944" t="s">
        <v>46</v>
      </c>
      <c r="I944">
        <v>320</v>
      </c>
      <c r="J944">
        <v>29</v>
      </c>
      <c r="K944">
        <v>291.2</v>
      </c>
    </row>
    <row r="945" spans="1:11">
      <c r="A945" t="s">
        <v>1008</v>
      </c>
      <c r="B945" s="14">
        <v>43282</v>
      </c>
      <c r="C945" t="s">
        <v>48</v>
      </c>
      <c r="D945" t="s">
        <v>60</v>
      </c>
      <c r="E945">
        <v>7</v>
      </c>
      <c r="F945">
        <v>40</v>
      </c>
      <c r="G945">
        <v>0.07</v>
      </c>
      <c r="H945" t="s">
        <v>50</v>
      </c>
      <c r="I945">
        <v>280</v>
      </c>
      <c r="J945">
        <v>20</v>
      </c>
      <c r="K945">
        <v>260.4</v>
      </c>
    </row>
    <row r="946" spans="1:11">
      <c r="A946" t="s">
        <v>1009</v>
      </c>
      <c r="B946" s="14">
        <v>43282</v>
      </c>
      <c r="C946" t="s">
        <v>48</v>
      </c>
      <c r="D946" t="s">
        <v>49</v>
      </c>
      <c r="E946">
        <v>18</v>
      </c>
      <c r="F946">
        <v>40</v>
      </c>
      <c r="G946">
        <v>0.08</v>
      </c>
      <c r="H946" t="s">
        <v>53</v>
      </c>
      <c r="I946">
        <v>720</v>
      </c>
      <c r="J946">
        <v>58</v>
      </c>
      <c r="K946">
        <v>662.4</v>
      </c>
    </row>
    <row r="947" spans="1:11">
      <c r="A947" t="s">
        <v>1010</v>
      </c>
      <c r="B947" s="14">
        <v>43282</v>
      </c>
      <c r="C947" t="s">
        <v>52</v>
      </c>
      <c r="D947" t="s">
        <v>60</v>
      </c>
      <c r="E947">
        <v>19</v>
      </c>
      <c r="F947">
        <v>230</v>
      </c>
      <c r="G947">
        <v>0.06</v>
      </c>
      <c r="H947" t="s">
        <v>55</v>
      </c>
      <c r="I947">
        <v>4370</v>
      </c>
      <c r="J947">
        <v>262</v>
      </c>
      <c r="K947">
        <v>4107.8</v>
      </c>
    </row>
    <row r="948" spans="1:11">
      <c r="A948" t="s">
        <v>1011</v>
      </c>
      <c r="B948" s="14">
        <v>43282</v>
      </c>
      <c r="C948" t="s">
        <v>67</v>
      </c>
      <c r="D948" t="s">
        <v>45</v>
      </c>
      <c r="E948">
        <v>4</v>
      </c>
      <c r="F948">
        <v>150</v>
      </c>
      <c r="G948">
        <v>0.1</v>
      </c>
      <c r="H948" t="s">
        <v>58</v>
      </c>
      <c r="I948">
        <v>600</v>
      </c>
      <c r="J948">
        <v>60</v>
      </c>
      <c r="K948">
        <v>540</v>
      </c>
    </row>
    <row r="949" spans="1:11">
      <c r="A949" t="s">
        <v>1012</v>
      </c>
      <c r="B949" s="14">
        <v>43283</v>
      </c>
      <c r="C949" t="s">
        <v>44</v>
      </c>
      <c r="D949" t="s">
        <v>64</v>
      </c>
      <c r="E949">
        <v>9</v>
      </c>
      <c r="F949">
        <v>80</v>
      </c>
      <c r="G949">
        <v>0.06</v>
      </c>
      <c r="H949" t="s">
        <v>61</v>
      </c>
      <c r="I949">
        <v>720</v>
      </c>
      <c r="J949">
        <v>43</v>
      </c>
      <c r="K949">
        <v>676.8</v>
      </c>
    </row>
    <row r="950" spans="1:11">
      <c r="A950" t="s">
        <v>1013</v>
      </c>
      <c r="B950" s="14">
        <v>43283</v>
      </c>
      <c r="C950" t="s">
        <v>44</v>
      </c>
      <c r="D950" t="s">
        <v>57</v>
      </c>
      <c r="E950">
        <v>16</v>
      </c>
      <c r="F950">
        <v>80</v>
      </c>
      <c r="G950">
        <v>0.02</v>
      </c>
      <c r="H950" t="s">
        <v>50</v>
      </c>
      <c r="I950">
        <v>1280</v>
      </c>
      <c r="J950">
        <v>26</v>
      </c>
      <c r="K950">
        <v>1254.4</v>
      </c>
    </row>
    <row r="951" spans="1:11">
      <c r="A951" t="s">
        <v>1014</v>
      </c>
      <c r="B951" s="14">
        <v>43283</v>
      </c>
      <c r="C951" t="s">
        <v>52</v>
      </c>
      <c r="D951" t="s">
        <v>49</v>
      </c>
      <c r="E951">
        <v>15</v>
      </c>
      <c r="F951">
        <v>230</v>
      </c>
      <c r="G951">
        <v>0.09</v>
      </c>
      <c r="H951" t="s">
        <v>53</v>
      </c>
      <c r="I951">
        <v>3450</v>
      </c>
      <c r="J951">
        <v>310</v>
      </c>
      <c r="K951">
        <v>3139.5</v>
      </c>
    </row>
    <row r="952" spans="1:11">
      <c r="A952" t="s">
        <v>1015</v>
      </c>
      <c r="B952" s="14">
        <v>43283</v>
      </c>
      <c r="C952" t="s">
        <v>63</v>
      </c>
      <c r="D952" t="s">
        <v>64</v>
      </c>
      <c r="E952">
        <v>15</v>
      </c>
      <c r="F952">
        <v>16</v>
      </c>
      <c r="G952">
        <v>0.01</v>
      </c>
      <c r="H952" t="s">
        <v>55</v>
      </c>
      <c r="I952">
        <v>240</v>
      </c>
      <c r="J952">
        <v>2</v>
      </c>
      <c r="K952">
        <v>237.6</v>
      </c>
    </row>
    <row r="953" spans="1:11">
      <c r="A953" t="s">
        <v>1016</v>
      </c>
      <c r="B953" s="14">
        <v>43283</v>
      </c>
      <c r="C953" t="s">
        <v>52</v>
      </c>
      <c r="D953" t="s">
        <v>45</v>
      </c>
      <c r="E953">
        <v>7</v>
      </c>
      <c r="F953">
        <v>230</v>
      </c>
      <c r="G953">
        <v>0.02</v>
      </c>
      <c r="H953" t="s">
        <v>58</v>
      </c>
      <c r="I953">
        <v>1610</v>
      </c>
      <c r="J953">
        <v>32</v>
      </c>
      <c r="K953">
        <v>1577.8</v>
      </c>
    </row>
    <row r="954" spans="1:11">
      <c r="A954" t="s">
        <v>1017</v>
      </c>
      <c r="B954" s="14">
        <v>43283</v>
      </c>
      <c r="C954" t="s">
        <v>63</v>
      </c>
      <c r="D954" t="s">
        <v>57</v>
      </c>
      <c r="E954">
        <v>23</v>
      </c>
      <c r="F954">
        <v>16</v>
      </c>
      <c r="G954">
        <v>0.11</v>
      </c>
      <c r="H954" t="s">
        <v>61</v>
      </c>
      <c r="I954">
        <v>368</v>
      </c>
      <c r="J954">
        <v>40</v>
      </c>
      <c r="K954">
        <v>327.52</v>
      </c>
    </row>
    <row r="955" spans="1:11">
      <c r="A955" t="s">
        <v>1018</v>
      </c>
      <c r="B955" s="14">
        <v>43283</v>
      </c>
      <c r="C955" t="s">
        <v>48</v>
      </c>
      <c r="D955" t="s">
        <v>64</v>
      </c>
      <c r="E955">
        <v>20</v>
      </c>
      <c r="F955">
        <v>40</v>
      </c>
      <c r="G955">
        <v>0.05</v>
      </c>
      <c r="H955" t="s">
        <v>65</v>
      </c>
      <c r="I955">
        <v>800</v>
      </c>
      <c r="J955">
        <v>40</v>
      </c>
      <c r="K955">
        <v>760</v>
      </c>
    </row>
    <row r="956" spans="1:11">
      <c r="A956" t="s">
        <v>1019</v>
      </c>
      <c r="B956" s="14">
        <v>43284</v>
      </c>
      <c r="C956" t="s">
        <v>52</v>
      </c>
      <c r="D956" t="s">
        <v>49</v>
      </c>
      <c r="E956">
        <v>9</v>
      </c>
      <c r="F956">
        <v>230</v>
      </c>
      <c r="G956">
        <v>0.03</v>
      </c>
      <c r="H956" t="s">
        <v>68</v>
      </c>
      <c r="I956">
        <v>2070</v>
      </c>
      <c r="J956">
        <v>62</v>
      </c>
      <c r="K956">
        <v>2007.9</v>
      </c>
    </row>
    <row r="957" spans="1:11">
      <c r="A957" t="s">
        <v>1020</v>
      </c>
      <c r="B957" s="14">
        <v>43284</v>
      </c>
      <c r="C957" t="s">
        <v>48</v>
      </c>
      <c r="D957" t="s">
        <v>60</v>
      </c>
      <c r="E957">
        <v>23</v>
      </c>
      <c r="F957">
        <v>40</v>
      </c>
      <c r="G957">
        <v>0.06</v>
      </c>
      <c r="H957" t="s">
        <v>70</v>
      </c>
      <c r="I957">
        <v>920</v>
      </c>
      <c r="J957">
        <v>55</v>
      </c>
      <c r="K957">
        <v>864.8</v>
      </c>
    </row>
    <row r="958" spans="1:11">
      <c r="A958" t="s">
        <v>1021</v>
      </c>
      <c r="B958" s="14">
        <v>43284</v>
      </c>
      <c r="C958" t="s">
        <v>48</v>
      </c>
      <c r="D958" t="s">
        <v>60</v>
      </c>
      <c r="E958">
        <v>4</v>
      </c>
      <c r="F958">
        <v>40</v>
      </c>
      <c r="G958">
        <v>0.05</v>
      </c>
      <c r="H958" t="s">
        <v>72</v>
      </c>
      <c r="I958">
        <v>160</v>
      </c>
      <c r="J958">
        <v>8</v>
      </c>
      <c r="K958">
        <v>152</v>
      </c>
    </row>
    <row r="959" spans="1:11">
      <c r="A959" t="s">
        <v>1022</v>
      </c>
      <c r="B959" s="14">
        <v>43284</v>
      </c>
      <c r="C959" t="s">
        <v>67</v>
      </c>
      <c r="D959" t="s">
        <v>45</v>
      </c>
      <c r="E959">
        <v>13</v>
      </c>
      <c r="F959">
        <v>150</v>
      </c>
      <c r="G959">
        <v>0.05</v>
      </c>
      <c r="H959" t="s">
        <v>74</v>
      </c>
      <c r="I959">
        <v>1950</v>
      </c>
      <c r="J959">
        <v>98</v>
      </c>
      <c r="K959">
        <v>1852.5</v>
      </c>
    </row>
    <row r="960" spans="1:11">
      <c r="A960" t="s">
        <v>1023</v>
      </c>
      <c r="B960" s="14">
        <v>43284</v>
      </c>
      <c r="C960" t="s">
        <v>52</v>
      </c>
      <c r="D960" t="s">
        <v>49</v>
      </c>
      <c r="E960">
        <v>7</v>
      </c>
      <c r="F960">
        <v>230</v>
      </c>
      <c r="G960">
        <v>0.01</v>
      </c>
      <c r="H960" t="s">
        <v>76</v>
      </c>
      <c r="I960">
        <v>1610</v>
      </c>
      <c r="J960">
        <v>16</v>
      </c>
      <c r="K960">
        <v>1593.9</v>
      </c>
    </row>
    <row r="961" spans="1:11">
      <c r="A961" t="s">
        <v>1024</v>
      </c>
      <c r="B961" s="14">
        <v>43284</v>
      </c>
      <c r="C961" t="s">
        <v>52</v>
      </c>
      <c r="D961" t="s">
        <v>49</v>
      </c>
      <c r="E961">
        <v>7</v>
      </c>
      <c r="F961">
        <v>230</v>
      </c>
      <c r="G961">
        <v>0.08</v>
      </c>
      <c r="H961" t="s">
        <v>46</v>
      </c>
      <c r="I961">
        <v>1610</v>
      </c>
      <c r="J961">
        <v>129</v>
      </c>
      <c r="K961">
        <v>1481.2</v>
      </c>
    </row>
    <row r="962" spans="1:11">
      <c r="A962" t="s">
        <v>1025</v>
      </c>
      <c r="B962" s="14">
        <v>43284</v>
      </c>
      <c r="C962" t="s">
        <v>52</v>
      </c>
      <c r="D962" t="s">
        <v>57</v>
      </c>
      <c r="E962">
        <v>15</v>
      </c>
      <c r="F962">
        <v>230</v>
      </c>
      <c r="G962">
        <v>0.04</v>
      </c>
      <c r="H962" t="s">
        <v>50</v>
      </c>
      <c r="I962">
        <v>3450</v>
      </c>
      <c r="J962">
        <v>138</v>
      </c>
      <c r="K962">
        <v>3312</v>
      </c>
    </row>
    <row r="963" spans="1:11">
      <c r="A963" t="s">
        <v>1026</v>
      </c>
      <c r="B963" s="14">
        <v>43284</v>
      </c>
      <c r="C963" t="s">
        <v>48</v>
      </c>
      <c r="D963" t="s">
        <v>60</v>
      </c>
      <c r="E963">
        <v>15</v>
      </c>
      <c r="F963">
        <v>40</v>
      </c>
      <c r="G963">
        <v>0.03</v>
      </c>
      <c r="H963" t="s">
        <v>53</v>
      </c>
      <c r="I963">
        <v>600</v>
      </c>
      <c r="J963">
        <v>18</v>
      </c>
      <c r="K963">
        <v>582</v>
      </c>
    </row>
    <row r="964" spans="1:11">
      <c r="A964" t="s">
        <v>1027</v>
      </c>
      <c r="B964" s="14">
        <v>43284</v>
      </c>
      <c r="C964" t="s">
        <v>48</v>
      </c>
      <c r="D964" t="s">
        <v>57</v>
      </c>
      <c r="E964">
        <v>2</v>
      </c>
      <c r="F964">
        <v>40</v>
      </c>
      <c r="G964">
        <v>0.03</v>
      </c>
      <c r="H964" t="s">
        <v>55</v>
      </c>
      <c r="I964">
        <v>80</v>
      </c>
      <c r="J964">
        <v>2</v>
      </c>
      <c r="K964">
        <v>77.6</v>
      </c>
    </row>
    <row r="965" spans="1:11">
      <c r="A965" t="s">
        <v>1028</v>
      </c>
      <c r="B965" s="14">
        <v>43284</v>
      </c>
      <c r="C965" t="s">
        <v>67</v>
      </c>
      <c r="D965" t="s">
        <v>57</v>
      </c>
      <c r="E965">
        <v>2</v>
      </c>
      <c r="F965">
        <v>150</v>
      </c>
      <c r="G965">
        <v>0.02</v>
      </c>
      <c r="H965" t="s">
        <v>58</v>
      </c>
      <c r="I965">
        <v>300</v>
      </c>
      <c r="J965">
        <v>6</v>
      </c>
      <c r="K965">
        <v>294</v>
      </c>
    </row>
    <row r="966" spans="1:11">
      <c r="A966" t="s">
        <v>1029</v>
      </c>
      <c r="B966" s="14">
        <v>43285</v>
      </c>
      <c r="C966" t="s">
        <v>52</v>
      </c>
      <c r="D966" t="s">
        <v>45</v>
      </c>
      <c r="E966">
        <v>3</v>
      </c>
      <c r="F966">
        <v>230</v>
      </c>
      <c r="G966">
        <v>0.11</v>
      </c>
      <c r="H966" t="s">
        <v>61</v>
      </c>
      <c r="I966">
        <v>690</v>
      </c>
      <c r="J966">
        <v>76</v>
      </c>
      <c r="K966">
        <v>614.1</v>
      </c>
    </row>
    <row r="967" spans="1:11">
      <c r="A967" t="s">
        <v>1030</v>
      </c>
      <c r="B967" s="14">
        <v>43285</v>
      </c>
      <c r="C967" t="s">
        <v>48</v>
      </c>
      <c r="D967" t="s">
        <v>57</v>
      </c>
      <c r="E967">
        <v>4</v>
      </c>
      <c r="F967">
        <v>40</v>
      </c>
      <c r="G967">
        <v>0.06</v>
      </c>
      <c r="H967" t="s">
        <v>50</v>
      </c>
      <c r="I967">
        <v>160</v>
      </c>
      <c r="J967">
        <v>10</v>
      </c>
      <c r="K967">
        <v>150.4</v>
      </c>
    </row>
    <row r="968" spans="1:11">
      <c r="A968" t="s">
        <v>1031</v>
      </c>
      <c r="B968" s="14">
        <v>43285</v>
      </c>
      <c r="C968" t="s">
        <v>48</v>
      </c>
      <c r="D968" t="s">
        <v>60</v>
      </c>
      <c r="E968">
        <v>13</v>
      </c>
      <c r="F968">
        <v>40</v>
      </c>
      <c r="G968">
        <v>0.06</v>
      </c>
      <c r="H968" t="s">
        <v>53</v>
      </c>
      <c r="I968">
        <v>520</v>
      </c>
      <c r="J968">
        <v>31</v>
      </c>
      <c r="K968">
        <v>488.8</v>
      </c>
    </row>
    <row r="969" spans="1:11">
      <c r="A969" t="s">
        <v>1032</v>
      </c>
      <c r="B969" s="14">
        <v>43285</v>
      </c>
      <c r="C969" t="s">
        <v>63</v>
      </c>
      <c r="D969" t="s">
        <v>60</v>
      </c>
      <c r="E969">
        <v>15</v>
      </c>
      <c r="F969">
        <v>16</v>
      </c>
      <c r="G969">
        <v>0.12</v>
      </c>
      <c r="H969" t="s">
        <v>55</v>
      </c>
      <c r="I969">
        <v>240</v>
      </c>
      <c r="J969">
        <v>29</v>
      </c>
      <c r="K969">
        <v>211.2</v>
      </c>
    </row>
    <row r="970" spans="1:11">
      <c r="A970" t="s">
        <v>1033</v>
      </c>
      <c r="B970" s="14">
        <v>43285</v>
      </c>
      <c r="C970" t="s">
        <v>44</v>
      </c>
      <c r="D970" t="s">
        <v>45</v>
      </c>
      <c r="E970">
        <v>14</v>
      </c>
      <c r="F970">
        <v>80</v>
      </c>
      <c r="G970">
        <v>0.08</v>
      </c>
      <c r="H970" t="s">
        <v>58</v>
      </c>
      <c r="I970">
        <v>1120</v>
      </c>
      <c r="J970">
        <v>90</v>
      </c>
      <c r="K970">
        <v>1030.4</v>
      </c>
    </row>
    <row r="971" spans="1:11">
      <c r="A971" t="s">
        <v>1034</v>
      </c>
      <c r="B971" s="14">
        <v>43285</v>
      </c>
      <c r="C971" t="s">
        <v>63</v>
      </c>
      <c r="D971" t="s">
        <v>45</v>
      </c>
      <c r="E971">
        <v>7</v>
      </c>
      <c r="F971">
        <v>16</v>
      </c>
      <c r="G971">
        <v>0.08</v>
      </c>
      <c r="H971" t="s">
        <v>61</v>
      </c>
      <c r="I971">
        <v>112</v>
      </c>
      <c r="J971">
        <v>9</v>
      </c>
      <c r="K971">
        <v>103.04</v>
      </c>
    </row>
    <row r="972" spans="1:11">
      <c r="A972" t="s">
        <v>1035</v>
      </c>
      <c r="B972" s="14">
        <v>43285</v>
      </c>
      <c r="C972" t="s">
        <v>67</v>
      </c>
      <c r="D972" t="s">
        <v>49</v>
      </c>
      <c r="E972">
        <v>13</v>
      </c>
      <c r="F972">
        <v>150</v>
      </c>
      <c r="G972">
        <v>0.02</v>
      </c>
      <c r="H972" t="s">
        <v>65</v>
      </c>
      <c r="I972">
        <v>1950</v>
      </c>
      <c r="J972">
        <v>39</v>
      </c>
      <c r="K972">
        <v>1911</v>
      </c>
    </row>
    <row r="973" spans="1:11">
      <c r="A973" t="s">
        <v>1036</v>
      </c>
      <c r="B973" s="14">
        <v>43285</v>
      </c>
      <c r="C973" t="s">
        <v>67</v>
      </c>
      <c r="D973" t="s">
        <v>57</v>
      </c>
      <c r="E973">
        <v>9</v>
      </c>
      <c r="F973">
        <v>150</v>
      </c>
      <c r="G973">
        <v>0.02</v>
      </c>
      <c r="H973" t="s">
        <v>68</v>
      </c>
      <c r="I973">
        <v>1350</v>
      </c>
      <c r="J973">
        <v>27</v>
      </c>
      <c r="K973">
        <v>1323</v>
      </c>
    </row>
    <row r="974" spans="1:11">
      <c r="A974" t="s">
        <v>1037</v>
      </c>
      <c r="B974" s="14">
        <v>43285</v>
      </c>
      <c r="C974" t="s">
        <v>48</v>
      </c>
      <c r="D974" t="s">
        <v>45</v>
      </c>
      <c r="E974">
        <v>9</v>
      </c>
      <c r="F974">
        <v>40</v>
      </c>
      <c r="G974">
        <v>0.01</v>
      </c>
      <c r="H974" t="s">
        <v>70</v>
      </c>
      <c r="I974">
        <v>360</v>
      </c>
      <c r="J974">
        <v>4</v>
      </c>
      <c r="K974">
        <v>356.4</v>
      </c>
    </row>
    <row r="975" spans="1:11">
      <c r="A975" t="s">
        <v>1038</v>
      </c>
      <c r="B975" s="14">
        <v>43286</v>
      </c>
      <c r="C975" t="s">
        <v>44</v>
      </c>
      <c r="D975" t="s">
        <v>64</v>
      </c>
      <c r="E975">
        <v>9</v>
      </c>
      <c r="F975">
        <v>80</v>
      </c>
      <c r="G975">
        <v>0.07</v>
      </c>
      <c r="H975" t="s">
        <v>72</v>
      </c>
      <c r="I975">
        <v>720</v>
      </c>
      <c r="J975">
        <v>50</v>
      </c>
      <c r="K975">
        <v>669.6</v>
      </c>
    </row>
    <row r="976" spans="1:11">
      <c r="A976" t="s">
        <v>1039</v>
      </c>
      <c r="B976" s="14">
        <v>43286</v>
      </c>
      <c r="C976" t="s">
        <v>52</v>
      </c>
      <c r="D976" t="s">
        <v>49</v>
      </c>
      <c r="E976">
        <v>22</v>
      </c>
      <c r="F976">
        <v>230</v>
      </c>
      <c r="G976">
        <v>0.11</v>
      </c>
      <c r="H976" t="s">
        <v>74</v>
      </c>
      <c r="I976">
        <v>5060</v>
      </c>
      <c r="J976">
        <v>557</v>
      </c>
      <c r="K976">
        <v>4503.4</v>
      </c>
    </row>
    <row r="977" spans="1:11">
      <c r="A977" t="s">
        <v>1040</v>
      </c>
      <c r="B977" s="14">
        <v>43286</v>
      </c>
      <c r="C977" t="s">
        <v>67</v>
      </c>
      <c r="D977" t="s">
        <v>49</v>
      </c>
      <c r="E977">
        <v>15</v>
      </c>
      <c r="F977">
        <v>150</v>
      </c>
      <c r="G977">
        <v>0.02</v>
      </c>
      <c r="H977" t="s">
        <v>76</v>
      </c>
      <c r="I977">
        <v>2250</v>
      </c>
      <c r="J977">
        <v>45</v>
      </c>
      <c r="K977">
        <v>2205</v>
      </c>
    </row>
    <row r="978" spans="1:11">
      <c r="A978" t="s">
        <v>1041</v>
      </c>
      <c r="B978" s="14">
        <v>43286</v>
      </c>
      <c r="C978" t="s">
        <v>52</v>
      </c>
      <c r="D978" t="s">
        <v>64</v>
      </c>
      <c r="E978">
        <v>5</v>
      </c>
      <c r="F978">
        <v>230</v>
      </c>
      <c r="G978">
        <v>0.12</v>
      </c>
      <c r="H978" t="s">
        <v>46</v>
      </c>
      <c r="I978">
        <v>1150</v>
      </c>
      <c r="J978">
        <v>138</v>
      </c>
      <c r="K978">
        <v>1012</v>
      </c>
    </row>
    <row r="979" spans="1:11">
      <c r="A979" t="s">
        <v>1042</v>
      </c>
      <c r="B979" s="14">
        <v>43286</v>
      </c>
      <c r="C979" t="s">
        <v>48</v>
      </c>
      <c r="D979" t="s">
        <v>57</v>
      </c>
      <c r="E979">
        <v>20</v>
      </c>
      <c r="F979">
        <v>40</v>
      </c>
      <c r="G979">
        <v>0.01</v>
      </c>
      <c r="H979" t="s">
        <v>50</v>
      </c>
      <c r="I979">
        <v>800</v>
      </c>
      <c r="J979">
        <v>8</v>
      </c>
      <c r="K979">
        <v>792</v>
      </c>
    </row>
    <row r="980" spans="1:11">
      <c r="A980" t="s">
        <v>1043</v>
      </c>
      <c r="B980" s="14">
        <v>43286</v>
      </c>
      <c r="C980" t="s">
        <v>48</v>
      </c>
      <c r="D980" t="s">
        <v>45</v>
      </c>
      <c r="E980">
        <v>23</v>
      </c>
      <c r="F980">
        <v>40</v>
      </c>
      <c r="G980">
        <v>0.03</v>
      </c>
      <c r="H980" t="s">
        <v>53</v>
      </c>
      <c r="I980">
        <v>920</v>
      </c>
      <c r="J980">
        <v>28</v>
      </c>
      <c r="K980">
        <v>892.4</v>
      </c>
    </row>
    <row r="981" spans="1:11">
      <c r="A981" t="s">
        <v>1044</v>
      </c>
      <c r="B981" s="14">
        <v>43286</v>
      </c>
      <c r="C981" t="s">
        <v>44</v>
      </c>
      <c r="D981" t="s">
        <v>64</v>
      </c>
      <c r="E981">
        <v>16</v>
      </c>
      <c r="F981">
        <v>80</v>
      </c>
      <c r="G981">
        <v>0.05</v>
      </c>
      <c r="H981" t="s">
        <v>55</v>
      </c>
      <c r="I981">
        <v>1280</v>
      </c>
      <c r="J981">
        <v>64</v>
      </c>
      <c r="K981">
        <v>1216</v>
      </c>
    </row>
    <row r="982" spans="1:11">
      <c r="A982" t="s">
        <v>1045</v>
      </c>
      <c r="B982" s="14">
        <v>43286</v>
      </c>
      <c r="C982" t="s">
        <v>52</v>
      </c>
      <c r="D982" t="s">
        <v>57</v>
      </c>
      <c r="E982">
        <v>18</v>
      </c>
      <c r="F982">
        <v>230</v>
      </c>
      <c r="G982">
        <v>0.01</v>
      </c>
      <c r="H982" t="s">
        <v>58</v>
      </c>
      <c r="I982">
        <v>4140</v>
      </c>
      <c r="J982">
        <v>41</v>
      </c>
      <c r="K982">
        <v>4098.6</v>
      </c>
    </row>
    <row r="983" spans="1:11">
      <c r="A983" t="s">
        <v>1046</v>
      </c>
      <c r="B983" s="14">
        <v>43286</v>
      </c>
      <c r="C983" t="s">
        <v>48</v>
      </c>
      <c r="D983" t="s">
        <v>64</v>
      </c>
      <c r="E983">
        <v>23</v>
      </c>
      <c r="F983">
        <v>40</v>
      </c>
      <c r="G983">
        <v>0.05</v>
      </c>
      <c r="H983" t="s">
        <v>61</v>
      </c>
      <c r="I983">
        <v>920</v>
      </c>
      <c r="J983">
        <v>46</v>
      </c>
      <c r="K983">
        <v>874</v>
      </c>
    </row>
    <row r="984" spans="1:11">
      <c r="A984" t="s">
        <v>1047</v>
      </c>
      <c r="B984" s="14">
        <v>43286</v>
      </c>
      <c r="C984" t="s">
        <v>63</v>
      </c>
      <c r="D984" t="s">
        <v>60</v>
      </c>
      <c r="E984">
        <v>5</v>
      </c>
      <c r="F984">
        <v>16</v>
      </c>
      <c r="G984">
        <v>0.09</v>
      </c>
      <c r="H984" t="s">
        <v>50</v>
      </c>
      <c r="I984">
        <v>80</v>
      </c>
      <c r="J984">
        <v>7</v>
      </c>
      <c r="K984">
        <v>72.8</v>
      </c>
    </row>
    <row r="985" spans="1:11">
      <c r="A985" t="s">
        <v>1048</v>
      </c>
      <c r="B985" s="14">
        <v>43286</v>
      </c>
      <c r="C985" t="s">
        <v>48</v>
      </c>
      <c r="D985" t="s">
        <v>45</v>
      </c>
      <c r="E985">
        <v>22</v>
      </c>
      <c r="F985">
        <v>40</v>
      </c>
      <c r="G985">
        <v>0.02</v>
      </c>
      <c r="H985" t="s">
        <v>53</v>
      </c>
      <c r="I985">
        <v>880</v>
      </c>
      <c r="J985">
        <v>18</v>
      </c>
      <c r="K985">
        <v>862.4</v>
      </c>
    </row>
    <row r="986" spans="1:11">
      <c r="A986" t="s">
        <v>1049</v>
      </c>
      <c r="B986" s="14">
        <v>43287</v>
      </c>
      <c r="C986" t="s">
        <v>67</v>
      </c>
      <c r="D986" t="s">
        <v>45</v>
      </c>
      <c r="E986">
        <v>23</v>
      </c>
      <c r="F986">
        <v>150</v>
      </c>
      <c r="G986">
        <v>0.1</v>
      </c>
      <c r="H986" t="s">
        <v>55</v>
      </c>
      <c r="I986">
        <v>3450</v>
      </c>
      <c r="J986">
        <v>345</v>
      </c>
      <c r="K986">
        <v>3105</v>
      </c>
    </row>
    <row r="987" spans="1:11">
      <c r="A987" t="s">
        <v>1050</v>
      </c>
      <c r="B987" s="14">
        <v>43287</v>
      </c>
      <c r="C987" t="s">
        <v>52</v>
      </c>
      <c r="D987" t="s">
        <v>49</v>
      </c>
      <c r="E987">
        <v>22</v>
      </c>
      <c r="F987">
        <v>230</v>
      </c>
      <c r="G987">
        <v>0.04</v>
      </c>
      <c r="H987" t="s">
        <v>58</v>
      </c>
      <c r="I987">
        <v>5060</v>
      </c>
      <c r="J987">
        <v>202</v>
      </c>
      <c r="K987">
        <v>4857.6</v>
      </c>
    </row>
    <row r="988" spans="1:11">
      <c r="A988" t="s">
        <v>1051</v>
      </c>
      <c r="B988" s="14">
        <v>43287</v>
      </c>
      <c r="C988" t="s">
        <v>44</v>
      </c>
      <c r="D988" t="s">
        <v>60</v>
      </c>
      <c r="E988">
        <v>16</v>
      </c>
      <c r="F988">
        <v>80</v>
      </c>
      <c r="G988">
        <v>0.07</v>
      </c>
      <c r="H988" t="s">
        <v>61</v>
      </c>
      <c r="I988">
        <v>1280</v>
      </c>
      <c r="J988">
        <v>90</v>
      </c>
      <c r="K988">
        <v>1190.4</v>
      </c>
    </row>
    <row r="989" spans="1:11">
      <c r="A989" t="s">
        <v>1052</v>
      </c>
      <c r="B989" s="14">
        <v>43287</v>
      </c>
      <c r="C989" t="s">
        <v>67</v>
      </c>
      <c r="D989" t="s">
        <v>57</v>
      </c>
      <c r="E989">
        <v>22</v>
      </c>
      <c r="F989">
        <v>150</v>
      </c>
      <c r="G989">
        <v>0.09</v>
      </c>
      <c r="H989" t="s">
        <v>65</v>
      </c>
      <c r="I989">
        <v>3300</v>
      </c>
      <c r="J989">
        <v>297</v>
      </c>
      <c r="K989">
        <v>3003</v>
      </c>
    </row>
    <row r="990" spans="1:11">
      <c r="A990" t="s">
        <v>1053</v>
      </c>
      <c r="B990" s="14">
        <v>43287</v>
      </c>
      <c r="C990" t="s">
        <v>44</v>
      </c>
      <c r="D990" t="s">
        <v>57</v>
      </c>
      <c r="E990">
        <v>5</v>
      </c>
      <c r="F990">
        <v>80</v>
      </c>
      <c r="G990">
        <v>0.09</v>
      </c>
      <c r="H990" t="s">
        <v>68</v>
      </c>
      <c r="I990">
        <v>400</v>
      </c>
      <c r="J990">
        <v>36</v>
      </c>
      <c r="K990">
        <v>364</v>
      </c>
    </row>
    <row r="991" spans="1:11">
      <c r="A991" t="s">
        <v>1054</v>
      </c>
      <c r="B991" s="14">
        <v>43287</v>
      </c>
      <c r="C991" t="s">
        <v>44</v>
      </c>
      <c r="D991" t="s">
        <v>60</v>
      </c>
      <c r="E991">
        <v>16</v>
      </c>
      <c r="F991">
        <v>80</v>
      </c>
      <c r="G991">
        <v>0.1</v>
      </c>
      <c r="H991" t="s">
        <v>70</v>
      </c>
      <c r="I991">
        <v>1280</v>
      </c>
      <c r="J991">
        <v>128</v>
      </c>
      <c r="K991">
        <v>1152</v>
      </c>
    </row>
    <row r="992" spans="1:11">
      <c r="A992" t="s">
        <v>1055</v>
      </c>
      <c r="B992" s="14">
        <v>43287</v>
      </c>
      <c r="C992" t="s">
        <v>67</v>
      </c>
      <c r="D992" t="s">
        <v>49</v>
      </c>
      <c r="E992">
        <v>23</v>
      </c>
      <c r="F992">
        <v>150</v>
      </c>
      <c r="G992">
        <v>0.11</v>
      </c>
      <c r="H992" t="s">
        <v>72</v>
      </c>
      <c r="I992">
        <v>3450</v>
      </c>
      <c r="J992">
        <v>380</v>
      </c>
      <c r="K992">
        <v>3070.5</v>
      </c>
    </row>
    <row r="993" spans="1:11">
      <c r="A993" t="s">
        <v>1056</v>
      </c>
      <c r="B993" s="14">
        <v>43287</v>
      </c>
      <c r="C993" t="s">
        <v>63</v>
      </c>
      <c r="D993" t="s">
        <v>49</v>
      </c>
      <c r="E993">
        <v>4</v>
      </c>
      <c r="F993">
        <v>16</v>
      </c>
      <c r="G993">
        <v>0.09</v>
      </c>
      <c r="H993" t="s">
        <v>74</v>
      </c>
      <c r="I993">
        <v>64</v>
      </c>
      <c r="J993">
        <v>6</v>
      </c>
      <c r="K993">
        <v>58.24</v>
      </c>
    </row>
    <row r="994" spans="1:11">
      <c r="A994" t="s">
        <v>1057</v>
      </c>
      <c r="B994" s="14">
        <v>43287</v>
      </c>
      <c r="C994" t="s">
        <v>63</v>
      </c>
      <c r="D994" t="s">
        <v>49</v>
      </c>
      <c r="E994">
        <v>4</v>
      </c>
      <c r="F994">
        <v>16</v>
      </c>
      <c r="G994">
        <v>0.07</v>
      </c>
      <c r="H994" t="s">
        <v>76</v>
      </c>
      <c r="I994">
        <v>64</v>
      </c>
      <c r="J994">
        <v>4</v>
      </c>
      <c r="K994">
        <v>59.52</v>
      </c>
    </row>
    <row r="995" spans="1:11">
      <c r="A995" t="s">
        <v>1058</v>
      </c>
      <c r="B995" s="14">
        <v>43287</v>
      </c>
      <c r="C995" t="s">
        <v>63</v>
      </c>
      <c r="D995" t="s">
        <v>45</v>
      </c>
      <c r="E995">
        <v>16</v>
      </c>
      <c r="F995">
        <v>16</v>
      </c>
      <c r="G995">
        <v>0.03</v>
      </c>
      <c r="H995" t="s">
        <v>46</v>
      </c>
      <c r="I995">
        <v>256</v>
      </c>
      <c r="J995">
        <v>8</v>
      </c>
      <c r="K995">
        <v>248.32</v>
      </c>
    </row>
    <row r="996" spans="1:11">
      <c r="A996" t="s">
        <v>1059</v>
      </c>
      <c r="B996" s="14">
        <v>43287</v>
      </c>
      <c r="C996" t="s">
        <v>48</v>
      </c>
      <c r="D996" t="s">
        <v>60</v>
      </c>
      <c r="E996">
        <v>18</v>
      </c>
      <c r="F996">
        <v>40</v>
      </c>
      <c r="G996">
        <v>0.04</v>
      </c>
      <c r="H996" t="s">
        <v>50</v>
      </c>
      <c r="I996">
        <v>720</v>
      </c>
      <c r="J996">
        <v>29</v>
      </c>
      <c r="K996">
        <v>691.2</v>
      </c>
    </row>
    <row r="997" spans="1:11">
      <c r="A997" t="s">
        <v>1060</v>
      </c>
      <c r="B997" s="14">
        <v>43287</v>
      </c>
      <c r="C997" t="s">
        <v>44</v>
      </c>
      <c r="D997" t="s">
        <v>60</v>
      </c>
      <c r="E997">
        <v>21</v>
      </c>
      <c r="F997">
        <v>80</v>
      </c>
      <c r="G997">
        <v>0.02</v>
      </c>
      <c r="H997" t="s">
        <v>53</v>
      </c>
      <c r="I997">
        <v>1680</v>
      </c>
      <c r="J997">
        <v>34</v>
      </c>
      <c r="K997">
        <v>1646.4</v>
      </c>
    </row>
    <row r="998" spans="1:11">
      <c r="A998" t="s">
        <v>1061</v>
      </c>
      <c r="B998" s="14">
        <v>43287</v>
      </c>
      <c r="C998" t="s">
        <v>44</v>
      </c>
      <c r="D998" t="s">
        <v>64</v>
      </c>
      <c r="E998">
        <v>10</v>
      </c>
      <c r="F998">
        <v>80</v>
      </c>
      <c r="G998">
        <v>0.06</v>
      </c>
      <c r="H998" t="s">
        <v>55</v>
      </c>
      <c r="I998">
        <v>800</v>
      </c>
      <c r="J998">
        <v>48</v>
      </c>
      <c r="K998">
        <v>752</v>
      </c>
    </row>
    <row r="999" spans="1:11">
      <c r="A999" t="s">
        <v>1062</v>
      </c>
      <c r="B999" s="14">
        <v>43287</v>
      </c>
      <c r="C999" t="s">
        <v>52</v>
      </c>
      <c r="D999" t="s">
        <v>57</v>
      </c>
      <c r="E999">
        <v>7</v>
      </c>
      <c r="F999">
        <v>230</v>
      </c>
      <c r="G999">
        <v>0.01</v>
      </c>
      <c r="H999" t="s">
        <v>58</v>
      </c>
      <c r="I999">
        <v>1610</v>
      </c>
      <c r="J999">
        <v>16</v>
      </c>
      <c r="K999">
        <v>1593.9</v>
      </c>
    </row>
    <row r="1000" spans="1:11">
      <c r="A1000" t="s">
        <v>1063</v>
      </c>
      <c r="B1000" s="14">
        <v>43288</v>
      </c>
      <c r="C1000" t="s">
        <v>63</v>
      </c>
      <c r="D1000" t="s">
        <v>64</v>
      </c>
      <c r="E1000">
        <v>11</v>
      </c>
      <c r="F1000">
        <v>16</v>
      </c>
      <c r="G1000">
        <v>0.12</v>
      </c>
      <c r="H1000" t="s">
        <v>61</v>
      </c>
      <c r="I1000">
        <v>176</v>
      </c>
      <c r="J1000">
        <v>21</v>
      </c>
      <c r="K1000">
        <v>154.88</v>
      </c>
    </row>
    <row r="1001" spans="1:11">
      <c r="A1001" t="s">
        <v>1064</v>
      </c>
      <c r="B1001" s="14">
        <v>43288</v>
      </c>
      <c r="C1001" t="s">
        <v>44</v>
      </c>
      <c r="D1001" t="s">
        <v>60</v>
      </c>
      <c r="E1001">
        <v>10</v>
      </c>
      <c r="F1001">
        <v>80</v>
      </c>
      <c r="G1001">
        <v>0.1</v>
      </c>
      <c r="H1001" t="s">
        <v>50</v>
      </c>
      <c r="I1001">
        <v>800</v>
      </c>
      <c r="J1001">
        <v>80</v>
      </c>
      <c r="K1001">
        <v>720</v>
      </c>
    </row>
    <row r="1002" spans="1:11">
      <c r="A1002" t="s">
        <v>1065</v>
      </c>
      <c r="B1002" s="14">
        <v>43288</v>
      </c>
      <c r="C1002" t="s">
        <v>48</v>
      </c>
      <c r="D1002" t="s">
        <v>49</v>
      </c>
      <c r="E1002">
        <v>23</v>
      </c>
      <c r="F1002">
        <v>40</v>
      </c>
      <c r="G1002">
        <v>0.06</v>
      </c>
      <c r="H1002" t="s">
        <v>53</v>
      </c>
      <c r="I1002">
        <v>920</v>
      </c>
      <c r="J1002">
        <v>55</v>
      </c>
      <c r="K1002">
        <v>864.8</v>
      </c>
    </row>
    <row r="1003" spans="1:11">
      <c r="A1003" t="s">
        <v>1066</v>
      </c>
      <c r="B1003" s="14">
        <v>43288</v>
      </c>
      <c r="C1003" t="s">
        <v>67</v>
      </c>
      <c r="D1003" t="s">
        <v>64</v>
      </c>
      <c r="E1003">
        <v>7</v>
      </c>
      <c r="F1003">
        <v>150</v>
      </c>
      <c r="G1003">
        <v>0.02</v>
      </c>
      <c r="H1003" t="s">
        <v>55</v>
      </c>
      <c r="I1003">
        <v>1050</v>
      </c>
      <c r="J1003">
        <v>21</v>
      </c>
      <c r="K1003">
        <v>1029</v>
      </c>
    </row>
    <row r="1004" spans="1:11">
      <c r="A1004" t="s">
        <v>1067</v>
      </c>
      <c r="B1004" s="14">
        <v>43288</v>
      </c>
      <c r="C1004" t="s">
        <v>44</v>
      </c>
      <c r="D1004" t="s">
        <v>45</v>
      </c>
      <c r="E1004">
        <v>17</v>
      </c>
      <c r="F1004">
        <v>80</v>
      </c>
      <c r="G1004">
        <v>0.07</v>
      </c>
      <c r="H1004" t="s">
        <v>58</v>
      </c>
      <c r="I1004">
        <v>1360</v>
      </c>
      <c r="J1004">
        <v>95</v>
      </c>
      <c r="K1004">
        <v>1264.8</v>
      </c>
    </row>
    <row r="1005" spans="1:11">
      <c r="A1005" t="s">
        <v>1068</v>
      </c>
      <c r="B1005" s="14">
        <v>43288</v>
      </c>
      <c r="C1005" t="s">
        <v>67</v>
      </c>
      <c r="D1005" t="s">
        <v>49</v>
      </c>
      <c r="E1005">
        <v>20</v>
      </c>
      <c r="F1005">
        <v>150</v>
      </c>
      <c r="G1005">
        <v>0.09</v>
      </c>
      <c r="H1005" t="s">
        <v>61</v>
      </c>
      <c r="I1005">
        <v>3000</v>
      </c>
      <c r="J1005">
        <v>270</v>
      </c>
      <c r="K1005">
        <v>2730</v>
      </c>
    </row>
    <row r="1006" spans="1:11">
      <c r="A1006" t="s">
        <v>1069</v>
      </c>
      <c r="B1006" s="14">
        <v>43288</v>
      </c>
      <c r="C1006" t="s">
        <v>52</v>
      </c>
      <c r="D1006" t="s">
        <v>60</v>
      </c>
      <c r="E1006">
        <v>23</v>
      </c>
      <c r="F1006">
        <v>230</v>
      </c>
      <c r="G1006">
        <v>0.06</v>
      </c>
      <c r="H1006" t="s">
        <v>65</v>
      </c>
      <c r="I1006">
        <v>5290</v>
      </c>
      <c r="J1006">
        <v>317</v>
      </c>
      <c r="K1006">
        <v>4972.6</v>
      </c>
    </row>
    <row r="1007" spans="1:11">
      <c r="A1007" t="s">
        <v>1070</v>
      </c>
      <c r="B1007" s="14">
        <v>43288</v>
      </c>
      <c r="C1007" t="s">
        <v>44</v>
      </c>
      <c r="D1007" t="s">
        <v>49</v>
      </c>
      <c r="E1007">
        <v>16</v>
      </c>
      <c r="F1007">
        <v>80</v>
      </c>
      <c r="G1007">
        <v>0.04</v>
      </c>
      <c r="H1007" t="s">
        <v>68</v>
      </c>
      <c r="I1007">
        <v>1280</v>
      </c>
      <c r="J1007">
        <v>51</v>
      </c>
      <c r="K1007">
        <v>1228.8</v>
      </c>
    </row>
    <row r="1008" spans="1:11">
      <c r="A1008" t="s">
        <v>1071</v>
      </c>
      <c r="B1008" s="14">
        <v>43288</v>
      </c>
      <c r="C1008" t="s">
        <v>52</v>
      </c>
      <c r="D1008" t="s">
        <v>64</v>
      </c>
      <c r="E1008">
        <v>22</v>
      </c>
      <c r="F1008">
        <v>230</v>
      </c>
      <c r="G1008">
        <v>0.1</v>
      </c>
      <c r="H1008" t="s">
        <v>70</v>
      </c>
      <c r="I1008">
        <v>5060</v>
      </c>
      <c r="J1008">
        <v>506</v>
      </c>
      <c r="K1008">
        <v>4554</v>
      </c>
    </row>
    <row r="1009" spans="1:11">
      <c r="A1009" t="s">
        <v>1072</v>
      </c>
      <c r="B1009" s="14">
        <v>43288</v>
      </c>
      <c r="C1009" t="s">
        <v>52</v>
      </c>
      <c r="D1009" t="s">
        <v>57</v>
      </c>
      <c r="E1009">
        <v>15</v>
      </c>
      <c r="F1009">
        <v>230</v>
      </c>
      <c r="G1009">
        <v>0.11</v>
      </c>
      <c r="H1009" t="s">
        <v>72</v>
      </c>
      <c r="I1009">
        <v>3450</v>
      </c>
      <c r="J1009">
        <v>380</v>
      </c>
      <c r="K1009">
        <v>3070.5</v>
      </c>
    </row>
    <row r="1010" spans="1:11">
      <c r="A1010" t="s">
        <v>1073</v>
      </c>
      <c r="B1010" s="14">
        <v>43288</v>
      </c>
      <c r="C1010" t="s">
        <v>48</v>
      </c>
      <c r="D1010" t="s">
        <v>49</v>
      </c>
      <c r="E1010">
        <v>15</v>
      </c>
      <c r="F1010">
        <v>40</v>
      </c>
      <c r="G1010">
        <v>0.04</v>
      </c>
      <c r="H1010" t="s">
        <v>74</v>
      </c>
      <c r="I1010">
        <v>600</v>
      </c>
      <c r="J1010">
        <v>24</v>
      </c>
      <c r="K1010">
        <v>576</v>
      </c>
    </row>
    <row r="1011" spans="1:11">
      <c r="A1011" t="s">
        <v>1074</v>
      </c>
      <c r="B1011" s="14">
        <v>43288</v>
      </c>
      <c r="C1011" t="s">
        <v>44</v>
      </c>
      <c r="D1011" t="s">
        <v>49</v>
      </c>
      <c r="E1011">
        <v>2</v>
      </c>
      <c r="F1011">
        <v>80</v>
      </c>
      <c r="G1011">
        <v>0.07</v>
      </c>
      <c r="H1011" t="s">
        <v>76</v>
      </c>
      <c r="I1011">
        <v>160</v>
      </c>
      <c r="J1011">
        <v>11</v>
      </c>
      <c r="K1011">
        <v>148.8</v>
      </c>
    </row>
    <row r="1012" spans="1:11">
      <c r="A1012" t="s">
        <v>1075</v>
      </c>
      <c r="B1012" s="14">
        <v>43289</v>
      </c>
      <c r="C1012" t="s">
        <v>67</v>
      </c>
      <c r="D1012" t="s">
        <v>45</v>
      </c>
      <c r="E1012">
        <v>22</v>
      </c>
      <c r="F1012">
        <v>150</v>
      </c>
      <c r="G1012">
        <v>0.05</v>
      </c>
      <c r="H1012" t="s">
        <v>46</v>
      </c>
      <c r="I1012">
        <v>3300</v>
      </c>
      <c r="J1012">
        <v>165</v>
      </c>
      <c r="K1012">
        <v>3135</v>
      </c>
    </row>
    <row r="1013" spans="1:11">
      <c r="A1013" t="s">
        <v>1076</v>
      </c>
      <c r="B1013" s="14">
        <v>43289</v>
      </c>
      <c r="C1013" t="s">
        <v>48</v>
      </c>
      <c r="D1013" t="s">
        <v>64</v>
      </c>
      <c r="E1013">
        <v>20</v>
      </c>
      <c r="F1013">
        <v>40</v>
      </c>
      <c r="G1013">
        <v>0.07</v>
      </c>
      <c r="H1013" t="s">
        <v>50</v>
      </c>
      <c r="I1013">
        <v>800</v>
      </c>
      <c r="J1013">
        <v>56</v>
      </c>
      <c r="K1013">
        <v>744</v>
      </c>
    </row>
    <row r="1014" spans="1:11">
      <c r="A1014" t="s">
        <v>1077</v>
      </c>
      <c r="B1014" s="14">
        <v>43289</v>
      </c>
      <c r="C1014" t="s">
        <v>52</v>
      </c>
      <c r="D1014" t="s">
        <v>60</v>
      </c>
      <c r="E1014">
        <v>2</v>
      </c>
      <c r="F1014">
        <v>230</v>
      </c>
      <c r="G1014">
        <v>0.09</v>
      </c>
      <c r="H1014" t="s">
        <v>53</v>
      </c>
      <c r="I1014">
        <v>460</v>
      </c>
      <c r="J1014">
        <v>41</v>
      </c>
      <c r="K1014">
        <v>418.6</v>
      </c>
    </row>
    <row r="1015" spans="1:11">
      <c r="A1015" t="s">
        <v>1078</v>
      </c>
      <c r="B1015" s="14">
        <v>43289</v>
      </c>
      <c r="C1015" t="s">
        <v>48</v>
      </c>
      <c r="D1015" t="s">
        <v>60</v>
      </c>
      <c r="E1015">
        <v>7</v>
      </c>
      <c r="F1015">
        <v>40</v>
      </c>
      <c r="G1015">
        <v>0.11</v>
      </c>
      <c r="H1015" t="s">
        <v>55</v>
      </c>
      <c r="I1015">
        <v>280</v>
      </c>
      <c r="J1015">
        <v>31</v>
      </c>
      <c r="K1015">
        <v>249.2</v>
      </c>
    </row>
    <row r="1016" spans="1:11">
      <c r="A1016" t="s">
        <v>1079</v>
      </c>
      <c r="B1016" s="14">
        <v>43289</v>
      </c>
      <c r="C1016" t="s">
        <v>48</v>
      </c>
      <c r="D1016" t="s">
        <v>60</v>
      </c>
      <c r="E1016">
        <v>9</v>
      </c>
      <c r="F1016">
        <v>40</v>
      </c>
      <c r="G1016">
        <v>0.06</v>
      </c>
      <c r="H1016" t="s">
        <v>61</v>
      </c>
      <c r="I1016">
        <v>360</v>
      </c>
      <c r="J1016">
        <v>22</v>
      </c>
      <c r="K1016">
        <v>338.4</v>
      </c>
    </row>
    <row r="1017" spans="1:11">
      <c r="A1017" t="s">
        <v>1080</v>
      </c>
      <c r="B1017" s="14">
        <v>43289</v>
      </c>
      <c r="C1017" t="s">
        <v>48</v>
      </c>
      <c r="D1017" t="s">
        <v>45</v>
      </c>
      <c r="E1017">
        <v>18</v>
      </c>
      <c r="F1017">
        <v>40</v>
      </c>
      <c r="G1017">
        <v>0.11</v>
      </c>
      <c r="H1017" t="s">
        <v>50</v>
      </c>
      <c r="I1017">
        <v>720</v>
      </c>
      <c r="J1017">
        <v>79</v>
      </c>
      <c r="K1017">
        <v>640.8</v>
      </c>
    </row>
    <row r="1018" spans="1:11">
      <c r="A1018" t="s">
        <v>1081</v>
      </c>
      <c r="B1018" s="14">
        <v>43289</v>
      </c>
      <c r="C1018" t="s">
        <v>52</v>
      </c>
      <c r="D1018" t="s">
        <v>45</v>
      </c>
      <c r="E1018">
        <v>20</v>
      </c>
      <c r="F1018">
        <v>230</v>
      </c>
      <c r="G1018">
        <v>0.04</v>
      </c>
      <c r="H1018" t="s">
        <v>53</v>
      </c>
      <c r="I1018">
        <v>4600</v>
      </c>
      <c r="J1018">
        <v>184</v>
      </c>
      <c r="K1018">
        <v>4416</v>
      </c>
    </row>
    <row r="1019" spans="1:11">
      <c r="A1019" t="s">
        <v>1082</v>
      </c>
      <c r="B1019" s="14">
        <v>43289</v>
      </c>
      <c r="C1019" t="s">
        <v>44</v>
      </c>
      <c r="D1019" t="s">
        <v>57</v>
      </c>
      <c r="E1019">
        <v>23</v>
      </c>
      <c r="F1019">
        <v>80</v>
      </c>
      <c r="G1019">
        <v>0.05</v>
      </c>
      <c r="H1019" t="s">
        <v>55</v>
      </c>
      <c r="I1019">
        <v>1840</v>
      </c>
      <c r="J1019">
        <v>92</v>
      </c>
      <c r="K1019">
        <v>1748</v>
      </c>
    </row>
    <row r="1020" spans="1:11">
      <c r="A1020" t="s">
        <v>1083</v>
      </c>
      <c r="B1020" s="14">
        <v>43289</v>
      </c>
      <c r="C1020" t="s">
        <v>67</v>
      </c>
      <c r="D1020" t="s">
        <v>64</v>
      </c>
      <c r="E1020">
        <v>11</v>
      </c>
      <c r="F1020">
        <v>150</v>
      </c>
      <c r="G1020">
        <v>0.09</v>
      </c>
      <c r="H1020" t="s">
        <v>58</v>
      </c>
      <c r="I1020">
        <v>1650</v>
      </c>
      <c r="J1020">
        <v>148</v>
      </c>
      <c r="K1020">
        <v>1501.5</v>
      </c>
    </row>
    <row r="1021" spans="1:11">
      <c r="A1021" t="s">
        <v>1084</v>
      </c>
      <c r="B1021" s="14">
        <v>43289</v>
      </c>
      <c r="C1021" t="s">
        <v>67</v>
      </c>
      <c r="D1021" t="s">
        <v>45</v>
      </c>
      <c r="E1021">
        <v>17</v>
      </c>
      <c r="F1021">
        <v>150</v>
      </c>
      <c r="G1021">
        <v>0.12</v>
      </c>
      <c r="H1021" t="s">
        <v>61</v>
      </c>
      <c r="I1021">
        <v>2550</v>
      </c>
      <c r="J1021">
        <v>306</v>
      </c>
      <c r="K1021">
        <v>2244</v>
      </c>
    </row>
    <row r="1022" spans="1:11">
      <c r="A1022" t="s">
        <v>1085</v>
      </c>
      <c r="B1022" s="14">
        <v>43289</v>
      </c>
      <c r="C1022" t="s">
        <v>52</v>
      </c>
      <c r="D1022" t="s">
        <v>64</v>
      </c>
      <c r="E1022">
        <v>2</v>
      </c>
      <c r="F1022">
        <v>230</v>
      </c>
      <c r="G1022">
        <v>0.08</v>
      </c>
      <c r="H1022" t="s">
        <v>65</v>
      </c>
      <c r="I1022">
        <v>460</v>
      </c>
      <c r="J1022">
        <v>37</v>
      </c>
      <c r="K1022">
        <v>423.2</v>
      </c>
    </row>
    <row r="1023" spans="1:11">
      <c r="A1023" t="s">
        <v>1086</v>
      </c>
      <c r="B1023" s="14">
        <v>43289</v>
      </c>
      <c r="C1023" t="s">
        <v>44</v>
      </c>
      <c r="D1023" t="s">
        <v>57</v>
      </c>
      <c r="E1023">
        <v>10</v>
      </c>
      <c r="F1023">
        <v>80</v>
      </c>
      <c r="G1023">
        <v>0.11</v>
      </c>
      <c r="H1023" t="s">
        <v>68</v>
      </c>
      <c r="I1023">
        <v>800</v>
      </c>
      <c r="J1023">
        <v>88</v>
      </c>
      <c r="K1023">
        <v>712</v>
      </c>
    </row>
    <row r="1024" spans="1:11">
      <c r="A1024" t="s">
        <v>1087</v>
      </c>
      <c r="B1024" s="14">
        <v>43290</v>
      </c>
      <c r="C1024" t="s">
        <v>63</v>
      </c>
      <c r="D1024" t="s">
        <v>60</v>
      </c>
      <c r="E1024">
        <v>22</v>
      </c>
      <c r="F1024">
        <v>16</v>
      </c>
      <c r="G1024">
        <v>0.03</v>
      </c>
      <c r="H1024" t="s">
        <v>70</v>
      </c>
      <c r="I1024">
        <v>352</v>
      </c>
      <c r="J1024">
        <v>11</v>
      </c>
      <c r="K1024">
        <v>341.44</v>
      </c>
    </row>
    <row r="1025" spans="1:11">
      <c r="A1025" t="s">
        <v>1088</v>
      </c>
      <c r="B1025" s="14">
        <v>43290</v>
      </c>
      <c r="C1025" t="s">
        <v>63</v>
      </c>
      <c r="D1025" t="s">
        <v>57</v>
      </c>
      <c r="E1025">
        <v>9</v>
      </c>
      <c r="F1025">
        <v>16</v>
      </c>
      <c r="G1025">
        <v>0.05</v>
      </c>
      <c r="H1025" t="s">
        <v>72</v>
      </c>
      <c r="I1025">
        <v>144</v>
      </c>
      <c r="J1025">
        <v>7</v>
      </c>
      <c r="K1025">
        <v>136.8</v>
      </c>
    </row>
    <row r="1026" spans="1:11">
      <c r="A1026" t="s">
        <v>1089</v>
      </c>
      <c r="B1026" s="14">
        <v>43290</v>
      </c>
      <c r="C1026" t="s">
        <v>48</v>
      </c>
      <c r="D1026" t="s">
        <v>57</v>
      </c>
      <c r="E1026">
        <v>4</v>
      </c>
      <c r="F1026">
        <v>40</v>
      </c>
      <c r="G1026">
        <v>0.1</v>
      </c>
      <c r="H1026" t="s">
        <v>74</v>
      </c>
      <c r="I1026">
        <v>160</v>
      </c>
      <c r="J1026">
        <v>16</v>
      </c>
      <c r="K1026">
        <v>144</v>
      </c>
    </row>
    <row r="1027" spans="1:11">
      <c r="A1027" t="s">
        <v>1090</v>
      </c>
      <c r="B1027" s="14">
        <v>43290</v>
      </c>
      <c r="C1027" t="s">
        <v>44</v>
      </c>
      <c r="D1027" t="s">
        <v>64</v>
      </c>
      <c r="E1027">
        <v>9</v>
      </c>
      <c r="F1027">
        <v>80</v>
      </c>
      <c r="G1027">
        <v>0.02</v>
      </c>
      <c r="H1027" t="s">
        <v>76</v>
      </c>
      <c r="I1027">
        <v>720</v>
      </c>
      <c r="J1027">
        <v>14</v>
      </c>
      <c r="K1027">
        <v>705.6</v>
      </c>
    </row>
    <row r="1028" spans="1:11">
      <c r="A1028" t="s">
        <v>1091</v>
      </c>
      <c r="B1028" s="14">
        <v>43290</v>
      </c>
      <c r="C1028" t="s">
        <v>52</v>
      </c>
      <c r="D1028" t="s">
        <v>57</v>
      </c>
      <c r="E1028">
        <v>6</v>
      </c>
      <c r="F1028">
        <v>230</v>
      </c>
      <c r="G1028">
        <v>0.05</v>
      </c>
      <c r="H1028" t="s">
        <v>46</v>
      </c>
      <c r="I1028">
        <v>1380</v>
      </c>
      <c r="J1028">
        <v>69</v>
      </c>
      <c r="K1028">
        <v>1311</v>
      </c>
    </row>
    <row r="1029" spans="1:11">
      <c r="A1029" t="s">
        <v>1092</v>
      </c>
      <c r="B1029" s="14">
        <v>43290</v>
      </c>
      <c r="C1029" t="s">
        <v>44</v>
      </c>
      <c r="D1029" t="s">
        <v>60</v>
      </c>
      <c r="E1029">
        <v>14</v>
      </c>
      <c r="F1029">
        <v>80</v>
      </c>
      <c r="G1029">
        <v>0.05</v>
      </c>
      <c r="H1029" t="s">
        <v>50</v>
      </c>
      <c r="I1029">
        <v>1120</v>
      </c>
      <c r="J1029">
        <v>56</v>
      </c>
      <c r="K1029">
        <v>1064</v>
      </c>
    </row>
    <row r="1030" spans="1:11">
      <c r="A1030" t="s">
        <v>1093</v>
      </c>
      <c r="B1030" s="14">
        <v>43290</v>
      </c>
      <c r="C1030" t="s">
        <v>63</v>
      </c>
      <c r="D1030" t="s">
        <v>64</v>
      </c>
      <c r="E1030">
        <v>17</v>
      </c>
      <c r="F1030">
        <v>16</v>
      </c>
      <c r="G1030">
        <v>0.08</v>
      </c>
      <c r="H1030" t="s">
        <v>53</v>
      </c>
      <c r="I1030">
        <v>272</v>
      </c>
      <c r="J1030">
        <v>22</v>
      </c>
      <c r="K1030">
        <v>250.24</v>
      </c>
    </row>
    <row r="1031" spans="1:11">
      <c r="A1031" t="s">
        <v>1094</v>
      </c>
      <c r="B1031" s="14">
        <v>43290</v>
      </c>
      <c r="C1031" t="s">
        <v>67</v>
      </c>
      <c r="D1031" t="s">
        <v>49</v>
      </c>
      <c r="E1031">
        <v>22</v>
      </c>
      <c r="F1031">
        <v>150</v>
      </c>
      <c r="G1031">
        <v>0.02</v>
      </c>
      <c r="H1031" t="s">
        <v>55</v>
      </c>
      <c r="I1031">
        <v>3300</v>
      </c>
      <c r="J1031">
        <v>66</v>
      </c>
      <c r="K1031">
        <v>3234</v>
      </c>
    </row>
    <row r="1032" spans="1:11">
      <c r="A1032" t="s">
        <v>1095</v>
      </c>
      <c r="B1032" s="14">
        <v>43290</v>
      </c>
      <c r="C1032" t="s">
        <v>48</v>
      </c>
      <c r="D1032" t="s">
        <v>64</v>
      </c>
      <c r="E1032">
        <v>17</v>
      </c>
      <c r="F1032">
        <v>40</v>
      </c>
      <c r="G1032">
        <v>0.02</v>
      </c>
      <c r="H1032" t="s">
        <v>58</v>
      </c>
      <c r="I1032">
        <v>680</v>
      </c>
      <c r="J1032">
        <v>14</v>
      </c>
      <c r="K1032">
        <v>666.4</v>
      </c>
    </row>
    <row r="1033" spans="1:11">
      <c r="A1033" t="s">
        <v>1096</v>
      </c>
      <c r="B1033" s="14">
        <v>43290</v>
      </c>
      <c r="C1033" t="s">
        <v>44</v>
      </c>
      <c r="D1033" t="s">
        <v>64</v>
      </c>
      <c r="E1033">
        <v>17</v>
      </c>
      <c r="F1033">
        <v>80</v>
      </c>
      <c r="G1033">
        <v>0.07</v>
      </c>
      <c r="H1033" t="s">
        <v>61</v>
      </c>
      <c r="I1033">
        <v>1360</v>
      </c>
      <c r="J1033">
        <v>95</v>
      </c>
      <c r="K1033">
        <v>1264.8</v>
      </c>
    </row>
    <row r="1034" spans="1:11">
      <c r="A1034" t="s">
        <v>1097</v>
      </c>
      <c r="B1034" s="14">
        <v>43290</v>
      </c>
      <c r="C1034" t="s">
        <v>67</v>
      </c>
      <c r="D1034" t="s">
        <v>60</v>
      </c>
      <c r="E1034">
        <v>4</v>
      </c>
      <c r="F1034">
        <v>150</v>
      </c>
      <c r="G1034">
        <v>0.12</v>
      </c>
      <c r="H1034" t="s">
        <v>50</v>
      </c>
      <c r="I1034">
        <v>600</v>
      </c>
      <c r="J1034">
        <v>72</v>
      </c>
      <c r="K1034">
        <v>528</v>
      </c>
    </row>
    <row r="1035" spans="1:11">
      <c r="A1035" t="s">
        <v>1098</v>
      </c>
      <c r="B1035" s="14">
        <v>43290</v>
      </c>
      <c r="C1035" t="s">
        <v>63</v>
      </c>
      <c r="D1035" t="s">
        <v>60</v>
      </c>
      <c r="E1035">
        <v>14</v>
      </c>
      <c r="F1035">
        <v>16</v>
      </c>
      <c r="G1035">
        <v>0.12</v>
      </c>
      <c r="H1035" t="s">
        <v>53</v>
      </c>
      <c r="I1035">
        <v>224</v>
      </c>
      <c r="J1035">
        <v>27</v>
      </c>
      <c r="K1035">
        <v>197.12</v>
      </c>
    </row>
    <row r="1036" spans="1:11">
      <c r="A1036" t="s">
        <v>1099</v>
      </c>
      <c r="B1036" s="14">
        <v>43290</v>
      </c>
      <c r="C1036" t="s">
        <v>63</v>
      </c>
      <c r="D1036" t="s">
        <v>45</v>
      </c>
      <c r="E1036">
        <v>18</v>
      </c>
      <c r="F1036">
        <v>16</v>
      </c>
      <c r="G1036">
        <v>0.11</v>
      </c>
      <c r="H1036" t="s">
        <v>55</v>
      </c>
      <c r="I1036">
        <v>288</v>
      </c>
      <c r="J1036">
        <v>32</v>
      </c>
      <c r="K1036">
        <v>256.32</v>
      </c>
    </row>
    <row r="1037" spans="1:11">
      <c r="A1037" t="s">
        <v>1100</v>
      </c>
      <c r="B1037" s="14">
        <v>43290</v>
      </c>
      <c r="C1037" t="s">
        <v>44</v>
      </c>
      <c r="D1037" t="s">
        <v>64</v>
      </c>
      <c r="E1037">
        <v>22</v>
      </c>
      <c r="F1037">
        <v>80</v>
      </c>
      <c r="G1037">
        <v>0.09</v>
      </c>
      <c r="H1037" t="s">
        <v>58</v>
      </c>
      <c r="I1037">
        <v>1760</v>
      </c>
      <c r="J1037">
        <v>158</v>
      </c>
      <c r="K1037">
        <v>1601.6</v>
      </c>
    </row>
    <row r="1038" spans="1:11">
      <c r="A1038" t="s">
        <v>1101</v>
      </c>
      <c r="B1038" s="14">
        <v>43290</v>
      </c>
      <c r="C1038" t="s">
        <v>52</v>
      </c>
      <c r="D1038" t="s">
        <v>49</v>
      </c>
      <c r="E1038">
        <v>12</v>
      </c>
      <c r="F1038">
        <v>230</v>
      </c>
      <c r="G1038">
        <v>0.03</v>
      </c>
      <c r="H1038" t="s">
        <v>61</v>
      </c>
      <c r="I1038">
        <v>2760</v>
      </c>
      <c r="J1038">
        <v>83</v>
      </c>
      <c r="K1038">
        <v>2677.2</v>
      </c>
    </row>
    <row r="1039" spans="1:11">
      <c r="A1039" t="s">
        <v>1102</v>
      </c>
      <c r="B1039" s="14">
        <v>43290</v>
      </c>
      <c r="C1039" t="s">
        <v>48</v>
      </c>
      <c r="D1039" t="s">
        <v>49</v>
      </c>
      <c r="E1039">
        <v>12</v>
      </c>
      <c r="F1039">
        <v>40</v>
      </c>
      <c r="G1039">
        <v>0.1</v>
      </c>
      <c r="H1039" t="s">
        <v>65</v>
      </c>
      <c r="I1039">
        <v>480</v>
      </c>
      <c r="J1039">
        <v>48</v>
      </c>
      <c r="K1039">
        <v>432</v>
      </c>
    </row>
    <row r="1040" spans="1:11">
      <c r="A1040" t="s">
        <v>1103</v>
      </c>
      <c r="B1040" s="14">
        <v>43291</v>
      </c>
      <c r="C1040" t="s">
        <v>48</v>
      </c>
      <c r="D1040" t="s">
        <v>64</v>
      </c>
      <c r="E1040">
        <v>7</v>
      </c>
      <c r="F1040">
        <v>40</v>
      </c>
      <c r="G1040">
        <v>0.12</v>
      </c>
      <c r="H1040" t="s">
        <v>68</v>
      </c>
      <c r="I1040">
        <v>280</v>
      </c>
      <c r="J1040">
        <v>34</v>
      </c>
      <c r="K1040">
        <v>246.4</v>
      </c>
    </row>
    <row r="1041" spans="1:11">
      <c r="A1041" t="s">
        <v>1104</v>
      </c>
      <c r="B1041" s="14">
        <v>43291</v>
      </c>
      <c r="C1041" t="s">
        <v>44</v>
      </c>
      <c r="D1041" t="s">
        <v>45</v>
      </c>
      <c r="E1041">
        <v>12</v>
      </c>
      <c r="F1041">
        <v>80</v>
      </c>
      <c r="G1041">
        <v>0.04</v>
      </c>
      <c r="H1041" t="s">
        <v>70</v>
      </c>
      <c r="I1041">
        <v>960</v>
      </c>
      <c r="J1041">
        <v>38</v>
      </c>
      <c r="K1041">
        <v>921.6</v>
      </c>
    </row>
    <row r="1042" spans="1:11">
      <c r="A1042" t="s">
        <v>1105</v>
      </c>
      <c r="B1042" s="14">
        <v>43291</v>
      </c>
      <c r="C1042" t="s">
        <v>63</v>
      </c>
      <c r="D1042" t="s">
        <v>64</v>
      </c>
      <c r="E1042">
        <v>17</v>
      </c>
      <c r="F1042">
        <v>16</v>
      </c>
      <c r="G1042">
        <v>0.1</v>
      </c>
      <c r="H1042" t="s">
        <v>72</v>
      </c>
      <c r="I1042">
        <v>272</v>
      </c>
      <c r="J1042">
        <v>27</v>
      </c>
      <c r="K1042">
        <v>244.8</v>
      </c>
    </row>
    <row r="1043" spans="1:11">
      <c r="A1043" t="s">
        <v>1106</v>
      </c>
      <c r="B1043" s="14">
        <v>43291</v>
      </c>
      <c r="C1043" t="s">
        <v>52</v>
      </c>
      <c r="D1043" t="s">
        <v>49</v>
      </c>
      <c r="E1043">
        <v>6</v>
      </c>
      <c r="F1043">
        <v>230</v>
      </c>
      <c r="G1043">
        <v>0.1</v>
      </c>
      <c r="H1043" t="s">
        <v>74</v>
      </c>
      <c r="I1043">
        <v>1380</v>
      </c>
      <c r="J1043">
        <v>138</v>
      </c>
      <c r="K1043">
        <v>1242</v>
      </c>
    </row>
    <row r="1044" spans="1:11">
      <c r="A1044" t="s">
        <v>1107</v>
      </c>
      <c r="B1044" s="14">
        <v>43291</v>
      </c>
      <c r="C1044" t="s">
        <v>48</v>
      </c>
      <c r="D1044" t="s">
        <v>45</v>
      </c>
      <c r="E1044">
        <v>11</v>
      </c>
      <c r="F1044">
        <v>40</v>
      </c>
      <c r="G1044">
        <v>0.04</v>
      </c>
      <c r="H1044" t="s">
        <v>76</v>
      </c>
      <c r="I1044">
        <v>440</v>
      </c>
      <c r="J1044">
        <v>18</v>
      </c>
      <c r="K1044">
        <v>422.4</v>
      </c>
    </row>
    <row r="1045" spans="1:11">
      <c r="A1045" t="s">
        <v>1108</v>
      </c>
      <c r="B1045" s="14">
        <v>43291</v>
      </c>
      <c r="C1045" t="s">
        <v>63</v>
      </c>
      <c r="D1045" t="s">
        <v>60</v>
      </c>
      <c r="E1045">
        <v>10</v>
      </c>
      <c r="F1045">
        <v>16</v>
      </c>
      <c r="G1045">
        <v>0.04</v>
      </c>
      <c r="H1045" t="s">
        <v>46</v>
      </c>
      <c r="I1045">
        <v>160</v>
      </c>
      <c r="J1045">
        <v>6</v>
      </c>
      <c r="K1045">
        <v>153.6</v>
      </c>
    </row>
    <row r="1046" spans="1:11">
      <c r="A1046" t="s">
        <v>1109</v>
      </c>
      <c r="B1046" s="14">
        <v>43291</v>
      </c>
      <c r="C1046" t="s">
        <v>44</v>
      </c>
      <c r="D1046" t="s">
        <v>45</v>
      </c>
      <c r="E1046">
        <v>6</v>
      </c>
      <c r="F1046">
        <v>80</v>
      </c>
      <c r="G1046">
        <v>0.07</v>
      </c>
      <c r="H1046" t="s">
        <v>50</v>
      </c>
      <c r="I1046">
        <v>480</v>
      </c>
      <c r="J1046">
        <v>34</v>
      </c>
      <c r="K1046">
        <v>446.4</v>
      </c>
    </row>
    <row r="1047" spans="1:11">
      <c r="A1047" t="s">
        <v>1110</v>
      </c>
      <c r="B1047" s="14">
        <v>43291</v>
      </c>
      <c r="C1047" t="s">
        <v>48</v>
      </c>
      <c r="D1047" t="s">
        <v>60</v>
      </c>
      <c r="E1047">
        <v>11</v>
      </c>
      <c r="F1047">
        <v>40</v>
      </c>
      <c r="G1047">
        <v>0.09</v>
      </c>
      <c r="H1047" t="s">
        <v>53</v>
      </c>
      <c r="I1047">
        <v>440</v>
      </c>
      <c r="J1047">
        <v>40</v>
      </c>
      <c r="K1047">
        <v>400.4</v>
      </c>
    </row>
    <row r="1048" spans="1:11">
      <c r="A1048" t="s">
        <v>1111</v>
      </c>
      <c r="B1048" s="14">
        <v>43291</v>
      </c>
      <c r="C1048" t="s">
        <v>44</v>
      </c>
      <c r="D1048" t="s">
        <v>64</v>
      </c>
      <c r="E1048">
        <v>16</v>
      </c>
      <c r="F1048">
        <v>80</v>
      </c>
      <c r="G1048">
        <v>0.09</v>
      </c>
      <c r="H1048" t="s">
        <v>55</v>
      </c>
      <c r="I1048">
        <v>1280</v>
      </c>
      <c r="J1048">
        <v>115</v>
      </c>
      <c r="K1048">
        <v>1164.8</v>
      </c>
    </row>
    <row r="1049" spans="1:11">
      <c r="A1049" t="s">
        <v>1112</v>
      </c>
      <c r="B1049" s="14">
        <v>43291</v>
      </c>
      <c r="C1049" t="s">
        <v>48</v>
      </c>
      <c r="D1049" t="s">
        <v>60</v>
      </c>
      <c r="E1049">
        <v>13</v>
      </c>
      <c r="F1049">
        <v>40</v>
      </c>
      <c r="G1049">
        <v>0.09</v>
      </c>
      <c r="H1049" t="s">
        <v>58</v>
      </c>
      <c r="I1049">
        <v>520</v>
      </c>
      <c r="J1049">
        <v>47</v>
      </c>
      <c r="K1049">
        <v>473.2</v>
      </c>
    </row>
    <row r="1050" spans="1:11">
      <c r="A1050" t="s">
        <v>1113</v>
      </c>
      <c r="B1050" s="14">
        <v>43291</v>
      </c>
      <c r="C1050" t="s">
        <v>52</v>
      </c>
      <c r="D1050" t="s">
        <v>45</v>
      </c>
      <c r="E1050">
        <v>5</v>
      </c>
      <c r="F1050">
        <v>230</v>
      </c>
      <c r="G1050">
        <v>0.1</v>
      </c>
      <c r="H1050" t="s">
        <v>61</v>
      </c>
      <c r="I1050">
        <v>1150</v>
      </c>
      <c r="J1050">
        <v>115</v>
      </c>
      <c r="K1050">
        <v>1035</v>
      </c>
    </row>
    <row r="1051" spans="1:11">
      <c r="A1051" t="s">
        <v>1114</v>
      </c>
      <c r="B1051" s="14">
        <v>43292</v>
      </c>
      <c r="C1051" t="s">
        <v>48</v>
      </c>
      <c r="D1051" t="s">
        <v>64</v>
      </c>
      <c r="E1051">
        <v>7</v>
      </c>
      <c r="F1051">
        <v>40</v>
      </c>
      <c r="G1051">
        <v>0.05</v>
      </c>
      <c r="H1051" t="s">
        <v>50</v>
      </c>
      <c r="I1051">
        <v>280</v>
      </c>
      <c r="J1051">
        <v>14</v>
      </c>
      <c r="K1051">
        <v>266</v>
      </c>
    </row>
    <row r="1052" spans="1:11">
      <c r="A1052" t="s">
        <v>1115</v>
      </c>
      <c r="B1052" s="14">
        <v>43292</v>
      </c>
      <c r="C1052" t="s">
        <v>44</v>
      </c>
      <c r="D1052" t="s">
        <v>57</v>
      </c>
      <c r="E1052">
        <v>14</v>
      </c>
      <c r="F1052">
        <v>80</v>
      </c>
      <c r="G1052">
        <v>0.1</v>
      </c>
      <c r="H1052" t="s">
        <v>53</v>
      </c>
      <c r="I1052">
        <v>1120</v>
      </c>
      <c r="J1052">
        <v>112</v>
      </c>
      <c r="K1052">
        <v>1008</v>
      </c>
    </row>
    <row r="1053" spans="1:11">
      <c r="A1053" t="s">
        <v>1116</v>
      </c>
      <c r="B1053" s="14">
        <v>43292</v>
      </c>
      <c r="C1053" t="s">
        <v>63</v>
      </c>
      <c r="D1053" t="s">
        <v>64</v>
      </c>
      <c r="E1053">
        <v>12</v>
      </c>
      <c r="F1053">
        <v>16</v>
      </c>
      <c r="G1053">
        <v>0.04</v>
      </c>
      <c r="H1053" t="s">
        <v>55</v>
      </c>
      <c r="I1053">
        <v>192</v>
      </c>
      <c r="J1053">
        <v>8</v>
      </c>
      <c r="K1053">
        <v>184.32</v>
      </c>
    </row>
    <row r="1054" spans="1:11">
      <c r="A1054" t="s">
        <v>1117</v>
      </c>
      <c r="B1054" s="14">
        <v>43292</v>
      </c>
      <c r="C1054" t="s">
        <v>52</v>
      </c>
      <c r="D1054" t="s">
        <v>57</v>
      </c>
      <c r="E1054">
        <v>14</v>
      </c>
      <c r="F1054">
        <v>230</v>
      </c>
      <c r="G1054">
        <v>0.03</v>
      </c>
      <c r="H1054" t="s">
        <v>58</v>
      </c>
      <c r="I1054">
        <v>3220</v>
      </c>
      <c r="J1054">
        <v>97</v>
      </c>
      <c r="K1054">
        <v>3123.4</v>
      </c>
    </row>
    <row r="1055" spans="1:11">
      <c r="A1055" t="s">
        <v>1118</v>
      </c>
      <c r="B1055" s="14">
        <v>43292</v>
      </c>
      <c r="C1055" t="s">
        <v>44</v>
      </c>
      <c r="D1055" t="s">
        <v>64</v>
      </c>
      <c r="E1055">
        <v>21</v>
      </c>
      <c r="F1055">
        <v>80</v>
      </c>
      <c r="G1055">
        <v>0.09</v>
      </c>
      <c r="H1055" t="s">
        <v>61</v>
      </c>
      <c r="I1055">
        <v>1680</v>
      </c>
      <c r="J1055">
        <v>151</v>
      </c>
      <c r="K1055">
        <v>1528.8</v>
      </c>
    </row>
    <row r="1056" spans="1:11">
      <c r="A1056" t="s">
        <v>1119</v>
      </c>
      <c r="B1056" s="14">
        <v>43292</v>
      </c>
      <c r="C1056" t="s">
        <v>52</v>
      </c>
      <c r="D1056" t="s">
        <v>57</v>
      </c>
      <c r="E1056">
        <v>5</v>
      </c>
      <c r="F1056">
        <v>230</v>
      </c>
      <c r="G1056">
        <v>0.1</v>
      </c>
      <c r="H1056" t="s">
        <v>65</v>
      </c>
      <c r="I1056">
        <v>1150</v>
      </c>
      <c r="J1056">
        <v>115</v>
      </c>
      <c r="K1056">
        <v>1035</v>
      </c>
    </row>
    <row r="1057" spans="1:11">
      <c r="A1057" t="s">
        <v>1120</v>
      </c>
      <c r="B1057" s="14">
        <v>43292</v>
      </c>
      <c r="C1057" t="s">
        <v>48</v>
      </c>
      <c r="D1057" t="s">
        <v>64</v>
      </c>
      <c r="E1057">
        <v>16</v>
      </c>
      <c r="F1057">
        <v>40</v>
      </c>
      <c r="G1057">
        <v>0.09</v>
      </c>
      <c r="H1057" t="s">
        <v>68</v>
      </c>
      <c r="I1057">
        <v>640</v>
      </c>
      <c r="J1057">
        <v>58</v>
      </c>
      <c r="K1057">
        <v>582.4</v>
      </c>
    </row>
    <row r="1058" spans="1:11">
      <c r="A1058" t="s">
        <v>1121</v>
      </c>
      <c r="B1058" s="14">
        <v>43292</v>
      </c>
      <c r="C1058" t="s">
        <v>67</v>
      </c>
      <c r="D1058" t="s">
        <v>49</v>
      </c>
      <c r="E1058">
        <v>15</v>
      </c>
      <c r="F1058">
        <v>150</v>
      </c>
      <c r="G1058">
        <v>0.12</v>
      </c>
      <c r="H1058" t="s">
        <v>70</v>
      </c>
      <c r="I1058">
        <v>2250</v>
      </c>
      <c r="J1058">
        <v>270</v>
      </c>
      <c r="K1058">
        <v>1980</v>
      </c>
    </row>
    <row r="1059" spans="1:11">
      <c r="A1059" t="s">
        <v>1122</v>
      </c>
      <c r="B1059" s="14">
        <v>43292</v>
      </c>
      <c r="C1059" t="s">
        <v>63</v>
      </c>
      <c r="D1059" t="s">
        <v>64</v>
      </c>
      <c r="E1059">
        <v>23</v>
      </c>
      <c r="F1059">
        <v>16</v>
      </c>
      <c r="G1059">
        <v>0.01</v>
      </c>
      <c r="H1059" t="s">
        <v>72</v>
      </c>
      <c r="I1059">
        <v>368</v>
      </c>
      <c r="J1059">
        <v>4</v>
      </c>
      <c r="K1059">
        <v>364.32</v>
      </c>
    </row>
    <row r="1060" spans="1:11">
      <c r="A1060" t="s">
        <v>1123</v>
      </c>
      <c r="B1060" s="14">
        <v>43292</v>
      </c>
      <c r="C1060" t="s">
        <v>63</v>
      </c>
      <c r="D1060" t="s">
        <v>49</v>
      </c>
      <c r="E1060">
        <v>22</v>
      </c>
      <c r="F1060">
        <v>16</v>
      </c>
      <c r="G1060">
        <v>0.04</v>
      </c>
      <c r="H1060" t="s">
        <v>74</v>
      </c>
      <c r="I1060">
        <v>352</v>
      </c>
      <c r="J1060">
        <v>14</v>
      </c>
      <c r="K1060">
        <v>337.92</v>
      </c>
    </row>
    <row r="1061" spans="1:11">
      <c r="A1061" t="s">
        <v>1124</v>
      </c>
      <c r="B1061" s="14">
        <v>43292</v>
      </c>
      <c r="C1061" t="s">
        <v>44</v>
      </c>
      <c r="D1061" t="s">
        <v>45</v>
      </c>
      <c r="E1061">
        <v>20</v>
      </c>
      <c r="F1061">
        <v>80</v>
      </c>
      <c r="G1061">
        <v>0.01</v>
      </c>
      <c r="H1061" t="s">
        <v>76</v>
      </c>
      <c r="I1061">
        <v>1600</v>
      </c>
      <c r="J1061">
        <v>16</v>
      </c>
      <c r="K1061">
        <v>1584</v>
      </c>
    </row>
    <row r="1062" spans="1:11">
      <c r="A1062" t="s">
        <v>1125</v>
      </c>
      <c r="B1062" s="14">
        <v>43292</v>
      </c>
      <c r="C1062" t="s">
        <v>48</v>
      </c>
      <c r="D1062" t="s">
        <v>60</v>
      </c>
      <c r="E1062">
        <v>6</v>
      </c>
      <c r="F1062">
        <v>40</v>
      </c>
      <c r="G1062">
        <v>0.07</v>
      </c>
      <c r="H1062" t="s">
        <v>46</v>
      </c>
      <c r="I1062">
        <v>240</v>
      </c>
      <c r="J1062">
        <v>17</v>
      </c>
      <c r="K1062">
        <v>223.2</v>
      </c>
    </row>
    <row r="1063" spans="1:11">
      <c r="A1063" t="s">
        <v>1126</v>
      </c>
      <c r="B1063" s="14">
        <v>43293</v>
      </c>
      <c r="C1063" t="s">
        <v>67</v>
      </c>
      <c r="D1063" t="s">
        <v>49</v>
      </c>
      <c r="E1063">
        <v>10</v>
      </c>
      <c r="F1063">
        <v>150</v>
      </c>
      <c r="G1063">
        <v>0.01</v>
      </c>
      <c r="H1063" t="s">
        <v>50</v>
      </c>
      <c r="I1063">
        <v>1500</v>
      </c>
      <c r="J1063">
        <v>15</v>
      </c>
      <c r="K1063">
        <v>1485</v>
      </c>
    </row>
    <row r="1064" spans="1:11">
      <c r="A1064" t="s">
        <v>1127</v>
      </c>
      <c r="B1064" s="14">
        <v>43293</v>
      </c>
      <c r="C1064" t="s">
        <v>44</v>
      </c>
      <c r="D1064" t="s">
        <v>60</v>
      </c>
      <c r="E1064">
        <v>17</v>
      </c>
      <c r="F1064">
        <v>80</v>
      </c>
      <c r="G1064">
        <v>0.05</v>
      </c>
      <c r="H1064" t="s">
        <v>53</v>
      </c>
      <c r="I1064">
        <v>1360</v>
      </c>
      <c r="J1064">
        <v>68</v>
      </c>
      <c r="K1064">
        <v>1292</v>
      </c>
    </row>
    <row r="1065" spans="1:11">
      <c r="A1065" t="s">
        <v>1128</v>
      </c>
      <c r="B1065" s="14">
        <v>43293</v>
      </c>
      <c r="C1065" t="s">
        <v>67</v>
      </c>
      <c r="D1065" t="s">
        <v>45</v>
      </c>
      <c r="E1065">
        <v>13</v>
      </c>
      <c r="F1065">
        <v>150</v>
      </c>
      <c r="G1065">
        <v>0.05</v>
      </c>
      <c r="H1065" t="s">
        <v>55</v>
      </c>
      <c r="I1065">
        <v>1950</v>
      </c>
      <c r="J1065">
        <v>98</v>
      </c>
      <c r="K1065">
        <v>1852.5</v>
      </c>
    </row>
    <row r="1066" spans="1:11">
      <c r="A1066" t="s">
        <v>1129</v>
      </c>
      <c r="B1066" s="14">
        <v>43293</v>
      </c>
      <c r="C1066" t="s">
        <v>52</v>
      </c>
      <c r="D1066" t="s">
        <v>60</v>
      </c>
      <c r="E1066">
        <v>8</v>
      </c>
      <c r="F1066">
        <v>230</v>
      </c>
      <c r="G1066">
        <v>0.05</v>
      </c>
      <c r="H1066" t="s">
        <v>58</v>
      </c>
      <c r="I1066">
        <v>1840</v>
      </c>
      <c r="J1066">
        <v>92</v>
      </c>
      <c r="K1066">
        <v>1748</v>
      </c>
    </row>
    <row r="1067" spans="1:11">
      <c r="A1067" t="s">
        <v>1130</v>
      </c>
      <c r="B1067" s="14">
        <v>43293</v>
      </c>
      <c r="C1067" t="s">
        <v>63</v>
      </c>
      <c r="D1067" t="s">
        <v>45</v>
      </c>
      <c r="E1067">
        <v>10</v>
      </c>
      <c r="F1067">
        <v>16</v>
      </c>
      <c r="G1067">
        <v>0.08</v>
      </c>
      <c r="H1067" t="s">
        <v>61</v>
      </c>
      <c r="I1067">
        <v>160</v>
      </c>
      <c r="J1067">
        <v>13</v>
      </c>
      <c r="K1067">
        <v>147.2</v>
      </c>
    </row>
    <row r="1068" spans="1:11">
      <c r="A1068" t="s">
        <v>1131</v>
      </c>
      <c r="B1068" s="14">
        <v>43293</v>
      </c>
      <c r="C1068" t="s">
        <v>48</v>
      </c>
      <c r="D1068" t="s">
        <v>49</v>
      </c>
      <c r="E1068">
        <v>4</v>
      </c>
      <c r="F1068">
        <v>40</v>
      </c>
      <c r="G1068">
        <v>0.06</v>
      </c>
      <c r="H1068" t="s">
        <v>50</v>
      </c>
      <c r="I1068">
        <v>160</v>
      </c>
      <c r="J1068">
        <v>10</v>
      </c>
      <c r="K1068">
        <v>150.4</v>
      </c>
    </row>
    <row r="1069" spans="1:11">
      <c r="A1069" t="s">
        <v>1132</v>
      </c>
      <c r="B1069" s="14">
        <v>43293</v>
      </c>
      <c r="C1069" t="s">
        <v>48</v>
      </c>
      <c r="D1069" t="s">
        <v>64</v>
      </c>
      <c r="E1069">
        <v>18</v>
      </c>
      <c r="F1069">
        <v>40</v>
      </c>
      <c r="G1069">
        <v>0.06</v>
      </c>
      <c r="H1069" t="s">
        <v>53</v>
      </c>
      <c r="I1069">
        <v>720</v>
      </c>
      <c r="J1069">
        <v>43</v>
      </c>
      <c r="K1069">
        <v>676.8</v>
      </c>
    </row>
    <row r="1070" spans="1:11">
      <c r="A1070" t="s">
        <v>1133</v>
      </c>
      <c r="B1070" s="14">
        <v>43293</v>
      </c>
      <c r="C1070" t="s">
        <v>67</v>
      </c>
      <c r="D1070" t="s">
        <v>60</v>
      </c>
      <c r="E1070">
        <v>15</v>
      </c>
      <c r="F1070">
        <v>150</v>
      </c>
      <c r="G1070">
        <v>0.05</v>
      </c>
      <c r="H1070" t="s">
        <v>55</v>
      </c>
      <c r="I1070">
        <v>2250</v>
      </c>
      <c r="J1070">
        <v>112</v>
      </c>
      <c r="K1070">
        <v>2137.5</v>
      </c>
    </row>
    <row r="1071" spans="1:11">
      <c r="A1071" t="s">
        <v>1134</v>
      </c>
      <c r="B1071" s="14">
        <v>43293</v>
      </c>
      <c r="C1071" t="s">
        <v>67</v>
      </c>
      <c r="D1071" t="s">
        <v>60</v>
      </c>
      <c r="E1071">
        <v>3</v>
      </c>
      <c r="F1071">
        <v>150</v>
      </c>
      <c r="G1071">
        <v>0.01</v>
      </c>
      <c r="H1071" t="s">
        <v>58</v>
      </c>
      <c r="I1071">
        <v>450</v>
      </c>
      <c r="J1071">
        <v>4</v>
      </c>
      <c r="K1071">
        <v>445.5</v>
      </c>
    </row>
    <row r="1072" spans="1:11">
      <c r="A1072" t="s">
        <v>1135</v>
      </c>
      <c r="B1072" s="14">
        <v>43293</v>
      </c>
      <c r="C1072" t="s">
        <v>63</v>
      </c>
      <c r="D1072" t="s">
        <v>45</v>
      </c>
      <c r="E1072">
        <v>12</v>
      </c>
      <c r="F1072">
        <v>16</v>
      </c>
      <c r="G1072">
        <v>0.11</v>
      </c>
      <c r="H1072" t="s">
        <v>61</v>
      </c>
      <c r="I1072">
        <v>192</v>
      </c>
      <c r="J1072">
        <v>21</v>
      </c>
      <c r="K1072">
        <v>170.88</v>
      </c>
    </row>
    <row r="1073" spans="1:11">
      <c r="A1073" t="s">
        <v>1136</v>
      </c>
      <c r="B1073" s="14">
        <v>43294</v>
      </c>
      <c r="C1073" t="s">
        <v>44</v>
      </c>
      <c r="D1073" t="s">
        <v>64</v>
      </c>
      <c r="E1073">
        <v>17</v>
      </c>
      <c r="F1073">
        <v>80</v>
      </c>
      <c r="G1073">
        <v>0.07</v>
      </c>
      <c r="H1073" t="s">
        <v>65</v>
      </c>
      <c r="I1073">
        <v>1360</v>
      </c>
      <c r="J1073">
        <v>95</v>
      </c>
      <c r="K1073">
        <v>1264.8</v>
      </c>
    </row>
    <row r="1074" spans="1:11">
      <c r="A1074" t="s">
        <v>1137</v>
      </c>
      <c r="B1074" s="14">
        <v>43294</v>
      </c>
      <c r="C1074" t="s">
        <v>52</v>
      </c>
      <c r="D1074" t="s">
        <v>45</v>
      </c>
      <c r="E1074">
        <v>3</v>
      </c>
      <c r="F1074">
        <v>230</v>
      </c>
      <c r="G1074">
        <v>0.06</v>
      </c>
      <c r="H1074" t="s">
        <v>68</v>
      </c>
      <c r="I1074">
        <v>690</v>
      </c>
      <c r="J1074">
        <v>41</v>
      </c>
      <c r="K1074">
        <v>648.6</v>
      </c>
    </row>
    <row r="1075" spans="1:11">
      <c r="A1075" t="s">
        <v>1138</v>
      </c>
      <c r="B1075" s="14">
        <v>43294</v>
      </c>
      <c r="C1075" t="s">
        <v>44</v>
      </c>
      <c r="D1075" t="s">
        <v>57</v>
      </c>
      <c r="E1075">
        <v>20</v>
      </c>
      <c r="F1075">
        <v>80</v>
      </c>
      <c r="G1075">
        <v>0.07</v>
      </c>
      <c r="H1075" t="s">
        <v>70</v>
      </c>
      <c r="I1075">
        <v>1600</v>
      </c>
      <c r="J1075">
        <v>112</v>
      </c>
      <c r="K1075">
        <v>1488</v>
      </c>
    </row>
    <row r="1076" spans="1:11">
      <c r="A1076" t="s">
        <v>1139</v>
      </c>
      <c r="B1076" s="14">
        <v>43294</v>
      </c>
      <c r="C1076" t="s">
        <v>52</v>
      </c>
      <c r="D1076" t="s">
        <v>49</v>
      </c>
      <c r="E1076">
        <v>14</v>
      </c>
      <c r="F1076">
        <v>230</v>
      </c>
      <c r="G1076">
        <v>0.05</v>
      </c>
      <c r="H1076" t="s">
        <v>72</v>
      </c>
      <c r="I1076">
        <v>3220</v>
      </c>
      <c r="J1076">
        <v>161</v>
      </c>
      <c r="K1076">
        <v>3059</v>
      </c>
    </row>
    <row r="1077" spans="1:11">
      <c r="A1077" t="s">
        <v>1140</v>
      </c>
      <c r="B1077" s="14">
        <v>43294</v>
      </c>
      <c r="C1077" t="s">
        <v>48</v>
      </c>
      <c r="D1077" t="s">
        <v>64</v>
      </c>
      <c r="E1077">
        <v>16</v>
      </c>
      <c r="F1077">
        <v>40</v>
      </c>
      <c r="G1077">
        <v>0.09</v>
      </c>
      <c r="H1077" t="s">
        <v>74</v>
      </c>
      <c r="I1077">
        <v>640</v>
      </c>
      <c r="J1077">
        <v>58</v>
      </c>
      <c r="K1077">
        <v>582.4</v>
      </c>
    </row>
    <row r="1078" spans="1:11">
      <c r="A1078" t="s">
        <v>1141</v>
      </c>
      <c r="B1078" s="14">
        <v>43294</v>
      </c>
      <c r="C1078" t="s">
        <v>63</v>
      </c>
      <c r="D1078" t="s">
        <v>49</v>
      </c>
      <c r="E1078">
        <v>7</v>
      </c>
      <c r="F1078">
        <v>16</v>
      </c>
      <c r="G1078">
        <v>0.08</v>
      </c>
      <c r="H1078" t="s">
        <v>76</v>
      </c>
      <c r="I1078">
        <v>112</v>
      </c>
      <c r="J1078">
        <v>9</v>
      </c>
      <c r="K1078">
        <v>103.04</v>
      </c>
    </row>
    <row r="1079" spans="1:11">
      <c r="A1079" t="s">
        <v>1142</v>
      </c>
      <c r="B1079" s="14">
        <v>43294</v>
      </c>
      <c r="C1079" t="s">
        <v>48</v>
      </c>
      <c r="D1079" t="s">
        <v>49</v>
      </c>
      <c r="E1079">
        <v>19</v>
      </c>
      <c r="F1079">
        <v>40</v>
      </c>
      <c r="G1079">
        <v>0.1</v>
      </c>
      <c r="H1079" t="s">
        <v>46</v>
      </c>
      <c r="I1079">
        <v>760</v>
      </c>
      <c r="J1079">
        <v>76</v>
      </c>
      <c r="K1079">
        <v>684</v>
      </c>
    </row>
    <row r="1080" spans="1:11">
      <c r="A1080" t="s">
        <v>1143</v>
      </c>
      <c r="B1080" s="14">
        <v>43294</v>
      </c>
      <c r="C1080" t="s">
        <v>52</v>
      </c>
      <c r="D1080" t="s">
        <v>60</v>
      </c>
      <c r="E1080">
        <v>7</v>
      </c>
      <c r="F1080">
        <v>230</v>
      </c>
      <c r="G1080">
        <v>0.06</v>
      </c>
      <c r="H1080" t="s">
        <v>50</v>
      </c>
      <c r="I1080">
        <v>1610</v>
      </c>
      <c r="J1080">
        <v>97</v>
      </c>
      <c r="K1080">
        <v>1513.4</v>
      </c>
    </row>
    <row r="1081" spans="1:11">
      <c r="A1081" t="s">
        <v>1144</v>
      </c>
      <c r="B1081" s="14">
        <v>43294</v>
      </c>
      <c r="C1081" t="s">
        <v>48</v>
      </c>
      <c r="D1081" t="s">
        <v>64</v>
      </c>
      <c r="E1081">
        <v>20</v>
      </c>
      <c r="F1081">
        <v>40</v>
      </c>
      <c r="G1081">
        <v>0.03</v>
      </c>
      <c r="H1081" t="s">
        <v>53</v>
      </c>
      <c r="I1081">
        <v>800</v>
      </c>
      <c r="J1081">
        <v>24</v>
      </c>
      <c r="K1081">
        <v>776</v>
      </c>
    </row>
    <row r="1082" spans="1:11">
      <c r="A1082" t="s">
        <v>1145</v>
      </c>
      <c r="B1082" s="14">
        <v>43294</v>
      </c>
      <c r="C1082" t="s">
        <v>63</v>
      </c>
      <c r="D1082" t="s">
        <v>57</v>
      </c>
      <c r="E1082">
        <v>11</v>
      </c>
      <c r="F1082">
        <v>16</v>
      </c>
      <c r="G1082">
        <v>0.12</v>
      </c>
      <c r="H1082" t="s">
        <v>55</v>
      </c>
      <c r="I1082">
        <v>176</v>
      </c>
      <c r="J1082">
        <v>21</v>
      </c>
      <c r="K1082">
        <v>154.88</v>
      </c>
    </row>
    <row r="1083" spans="1:11">
      <c r="A1083" t="s">
        <v>1146</v>
      </c>
      <c r="B1083" s="14">
        <v>43294</v>
      </c>
      <c r="C1083" t="s">
        <v>44</v>
      </c>
      <c r="D1083" t="s">
        <v>64</v>
      </c>
      <c r="E1083">
        <v>16</v>
      </c>
      <c r="F1083">
        <v>80</v>
      </c>
      <c r="G1083">
        <v>0.09</v>
      </c>
      <c r="H1083" t="s">
        <v>58</v>
      </c>
      <c r="I1083">
        <v>1280</v>
      </c>
      <c r="J1083">
        <v>115</v>
      </c>
      <c r="K1083">
        <v>1164.8</v>
      </c>
    </row>
    <row r="1084" spans="1:11">
      <c r="A1084" t="s">
        <v>1147</v>
      </c>
      <c r="B1084" s="14">
        <v>43294</v>
      </c>
      <c r="C1084" t="s">
        <v>63</v>
      </c>
      <c r="D1084" t="s">
        <v>45</v>
      </c>
      <c r="E1084">
        <v>21</v>
      </c>
      <c r="F1084">
        <v>16</v>
      </c>
      <c r="G1084">
        <v>0.09</v>
      </c>
      <c r="H1084" t="s">
        <v>61</v>
      </c>
      <c r="I1084">
        <v>336</v>
      </c>
      <c r="J1084">
        <v>30</v>
      </c>
      <c r="K1084">
        <v>305.76</v>
      </c>
    </row>
    <row r="1085" spans="1:11">
      <c r="A1085" t="s">
        <v>1148</v>
      </c>
      <c r="B1085" s="14">
        <v>43294</v>
      </c>
      <c r="C1085" t="s">
        <v>63</v>
      </c>
      <c r="D1085" t="s">
        <v>45</v>
      </c>
      <c r="E1085">
        <v>22</v>
      </c>
      <c r="F1085">
        <v>16</v>
      </c>
      <c r="G1085">
        <v>0.01</v>
      </c>
      <c r="H1085" t="s">
        <v>50</v>
      </c>
      <c r="I1085">
        <v>352</v>
      </c>
      <c r="J1085">
        <v>4</v>
      </c>
      <c r="K1085">
        <v>348.48</v>
      </c>
    </row>
    <row r="1086" spans="1:11">
      <c r="A1086" t="s">
        <v>1149</v>
      </c>
      <c r="B1086" s="14">
        <v>43294</v>
      </c>
      <c r="C1086" t="s">
        <v>52</v>
      </c>
      <c r="D1086" t="s">
        <v>60</v>
      </c>
      <c r="E1086">
        <v>23</v>
      </c>
      <c r="F1086">
        <v>230</v>
      </c>
      <c r="G1086">
        <v>0.06</v>
      </c>
      <c r="H1086" t="s">
        <v>53</v>
      </c>
      <c r="I1086">
        <v>5290</v>
      </c>
      <c r="J1086">
        <v>317</v>
      </c>
      <c r="K1086">
        <v>4972.6</v>
      </c>
    </row>
    <row r="1087" spans="1:11">
      <c r="A1087" t="s">
        <v>1150</v>
      </c>
      <c r="B1087" s="14">
        <v>43294</v>
      </c>
      <c r="C1087" t="s">
        <v>67</v>
      </c>
      <c r="D1087" t="s">
        <v>45</v>
      </c>
      <c r="E1087">
        <v>9</v>
      </c>
      <c r="F1087">
        <v>150</v>
      </c>
      <c r="G1087">
        <v>0.1</v>
      </c>
      <c r="H1087" t="s">
        <v>55</v>
      </c>
      <c r="I1087">
        <v>1350</v>
      </c>
      <c r="J1087">
        <v>135</v>
      </c>
      <c r="K1087">
        <v>1215</v>
      </c>
    </row>
    <row r="1088" spans="1:11">
      <c r="A1088" t="s">
        <v>1151</v>
      </c>
      <c r="B1088" s="14">
        <v>43294</v>
      </c>
      <c r="C1088" t="s">
        <v>67</v>
      </c>
      <c r="D1088" t="s">
        <v>57</v>
      </c>
      <c r="E1088">
        <v>9</v>
      </c>
      <c r="F1088">
        <v>150</v>
      </c>
      <c r="G1088">
        <v>0.06</v>
      </c>
      <c r="H1088" t="s">
        <v>58</v>
      </c>
      <c r="I1088">
        <v>1350</v>
      </c>
      <c r="J1088">
        <v>81</v>
      </c>
      <c r="K1088">
        <v>1269</v>
      </c>
    </row>
    <row r="1089" spans="1:11">
      <c r="A1089" t="s">
        <v>1152</v>
      </c>
      <c r="B1089" s="14">
        <v>43295</v>
      </c>
      <c r="C1089" t="s">
        <v>52</v>
      </c>
      <c r="D1089" t="s">
        <v>45</v>
      </c>
      <c r="E1089">
        <v>9</v>
      </c>
      <c r="F1089">
        <v>230</v>
      </c>
      <c r="G1089">
        <v>0.07</v>
      </c>
      <c r="H1089" t="s">
        <v>61</v>
      </c>
      <c r="I1089">
        <v>2070</v>
      </c>
      <c r="J1089">
        <v>145</v>
      </c>
      <c r="K1089">
        <v>1925.1</v>
      </c>
    </row>
    <row r="1090" spans="1:11">
      <c r="A1090" t="s">
        <v>1153</v>
      </c>
      <c r="B1090" s="14">
        <v>43295</v>
      </c>
      <c r="C1090" t="s">
        <v>44</v>
      </c>
      <c r="D1090" t="s">
        <v>57</v>
      </c>
      <c r="E1090">
        <v>10</v>
      </c>
      <c r="F1090">
        <v>80</v>
      </c>
      <c r="G1090">
        <v>0.08</v>
      </c>
      <c r="H1090" t="s">
        <v>65</v>
      </c>
      <c r="I1090">
        <v>800</v>
      </c>
      <c r="J1090">
        <v>64</v>
      </c>
      <c r="K1090">
        <v>736</v>
      </c>
    </row>
    <row r="1091" spans="1:11">
      <c r="A1091" t="s">
        <v>1154</v>
      </c>
      <c r="B1091" s="14">
        <v>43295</v>
      </c>
      <c r="C1091" t="s">
        <v>63</v>
      </c>
      <c r="D1091" t="s">
        <v>57</v>
      </c>
      <c r="E1091">
        <v>23</v>
      </c>
      <c r="F1091">
        <v>16</v>
      </c>
      <c r="G1091">
        <v>0.11</v>
      </c>
      <c r="H1091" t="s">
        <v>68</v>
      </c>
      <c r="I1091">
        <v>368</v>
      </c>
      <c r="J1091">
        <v>40</v>
      </c>
      <c r="K1091">
        <v>327.52</v>
      </c>
    </row>
    <row r="1092" spans="1:11">
      <c r="A1092" t="s">
        <v>1155</v>
      </c>
      <c r="B1092" s="14">
        <v>43295</v>
      </c>
      <c r="C1092" t="s">
        <v>44</v>
      </c>
      <c r="D1092" t="s">
        <v>60</v>
      </c>
      <c r="E1092">
        <v>22</v>
      </c>
      <c r="F1092">
        <v>80</v>
      </c>
      <c r="G1092">
        <v>0.03</v>
      </c>
      <c r="H1092" t="s">
        <v>70</v>
      </c>
      <c r="I1092">
        <v>1760</v>
      </c>
      <c r="J1092">
        <v>53</v>
      </c>
      <c r="K1092">
        <v>1707.2</v>
      </c>
    </row>
    <row r="1093" spans="1:11">
      <c r="A1093" t="s">
        <v>1156</v>
      </c>
      <c r="B1093" s="14">
        <v>43295</v>
      </c>
      <c r="C1093" t="s">
        <v>44</v>
      </c>
      <c r="D1093" t="s">
        <v>60</v>
      </c>
      <c r="E1093">
        <v>4</v>
      </c>
      <c r="F1093">
        <v>80</v>
      </c>
      <c r="G1093">
        <v>0.11</v>
      </c>
      <c r="H1093" t="s">
        <v>72</v>
      </c>
      <c r="I1093">
        <v>320</v>
      </c>
      <c r="J1093">
        <v>35</v>
      </c>
      <c r="K1093">
        <v>284.8</v>
      </c>
    </row>
    <row r="1094" spans="1:11">
      <c r="A1094" t="s">
        <v>1157</v>
      </c>
      <c r="B1094" s="14">
        <v>43295</v>
      </c>
      <c r="C1094" t="s">
        <v>63</v>
      </c>
      <c r="D1094" t="s">
        <v>45</v>
      </c>
      <c r="E1094">
        <v>22</v>
      </c>
      <c r="F1094">
        <v>16</v>
      </c>
      <c r="G1094">
        <v>0.06</v>
      </c>
      <c r="H1094" t="s">
        <v>74</v>
      </c>
      <c r="I1094">
        <v>352</v>
      </c>
      <c r="J1094">
        <v>21</v>
      </c>
      <c r="K1094">
        <v>330.88</v>
      </c>
    </row>
    <row r="1095" spans="1:11">
      <c r="A1095" t="s">
        <v>1158</v>
      </c>
      <c r="B1095" s="14">
        <v>43295</v>
      </c>
      <c r="C1095" t="s">
        <v>48</v>
      </c>
      <c r="D1095" t="s">
        <v>49</v>
      </c>
      <c r="E1095">
        <v>15</v>
      </c>
      <c r="F1095">
        <v>40</v>
      </c>
      <c r="G1095">
        <v>0.02</v>
      </c>
      <c r="H1095" t="s">
        <v>76</v>
      </c>
      <c r="I1095">
        <v>600</v>
      </c>
      <c r="J1095">
        <v>12</v>
      </c>
      <c r="K1095">
        <v>588</v>
      </c>
    </row>
    <row r="1096" spans="1:11">
      <c r="A1096" t="s">
        <v>1159</v>
      </c>
      <c r="B1096" s="14">
        <v>43295</v>
      </c>
      <c r="C1096" t="s">
        <v>48</v>
      </c>
      <c r="D1096" t="s">
        <v>64</v>
      </c>
      <c r="E1096">
        <v>7</v>
      </c>
      <c r="F1096">
        <v>40</v>
      </c>
      <c r="G1096">
        <v>0.04</v>
      </c>
      <c r="H1096" t="s">
        <v>46</v>
      </c>
      <c r="I1096">
        <v>280</v>
      </c>
      <c r="J1096">
        <v>11</v>
      </c>
      <c r="K1096">
        <v>268.8</v>
      </c>
    </row>
    <row r="1097" spans="1:11">
      <c r="A1097" t="s">
        <v>1160</v>
      </c>
      <c r="B1097" s="14">
        <v>43295</v>
      </c>
      <c r="C1097" t="s">
        <v>63</v>
      </c>
      <c r="D1097" t="s">
        <v>64</v>
      </c>
      <c r="E1097">
        <v>2</v>
      </c>
      <c r="F1097">
        <v>16</v>
      </c>
      <c r="G1097">
        <v>0.04</v>
      </c>
      <c r="H1097" t="s">
        <v>50</v>
      </c>
      <c r="I1097">
        <v>32</v>
      </c>
      <c r="J1097">
        <v>1</v>
      </c>
      <c r="K1097">
        <v>30.72</v>
      </c>
    </row>
    <row r="1098" spans="1:11">
      <c r="A1098" t="s">
        <v>1161</v>
      </c>
      <c r="B1098" s="14">
        <v>43295</v>
      </c>
      <c r="C1098" t="s">
        <v>44</v>
      </c>
      <c r="D1098" t="s">
        <v>60</v>
      </c>
      <c r="E1098">
        <v>7</v>
      </c>
      <c r="F1098">
        <v>80</v>
      </c>
      <c r="G1098">
        <v>0.02</v>
      </c>
      <c r="H1098" t="s">
        <v>53</v>
      </c>
      <c r="I1098">
        <v>560</v>
      </c>
      <c r="J1098">
        <v>11</v>
      </c>
      <c r="K1098">
        <v>548.8</v>
      </c>
    </row>
    <row r="1099" spans="1:11">
      <c r="A1099" t="s">
        <v>1162</v>
      </c>
      <c r="B1099" s="14">
        <v>43296</v>
      </c>
      <c r="C1099" t="s">
        <v>63</v>
      </c>
      <c r="D1099" t="s">
        <v>64</v>
      </c>
      <c r="E1099">
        <v>22</v>
      </c>
      <c r="F1099">
        <v>16</v>
      </c>
      <c r="G1099">
        <v>0.12</v>
      </c>
      <c r="H1099" t="s">
        <v>55</v>
      </c>
      <c r="I1099">
        <v>352</v>
      </c>
      <c r="J1099">
        <v>42</v>
      </c>
      <c r="K1099">
        <v>309.76</v>
      </c>
    </row>
    <row r="1100" spans="1:11">
      <c r="A1100" t="s">
        <v>1163</v>
      </c>
      <c r="B1100" s="14">
        <v>43296</v>
      </c>
      <c r="C1100" t="s">
        <v>48</v>
      </c>
      <c r="D1100" t="s">
        <v>49</v>
      </c>
      <c r="E1100">
        <v>21</v>
      </c>
      <c r="F1100">
        <v>40</v>
      </c>
      <c r="G1100">
        <v>0.03</v>
      </c>
      <c r="H1100" t="s">
        <v>58</v>
      </c>
      <c r="I1100">
        <v>840</v>
      </c>
      <c r="J1100">
        <v>25</v>
      </c>
      <c r="K1100">
        <v>814.8</v>
      </c>
    </row>
    <row r="1101" spans="1:11">
      <c r="A1101" t="s">
        <v>1164</v>
      </c>
      <c r="B1101" s="14">
        <v>43296</v>
      </c>
      <c r="C1101" t="s">
        <v>44</v>
      </c>
      <c r="D1101" t="s">
        <v>45</v>
      </c>
      <c r="E1101">
        <v>6</v>
      </c>
      <c r="F1101">
        <v>80</v>
      </c>
      <c r="G1101">
        <v>0.01</v>
      </c>
      <c r="H1101" t="s">
        <v>61</v>
      </c>
      <c r="I1101">
        <v>480</v>
      </c>
      <c r="J1101">
        <v>5</v>
      </c>
      <c r="K1101">
        <v>475.2</v>
      </c>
    </row>
    <row r="1102" spans="1:11">
      <c r="A1102" t="s">
        <v>1165</v>
      </c>
      <c r="B1102" s="14">
        <v>43296</v>
      </c>
      <c r="C1102" t="s">
        <v>44</v>
      </c>
      <c r="D1102" t="s">
        <v>64</v>
      </c>
      <c r="E1102">
        <v>13</v>
      </c>
      <c r="F1102">
        <v>80</v>
      </c>
      <c r="G1102">
        <v>0.05</v>
      </c>
      <c r="H1102" t="s">
        <v>50</v>
      </c>
      <c r="I1102">
        <v>1040</v>
      </c>
      <c r="J1102">
        <v>52</v>
      </c>
      <c r="K1102">
        <v>988</v>
      </c>
    </row>
    <row r="1103" spans="1:11">
      <c r="A1103" t="s">
        <v>1166</v>
      </c>
      <c r="B1103" s="14">
        <v>43296</v>
      </c>
      <c r="C1103" t="s">
        <v>44</v>
      </c>
      <c r="D1103" t="s">
        <v>60</v>
      </c>
      <c r="E1103">
        <v>11</v>
      </c>
      <c r="F1103">
        <v>80</v>
      </c>
      <c r="G1103">
        <v>0.01</v>
      </c>
      <c r="H1103" t="s">
        <v>53</v>
      </c>
      <c r="I1103">
        <v>880</v>
      </c>
      <c r="J1103">
        <v>9</v>
      </c>
      <c r="K1103">
        <v>871.2</v>
      </c>
    </row>
    <row r="1104" spans="1:11">
      <c r="A1104" t="s">
        <v>1167</v>
      </c>
      <c r="B1104" s="14">
        <v>43296</v>
      </c>
      <c r="C1104" t="s">
        <v>48</v>
      </c>
      <c r="D1104" t="s">
        <v>45</v>
      </c>
      <c r="E1104">
        <v>18</v>
      </c>
      <c r="F1104">
        <v>40</v>
      </c>
      <c r="G1104">
        <v>0.06</v>
      </c>
      <c r="H1104" t="s">
        <v>55</v>
      </c>
      <c r="I1104">
        <v>720</v>
      </c>
      <c r="J1104">
        <v>43</v>
      </c>
      <c r="K1104">
        <v>676.8</v>
      </c>
    </row>
    <row r="1105" spans="1:11">
      <c r="A1105" t="s">
        <v>1168</v>
      </c>
      <c r="B1105" s="14">
        <v>43296</v>
      </c>
      <c r="C1105" t="s">
        <v>67</v>
      </c>
      <c r="D1105" t="s">
        <v>60</v>
      </c>
      <c r="E1105">
        <v>7</v>
      </c>
      <c r="F1105">
        <v>150</v>
      </c>
      <c r="G1105">
        <v>0.05</v>
      </c>
      <c r="H1105" t="s">
        <v>58</v>
      </c>
      <c r="I1105">
        <v>1050</v>
      </c>
      <c r="J1105">
        <v>52</v>
      </c>
      <c r="K1105">
        <v>997.5</v>
      </c>
    </row>
    <row r="1106" spans="1:11">
      <c r="A1106" t="s">
        <v>1169</v>
      </c>
      <c r="B1106" s="14">
        <v>43296</v>
      </c>
      <c r="C1106" t="s">
        <v>48</v>
      </c>
      <c r="D1106" t="s">
        <v>45</v>
      </c>
      <c r="E1106">
        <v>2</v>
      </c>
      <c r="F1106">
        <v>40</v>
      </c>
      <c r="G1106">
        <v>0.12</v>
      </c>
      <c r="H1106" t="s">
        <v>61</v>
      </c>
      <c r="I1106">
        <v>80</v>
      </c>
      <c r="J1106">
        <v>10</v>
      </c>
      <c r="K1106">
        <v>70.4</v>
      </c>
    </row>
    <row r="1107" spans="1:11">
      <c r="A1107" t="s">
        <v>1170</v>
      </c>
      <c r="B1107" s="14">
        <v>43296</v>
      </c>
      <c r="C1107" t="s">
        <v>44</v>
      </c>
      <c r="D1107" t="s">
        <v>49</v>
      </c>
      <c r="E1107">
        <v>14</v>
      </c>
      <c r="F1107">
        <v>80</v>
      </c>
      <c r="G1107">
        <v>0.06</v>
      </c>
      <c r="H1107" t="s">
        <v>65</v>
      </c>
      <c r="I1107">
        <v>1120</v>
      </c>
      <c r="J1107">
        <v>67</v>
      </c>
      <c r="K1107">
        <v>1052.8</v>
      </c>
    </row>
    <row r="1108" spans="1:11">
      <c r="A1108" t="s">
        <v>1171</v>
      </c>
      <c r="B1108" s="14">
        <v>43296</v>
      </c>
      <c r="C1108" t="s">
        <v>67</v>
      </c>
      <c r="D1108" t="s">
        <v>64</v>
      </c>
      <c r="E1108">
        <v>7</v>
      </c>
      <c r="F1108">
        <v>150</v>
      </c>
      <c r="G1108">
        <v>0.03</v>
      </c>
      <c r="H1108" t="s">
        <v>68</v>
      </c>
      <c r="I1108">
        <v>1050</v>
      </c>
      <c r="J1108">
        <v>32</v>
      </c>
      <c r="K1108">
        <v>1018.5</v>
      </c>
    </row>
    <row r="1109" spans="1:11">
      <c r="A1109" t="s">
        <v>1172</v>
      </c>
      <c r="B1109" s="14">
        <v>43296</v>
      </c>
      <c r="C1109" t="s">
        <v>63</v>
      </c>
      <c r="D1109" t="s">
        <v>60</v>
      </c>
      <c r="E1109">
        <v>10</v>
      </c>
      <c r="F1109">
        <v>16</v>
      </c>
      <c r="G1109">
        <v>0.01</v>
      </c>
      <c r="H1109" t="s">
        <v>70</v>
      </c>
      <c r="I1109">
        <v>160</v>
      </c>
      <c r="J1109">
        <v>2</v>
      </c>
      <c r="K1109">
        <v>158.4</v>
      </c>
    </row>
    <row r="1110" spans="1:11">
      <c r="A1110" t="s">
        <v>1173</v>
      </c>
      <c r="B1110" s="14">
        <v>43297</v>
      </c>
      <c r="C1110" t="s">
        <v>48</v>
      </c>
      <c r="D1110" t="s">
        <v>49</v>
      </c>
      <c r="E1110">
        <v>7</v>
      </c>
      <c r="F1110">
        <v>40</v>
      </c>
      <c r="G1110">
        <v>0.01</v>
      </c>
      <c r="H1110" t="s">
        <v>72</v>
      </c>
      <c r="I1110">
        <v>280</v>
      </c>
      <c r="J1110">
        <v>3</v>
      </c>
      <c r="K1110">
        <v>277.2</v>
      </c>
    </row>
    <row r="1111" spans="1:11">
      <c r="A1111" t="s">
        <v>1174</v>
      </c>
      <c r="B1111" s="14">
        <v>43297</v>
      </c>
      <c r="C1111" t="s">
        <v>63</v>
      </c>
      <c r="D1111" t="s">
        <v>60</v>
      </c>
      <c r="E1111">
        <v>7</v>
      </c>
      <c r="F1111">
        <v>16</v>
      </c>
      <c r="G1111">
        <v>0.08</v>
      </c>
      <c r="H1111" t="s">
        <v>74</v>
      </c>
      <c r="I1111">
        <v>112</v>
      </c>
      <c r="J1111">
        <v>9</v>
      </c>
      <c r="K1111">
        <v>103.04</v>
      </c>
    </row>
    <row r="1112" spans="1:11">
      <c r="A1112" t="s">
        <v>1175</v>
      </c>
      <c r="B1112" s="14">
        <v>43297</v>
      </c>
      <c r="C1112" t="s">
        <v>67</v>
      </c>
      <c r="D1112" t="s">
        <v>57</v>
      </c>
      <c r="E1112">
        <v>15</v>
      </c>
      <c r="F1112">
        <v>150</v>
      </c>
      <c r="G1112">
        <v>0.05</v>
      </c>
      <c r="H1112" t="s">
        <v>76</v>
      </c>
      <c r="I1112">
        <v>2250</v>
      </c>
      <c r="J1112">
        <v>112</v>
      </c>
      <c r="K1112">
        <v>2137.5</v>
      </c>
    </row>
    <row r="1113" spans="1:11">
      <c r="A1113" t="s">
        <v>1176</v>
      </c>
      <c r="B1113" s="14">
        <v>43297</v>
      </c>
      <c r="C1113" t="s">
        <v>44</v>
      </c>
      <c r="D1113" t="s">
        <v>45</v>
      </c>
      <c r="E1113">
        <v>7</v>
      </c>
      <c r="F1113">
        <v>80</v>
      </c>
      <c r="G1113">
        <v>0.02</v>
      </c>
      <c r="H1113" t="s">
        <v>46</v>
      </c>
      <c r="I1113">
        <v>560</v>
      </c>
      <c r="J1113">
        <v>11</v>
      </c>
      <c r="K1113">
        <v>548.8</v>
      </c>
    </row>
    <row r="1114" spans="1:11">
      <c r="A1114" t="s">
        <v>1177</v>
      </c>
      <c r="B1114" s="14">
        <v>43297</v>
      </c>
      <c r="C1114" t="s">
        <v>48</v>
      </c>
      <c r="D1114" t="s">
        <v>57</v>
      </c>
      <c r="E1114">
        <v>6</v>
      </c>
      <c r="F1114">
        <v>40</v>
      </c>
      <c r="G1114">
        <v>0.06</v>
      </c>
      <c r="H1114" t="s">
        <v>50</v>
      </c>
      <c r="I1114">
        <v>240</v>
      </c>
      <c r="J1114">
        <v>14</v>
      </c>
      <c r="K1114">
        <v>225.6</v>
      </c>
    </row>
    <row r="1115" spans="1:11">
      <c r="A1115" t="s">
        <v>1178</v>
      </c>
      <c r="B1115" s="14">
        <v>43297</v>
      </c>
      <c r="C1115" t="s">
        <v>52</v>
      </c>
      <c r="D1115" t="s">
        <v>45</v>
      </c>
      <c r="E1115">
        <v>3</v>
      </c>
      <c r="F1115">
        <v>230</v>
      </c>
      <c r="G1115">
        <v>0.06</v>
      </c>
      <c r="H1115" t="s">
        <v>53</v>
      </c>
      <c r="I1115">
        <v>690</v>
      </c>
      <c r="J1115">
        <v>41</v>
      </c>
      <c r="K1115">
        <v>648.6</v>
      </c>
    </row>
    <row r="1116" spans="1:11">
      <c r="A1116" t="s">
        <v>1179</v>
      </c>
      <c r="B1116" s="14">
        <v>43297</v>
      </c>
      <c r="C1116" t="s">
        <v>67</v>
      </c>
      <c r="D1116" t="s">
        <v>57</v>
      </c>
      <c r="E1116">
        <v>20</v>
      </c>
      <c r="F1116">
        <v>150</v>
      </c>
      <c r="G1116">
        <v>0.04</v>
      </c>
      <c r="H1116" t="s">
        <v>55</v>
      </c>
      <c r="I1116">
        <v>3000</v>
      </c>
      <c r="J1116">
        <v>120</v>
      </c>
      <c r="K1116">
        <v>2880</v>
      </c>
    </row>
    <row r="1117" spans="1:11">
      <c r="A1117" t="s">
        <v>1180</v>
      </c>
      <c r="B1117" s="14">
        <v>43297</v>
      </c>
      <c r="C1117" t="s">
        <v>52</v>
      </c>
      <c r="D1117" t="s">
        <v>57</v>
      </c>
      <c r="E1117">
        <v>20</v>
      </c>
      <c r="F1117">
        <v>230</v>
      </c>
      <c r="G1117">
        <v>0.06</v>
      </c>
      <c r="H1117" t="s">
        <v>58</v>
      </c>
      <c r="I1117">
        <v>4600</v>
      </c>
      <c r="J1117">
        <v>276</v>
      </c>
      <c r="K1117">
        <v>4324</v>
      </c>
    </row>
    <row r="1118" spans="1:11">
      <c r="A1118" t="s">
        <v>1181</v>
      </c>
      <c r="B1118" s="14">
        <v>43297</v>
      </c>
      <c r="C1118" t="s">
        <v>63</v>
      </c>
      <c r="D1118" t="s">
        <v>57</v>
      </c>
      <c r="E1118">
        <v>14</v>
      </c>
      <c r="F1118">
        <v>16</v>
      </c>
      <c r="G1118">
        <v>0.01</v>
      </c>
      <c r="H1118" t="s">
        <v>61</v>
      </c>
      <c r="I1118">
        <v>224</v>
      </c>
      <c r="J1118">
        <v>2</v>
      </c>
      <c r="K1118">
        <v>221.76</v>
      </c>
    </row>
    <row r="1119" spans="1:11">
      <c r="A1119" t="s">
        <v>1182</v>
      </c>
      <c r="B1119" s="14">
        <v>43297</v>
      </c>
      <c r="C1119" t="s">
        <v>67</v>
      </c>
      <c r="D1119" t="s">
        <v>57</v>
      </c>
      <c r="E1119">
        <v>20</v>
      </c>
      <c r="F1119">
        <v>150</v>
      </c>
      <c r="G1119">
        <v>0.04</v>
      </c>
      <c r="H1119" t="s">
        <v>50</v>
      </c>
      <c r="I1119">
        <v>3000</v>
      </c>
      <c r="J1119">
        <v>120</v>
      </c>
      <c r="K1119">
        <v>2880</v>
      </c>
    </row>
    <row r="1120" spans="1:11">
      <c r="A1120" t="s">
        <v>1183</v>
      </c>
      <c r="B1120" s="14">
        <v>43297</v>
      </c>
      <c r="C1120" t="s">
        <v>44</v>
      </c>
      <c r="D1120" t="s">
        <v>45</v>
      </c>
      <c r="E1120">
        <v>17</v>
      </c>
      <c r="F1120">
        <v>80</v>
      </c>
      <c r="G1120">
        <v>0.09</v>
      </c>
      <c r="H1120" t="s">
        <v>53</v>
      </c>
      <c r="I1120">
        <v>1360</v>
      </c>
      <c r="J1120">
        <v>122</v>
      </c>
      <c r="K1120">
        <v>1237.6</v>
      </c>
    </row>
    <row r="1121" spans="1:11">
      <c r="A1121" t="s">
        <v>1184</v>
      </c>
      <c r="B1121" s="14">
        <v>43298</v>
      </c>
      <c r="C1121" t="s">
        <v>67</v>
      </c>
      <c r="D1121" t="s">
        <v>57</v>
      </c>
      <c r="E1121">
        <v>20</v>
      </c>
      <c r="F1121">
        <v>150</v>
      </c>
      <c r="G1121">
        <v>0.12</v>
      </c>
      <c r="H1121" t="s">
        <v>55</v>
      </c>
      <c r="I1121">
        <v>3000</v>
      </c>
      <c r="J1121">
        <v>360</v>
      </c>
      <c r="K1121">
        <v>2640</v>
      </c>
    </row>
    <row r="1122" spans="1:11">
      <c r="A1122" t="s">
        <v>1185</v>
      </c>
      <c r="B1122" s="14">
        <v>43298</v>
      </c>
      <c r="C1122" t="s">
        <v>63</v>
      </c>
      <c r="D1122" t="s">
        <v>57</v>
      </c>
      <c r="E1122">
        <v>11</v>
      </c>
      <c r="F1122">
        <v>16</v>
      </c>
      <c r="G1122">
        <v>0.04</v>
      </c>
      <c r="H1122" t="s">
        <v>58</v>
      </c>
      <c r="I1122">
        <v>176</v>
      </c>
      <c r="J1122">
        <v>7</v>
      </c>
      <c r="K1122">
        <v>168.96</v>
      </c>
    </row>
    <row r="1123" spans="1:11">
      <c r="A1123" t="s">
        <v>1186</v>
      </c>
      <c r="B1123" s="14">
        <v>43298</v>
      </c>
      <c r="C1123" t="s">
        <v>52</v>
      </c>
      <c r="D1123" t="s">
        <v>64</v>
      </c>
      <c r="E1123">
        <v>7</v>
      </c>
      <c r="F1123">
        <v>230</v>
      </c>
      <c r="G1123">
        <v>0.05</v>
      </c>
      <c r="H1123" t="s">
        <v>61</v>
      </c>
      <c r="I1123">
        <v>1610</v>
      </c>
      <c r="J1123">
        <v>80</v>
      </c>
      <c r="K1123">
        <v>1529.5</v>
      </c>
    </row>
    <row r="1124" spans="1:11">
      <c r="A1124" t="s">
        <v>1187</v>
      </c>
      <c r="B1124" s="14">
        <v>43298</v>
      </c>
      <c r="C1124" t="s">
        <v>48</v>
      </c>
      <c r="D1124" t="s">
        <v>49</v>
      </c>
      <c r="E1124">
        <v>14</v>
      </c>
      <c r="F1124">
        <v>40</v>
      </c>
      <c r="G1124">
        <v>0.06</v>
      </c>
      <c r="H1124" t="s">
        <v>65</v>
      </c>
      <c r="I1124">
        <v>560</v>
      </c>
      <c r="J1124">
        <v>34</v>
      </c>
      <c r="K1124">
        <v>526.4</v>
      </c>
    </row>
    <row r="1125" spans="1:11">
      <c r="A1125" t="s">
        <v>1188</v>
      </c>
      <c r="B1125" s="14">
        <v>43298</v>
      </c>
      <c r="C1125" t="s">
        <v>44</v>
      </c>
      <c r="D1125" t="s">
        <v>49</v>
      </c>
      <c r="E1125">
        <v>13</v>
      </c>
      <c r="F1125">
        <v>80</v>
      </c>
      <c r="G1125">
        <v>0.06</v>
      </c>
      <c r="H1125" t="s">
        <v>68</v>
      </c>
      <c r="I1125">
        <v>1040</v>
      </c>
      <c r="J1125">
        <v>62</v>
      </c>
      <c r="K1125">
        <v>977.6</v>
      </c>
    </row>
    <row r="1126" spans="1:11">
      <c r="A1126" t="s">
        <v>1189</v>
      </c>
      <c r="B1126" s="14">
        <v>43298</v>
      </c>
      <c r="C1126" t="s">
        <v>63</v>
      </c>
      <c r="D1126" t="s">
        <v>57</v>
      </c>
      <c r="E1126">
        <v>17</v>
      </c>
      <c r="F1126">
        <v>16</v>
      </c>
      <c r="G1126">
        <v>0.05</v>
      </c>
      <c r="H1126" t="s">
        <v>70</v>
      </c>
      <c r="I1126">
        <v>272</v>
      </c>
      <c r="J1126">
        <v>14</v>
      </c>
      <c r="K1126">
        <v>258.4</v>
      </c>
    </row>
    <row r="1127" spans="1:11">
      <c r="A1127" t="s">
        <v>1190</v>
      </c>
      <c r="B1127" s="14">
        <v>43298</v>
      </c>
      <c r="C1127" t="s">
        <v>52</v>
      </c>
      <c r="D1127" t="s">
        <v>57</v>
      </c>
      <c r="E1127">
        <v>12</v>
      </c>
      <c r="F1127">
        <v>230</v>
      </c>
      <c r="G1127">
        <v>0.03</v>
      </c>
      <c r="H1127" t="s">
        <v>72</v>
      </c>
      <c r="I1127">
        <v>2760</v>
      </c>
      <c r="J1127">
        <v>83</v>
      </c>
      <c r="K1127">
        <v>2677.2</v>
      </c>
    </row>
    <row r="1128" spans="1:11">
      <c r="A1128" t="s">
        <v>1191</v>
      </c>
      <c r="B1128" s="14">
        <v>43298</v>
      </c>
      <c r="C1128" t="s">
        <v>48</v>
      </c>
      <c r="D1128" t="s">
        <v>49</v>
      </c>
      <c r="E1128">
        <v>4</v>
      </c>
      <c r="F1128">
        <v>40</v>
      </c>
      <c r="G1128">
        <v>0.12</v>
      </c>
      <c r="H1128" t="s">
        <v>74</v>
      </c>
      <c r="I1128">
        <v>160</v>
      </c>
      <c r="J1128">
        <v>19</v>
      </c>
      <c r="K1128">
        <v>140.8</v>
      </c>
    </row>
    <row r="1129" spans="1:11">
      <c r="A1129" t="s">
        <v>1192</v>
      </c>
      <c r="B1129" s="14">
        <v>43298</v>
      </c>
      <c r="C1129" t="s">
        <v>63</v>
      </c>
      <c r="D1129" t="s">
        <v>45</v>
      </c>
      <c r="E1129">
        <v>20</v>
      </c>
      <c r="F1129">
        <v>16</v>
      </c>
      <c r="G1129">
        <v>0.01</v>
      </c>
      <c r="H1129" t="s">
        <v>76</v>
      </c>
      <c r="I1129">
        <v>320</v>
      </c>
      <c r="J1129">
        <v>3</v>
      </c>
      <c r="K1129">
        <v>316.8</v>
      </c>
    </row>
    <row r="1130" spans="1:11">
      <c r="A1130" t="s">
        <v>1193</v>
      </c>
      <c r="B1130" s="14">
        <v>43298</v>
      </c>
      <c r="C1130" t="s">
        <v>44</v>
      </c>
      <c r="D1130" t="s">
        <v>60</v>
      </c>
      <c r="E1130">
        <v>8</v>
      </c>
      <c r="F1130">
        <v>80</v>
      </c>
      <c r="G1130">
        <v>0.06</v>
      </c>
      <c r="H1130" t="s">
        <v>46</v>
      </c>
      <c r="I1130">
        <v>640</v>
      </c>
      <c r="J1130">
        <v>38</v>
      </c>
      <c r="K1130">
        <v>601.6</v>
      </c>
    </row>
    <row r="1131" spans="1:11">
      <c r="A1131" t="s">
        <v>1194</v>
      </c>
      <c r="B1131" s="14">
        <v>43298</v>
      </c>
      <c r="C1131" t="s">
        <v>44</v>
      </c>
      <c r="D1131" t="s">
        <v>45</v>
      </c>
      <c r="E1131">
        <v>18</v>
      </c>
      <c r="F1131">
        <v>80</v>
      </c>
      <c r="G1131">
        <v>0.02</v>
      </c>
      <c r="H1131" t="s">
        <v>50</v>
      </c>
      <c r="I1131">
        <v>1440</v>
      </c>
      <c r="J1131">
        <v>29</v>
      </c>
      <c r="K1131">
        <v>1411.2</v>
      </c>
    </row>
    <row r="1132" spans="1:11">
      <c r="A1132" t="s">
        <v>1195</v>
      </c>
      <c r="B1132" s="14">
        <v>43298</v>
      </c>
      <c r="C1132" t="s">
        <v>63</v>
      </c>
      <c r="D1132" t="s">
        <v>57</v>
      </c>
      <c r="E1132">
        <v>6</v>
      </c>
      <c r="F1132">
        <v>16</v>
      </c>
      <c r="G1132">
        <v>0.06</v>
      </c>
      <c r="H1132" t="s">
        <v>53</v>
      </c>
      <c r="I1132">
        <v>96</v>
      </c>
      <c r="J1132">
        <v>6</v>
      </c>
      <c r="K1132">
        <v>90.24</v>
      </c>
    </row>
    <row r="1133" spans="1:11">
      <c r="A1133" t="s">
        <v>1196</v>
      </c>
      <c r="B1133" s="14">
        <v>43298</v>
      </c>
      <c r="C1133" t="s">
        <v>44</v>
      </c>
      <c r="D1133" t="s">
        <v>45</v>
      </c>
      <c r="E1133">
        <v>9</v>
      </c>
      <c r="F1133">
        <v>80</v>
      </c>
      <c r="G1133">
        <v>0.04</v>
      </c>
      <c r="H1133" t="s">
        <v>55</v>
      </c>
      <c r="I1133">
        <v>720</v>
      </c>
      <c r="J1133">
        <v>29</v>
      </c>
      <c r="K1133">
        <v>691.2</v>
      </c>
    </row>
    <row r="1134" spans="1:11">
      <c r="A1134" t="s">
        <v>1197</v>
      </c>
      <c r="B1134" s="14">
        <v>43299</v>
      </c>
      <c r="C1134" t="s">
        <v>44</v>
      </c>
      <c r="D1134" t="s">
        <v>57</v>
      </c>
      <c r="E1134">
        <v>8</v>
      </c>
      <c r="F1134">
        <v>80</v>
      </c>
      <c r="G1134">
        <v>0.02</v>
      </c>
      <c r="H1134" t="s">
        <v>58</v>
      </c>
      <c r="I1134">
        <v>640</v>
      </c>
      <c r="J1134">
        <v>13</v>
      </c>
      <c r="K1134">
        <v>627.2</v>
      </c>
    </row>
    <row r="1135" spans="1:11">
      <c r="A1135" t="s">
        <v>1198</v>
      </c>
      <c r="B1135" s="14">
        <v>43299</v>
      </c>
      <c r="C1135" t="s">
        <v>67</v>
      </c>
      <c r="D1135" t="s">
        <v>60</v>
      </c>
      <c r="E1135">
        <v>6</v>
      </c>
      <c r="F1135">
        <v>150</v>
      </c>
      <c r="G1135">
        <v>0.03</v>
      </c>
      <c r="H1135" t="s">
        <v>61</v>
      </c>
      <c r="I1135">
        <v>900</v>
      </c>
      <c r="J1135">
        <v>27</v>
      </c>
      <c r="K1135">
        <v>873</v>
      </c>
    </row>
    <row r="1136" spans="1:11">
      <c r="A1136" t="s">
        <v>1199</v>
      </c>
      <c r="B1136" s="14">
        <v>43299</v>
      </c>
      <c r="C1136" t="s">
        <v>63</v>
      </c>
      <c r="D1136" t="s">
        <v>60</v>
      </c>
      <c r="E1136">
        <v>14</v>
      </c>
      <c r="F1136">
        <v>16</v>
      </c>
      <c r="G1136">
        <v>0.12</v>
      </c>
      <c r="H1136" t="s">
        <v>50</v>
      </c>
      <c r="I1136">
        <v>224</v>
      </c>
      <c r="J1136">
        <v>27</v>
      </c>
      <c r="K1136">
        <v>197.12</v>
      </c>
    </row>
    <row r="1137" spans="1:11">
      <c r="A1137" t="s">
        <v>1200</v>
      </c>
      <c r="B1137" s="14">
        <v>43299</v>
      </c>
      <c r="C1137" t="s">
        <v>44</v>
      </c>
      <c r="D1137" t="s">
        <v>57</v>
      </c>
      <c r="E1137">
        <v>6</v>
      </c>
      <c r="F1137">
        <v>80</v>
      </c>
      <c r="G1137">
        <v>0.09</v>
      </c>
      <c r="H1137" t="s">
        <v>53</v>
      </c>
      <c r="I1137">
        <v>480</v>
      </c>
      <c r="J1137">
        <v>43</v>
      </c>
      <c r="K1137">
        <v>436.8</v>
      </c>
    </row>
    <row r="1138" spans="1:11">
      <c r="A1138" t="s">
        <v>1201</v>
      </c>
      <c r="B1138" s="14">
        <v>43299</v>
      </c>
      <c r="C1138" t="s">
        <v>48</v>
      </c>
      <c r="D1138" t="s">
        <v>64</v>
      </c>
      <c r="E1138">
        <v>23</v>
      </c>
      <c r="F1138">
        <v>40</v>
      </c>
      <c r="G1138">
        <v>0.04</v>
      </c>
      <c r="H1138" t="s">
        <v>55</v>
      </c>
      <c r="I1138">
        <v>920</v>
      </c>
      <c r="J1138">
        <v>37</v>
      </c>
      <c r="K1138">
        <v>883.2</v>
      </c>
    </row>
    <row r="1139" spans="1:11">
      <c r="A1139" t="s">
        <v>1202</v>
      </c>
      <c r="B1139" s="14">
        <v>43299</v>
      </c>
      <c r="C1139" t="s">
        <v>48</v>
      </c>
      <c r="D1139" t="s">
        <v>57</v>
      </c>
      <c r="E1139">
        <v>12</v>
      </c>
      <c r="F1139">
        <v>40</v>
      </c>
      <c r="G1139">
        <v>0.02</v>
      </c>
      <c r="H1139" t="s">
        <v>58</v>
      </c>
      <c r="I1139">
        <v>480</v>
      </c>
      <c r="J1139">
        <v>10</v>
      </c>
      <c r="K1139">
        <v>470.4</v>
      </c>
    </row>
    <row r="1140" spans="1:11">
      <c r="A1140" t="s">
        <v>1203</v>
      </c>
      <c r="B1140" s="14">
        <v>43299</v>
      </c>
      <c r="C1140" t="s">
        <v>48</v>
      </c>
      <c r="D1140" t="s">
        <v>60</v>
      </c>
      <c r="E1140">
        <v>22</v>
      </c>
      <c r="F1140">
        <v>40</v>
      </c>
      <c r="G1140">
        <v>0.01</v>
      </c>
      <c r="H1140" t="s">
        <v>61</v>
      </c>
      <c r="I1140">
        <v>880</v>
      </c>
      <c r="J1140">
        <v>9</v>
      </c>
      <c r="K1140">
        <v>871.2</v>
      </c>
    </row>
    <row r="1141" spans="1:11">
      <c r="A1141" t="s">
        <v>1204</v>
      </c>
      <c r="B1141" s="14">
        <v>43299</v>
      </c>
      <c r="C1141" t="s">
        <v>67</v>
      </c>
      <c r="D1141" t="s">
        <v>60</v>
      </c>
      <c r="E1141">
        <v>6</v>
      </c>
      <c r="F1141">
        <v>150</v>
      </c>
      <c r="G1141">
        <v>0.03</v>
      </c>
      <c r="H1141" t="s">
        <v>65</v>
      </c>
      <c r="I1141">
        <v>900</v>
      </c>
      <c r="J1141">
        <v>27</v>
      </c>
      <c r="K1141">
        <v>873</v>
      </c>
    </row>
    <row r="1142" spans="1:11">
      <c r="A1142" t="s">
        <v>1205</v>
      </c>
      <c r="B1142" s="14">
        <v>43299</v>
      </c>
      <c r="C1142" t="s">
        <v>63</v>
      </c>
      <c r="D1142" t="s">
        <v>64</v>
      </c>
      <c r="E1142">
        <v>19</v>
      </c>
      <c r="F1142">
        <v>16</v>
      </c>
      <c r="G1142">
        <v>0.02</v>
      </c>
      <c r="H1142" t="s">
        <v>68</v>
      </c>
      <c r="I1142">
        <v>304</v>
      </c>
      <c r="J1142">
        <v>6</v>
      </c>
      <c r="K1142">
        <v>297.92</v>
      </c>
    </row>
    <row r="1143" spans="1:11">
      <c r="A1143" t="s">
        <v>1206</v>
      </c>
      <c r="B1143" s="14">
        <v>43299</v>
      </c>
      <c r="C1143" t="s">
        <v>48</v>
      </c>
      <c r="D1143" t="s">
        <v>57</v>
      </c>
      <c r="E1143">
        <v>2</v>
      </c>
      <c r="F1143">
        <v>40</v>
      </c>
      <c r="G1143">
        <v>0.02</v>
      </c>
      <c r="H1143" t="s">
        <v>70</v>
      </c>
      <c r="I1143">
        <v>80</v>
      </c>
      <c r="J1143">
        <v>2</v>
      </c>
      <c r="K1143">
        <v>78.4</v>
      </c>
    </row>
    <row r="1144" spans="1:11">
      <c r="A1144" t="s">
        <v>1207</v>
      </c>
      <c r="B1144" s="14">
        <v>43300</v>
      </c>
      <c r="C1144" t="s">
        <v>48</v>
      </c>
      <c r="D1144" t="s">
        <v>60</v>
      </c>
      <c r="E1144">
        <v>22</v>
      </c>
      <c r="F1144">
        <v>40</v>
      </c>
      <c r="G1144">
        <v>0.01</v>
      </c>
      <c r="H1144" t="s">
        <v>72</v>
      </c>
      <c r="I1144">
        <v>880</v>
      </c>
      <c r="J1144">
        <v>9</v>
      </c>
      <c r="K1144">
        <v>871.2</v>
      </c>
    </row>
    <row r="1145" spans="1:11">
      <c r="A1145" t="s">
        <v>1208</v>
      </c>
      <c r="B1145" s="14">
        <v>43300</v>
      </c>
      <c r="C1145" t="s">
        <v>52</v>
      </c>
      <c r="D1145" t="s">
        <v>60</v>
      </c>
      <c r="E1145">
        <v>3</v>
      </c>
      <c r="F1145">
        <v>230</v>
      </c>
      <c r="G1145">
        <v>0.01</v>
      </c>
      <c r="H1145" t="s">
        <v>74</v>
      </c>
      <c r="I1145">
        <v>690</v>
      </c>
      <c r="J1145">
        <v>7</v>
      </c>
      <c r="K1145">
        <v>683.1</v>
      </c>
    </row>
    <row r="1146" spans="1:11">
      <c r="A1146" t="s">
        <v>1209</v>
      </c>
      <c r="B1146" s="14">
        <v>43300</v>
      </c>
      <c r="C1146" t="s">
        <v>48</v>
      </c>
      <c r="D1146" t="s">
        <v>60</v>
      </c>
      <c r="E1146">
        <v>23</v>
      </c>
      <c r="F1146">
        <v>40</v>
      </c>
      <c r="G1146">
        <v>0.06</v>
      </c>
      <c r="H1146" t="s">
        <v>76</v>
      </c>
      <c r="I1146">
        <v>920</v>
      </c>
      <c r="J1146">
        <v>55</v>
      </c>
      <c r="K1146">
        <v>864.8</v>
      </c>
    </row>
    <row r="1147" spans="1:11">
      <c r="A1147" t="s">
        <v>1210</v>
      </c>
      <c r="B1147" s="14">
        <v>43300</v>
      </c>
      <c r="C1147" t="s">
        <v>48</v>
      </c>
      <c r="D1147" t="s">
        <v>64</v>
      </c>
      <c r="E1147">
        <v>5</v>
      </c>
      <c r="F1147">
        <v>40</v>
      </c>
      <c r="G1147">
        <v>0.03</v>
      </c>
      <c r="H1147" t="s">
        <v>46</v>
      </c>
      <c r="I1147">
        <v>200</v>
      </c>
      <c r="J1147">
        <v>6</v>
      </c>
      <c r="K1147">
        <v>194</v>
      </c>
    </row>
    <row r="1148" spans="1:11">
      <c r="A1148" t="s">
        <v>1211</v>
      </c>
      <c r="B1148" s="14">
        <v>43300</v>
      </c>
      <c r="C1148" t="s">
        <v>44</v>
      </c>
      <c r="D1148" t="s">
        <v>45</v>
      </c>
      <c r="E1148">
        <v>8</v>
      </c>
      <c r="F1148">
        <v>80</v>
      </c>
      <c r="G1148">
        <v>0.08</v>
      </c>
      <c r="H1148" t="s">
        <v>50</v>
      </c>
      <c r="I1148">
        <v>640</v>
      </c>
      <c r="J1148">
        <v>51</v>
      </c>
      <c r="K1148">
        <v>588.8</v>
      </c>
    </row>
    <row r="1149" spans="1:11">
      <c r="A1149" t="s">
        <v>1212</v>
      </c>
      <c r="B1149" s="14">
        <v>43300</v>
      </c>
      <c r="C1149" t="s">
        <v>48</v>
      </c>
      <c r="D1149" t="s">
        <v>57</v>
      </c>
      <c r="E1149">
        <v>18</v>
      </c>
      <c r="F1149">
        <v>40</v>
      </c>
      <c r="G1149">
        <v>0.03</v>
      </c>
      <c r="H1149" t="s">
        <v>53</v>
      </c>
      <c r="I1149">
        <v>720</v>
      </c>
      <c r="J1149">
        <v>22</v>
      </c>
      <c r="K1149">
        <v>698.4</v>
      </c>
    </row>
    <row r="1150" spans="1:11">
      <c r="A1150" t="s">
        <v>1213</v>
      </c>
      <c r="B1150" s="14">
        <v>43300</v>
      </c>
      <c r="C1150" t="s">
        <v>48</v>
      </c>
      <c r="D1150" t="s">
        <v>64</v>
      </c>
      <c r="E1150">
        <v>20</v>
      </c>
      <c r="F1150">
        <v>40</v>
      </c>
      <c r="G1150">
        <v>0.1</v>
      </c>
      <c r="H1150" t="s">
        <v>55</v>
      </c>
      <c r="I1150">
        <v>800</v>
      </c>
      <c r="J1150">
        <v>80</v>
      </c>
      <c r="K1150">
        <v>720</v>
      </c>
    </row>
    <row r="1151" spans="1:11">
      <c r="A1151" t="s">
        <v>1214</v>
      </c>
      <c r="B1151" s="14">
        <v>43300</v>
      </c>
      <c r="C1151" t="s">
        <v>48</v>
      </c>
      <c r="D1151" t="s">
        <v>57</v>
      </c>
      <c r="E1151">
        <v>2</v>
      </c>
      <c r="F1151">
        <v>40</v>
      </c>
      <c r="G1151">
        <v>0.03</v>
      </c>
      <c r="H1151" t="s">
        <v>58</v>
      </c>
      <c r="I1151">
        <v>80</v>
      </c>
      <c r="J1151">
        <v>2</v>
      </c>
      <c r="K1151">
        <v>77.6</v>
      </c>
    </row>
    <row r="1152" spans="1:11">
      <c r="A1152" t="s">
        <v>1215</v>
      </c>
      <c r="B1152" s="14">
        <v>43300</v>
      </c>
      <c r="C1152" t="s">
        <v>52</v>
      </c>
      <c r="D1152" t="s">
        <v>45</v>
      </c>
      <c r="E1152">
        <v>15</v>
      </c>
      <c r="F1152">
        <v>230</v>
      </c>
      <c r="G1152">
        <v>0.05</v>
      </c>
      <c r="H1152" t="s">
        <v>61</v>
      </c>
      <c r="I1152">
        <v>3450</v>
      </c>
      <c r="J1152">
        <v>172</v>
      </c>
      <c r="K1152">
        <v>3277.5</v>
      </c>
    </row>
    <row r="1153" spans="1:11">
      <c r="A1153" t="s">
        <v>1216</v>
      </c>
      <c r="B1153" s="14">
        <v>43300</v>
      </c>
      <c r="C1153" t="s">
        <v>67</v>
      </c>
      <c r="D1153" t="s">
        <v>60</v>
      </c>
      <c r="E1153">
        <v>15</v>
      </c>
      <c r="F1153">
        <v>150</v>
      </c>
      <c r="G1153">
        <v>0.08</v>
      </c>
      <c r="H1153" t="s">
        <v>50</v>
      </c>
      <c r="I1153">
        <v>2250</v>
      </c>
      <c r="J1153">
        <v>180</v>
      </c>
      <c r="K1153">
        <v>2070</v>
      </c>
    </row>
    <row r="1154" spans="1:11">
      <c r="A1154" t="s">
        <v>1217</v>
      </c>
      <c r="B1154" s="14">
        <v>43300</v>
      </c>
      <c r="C1154" t="s">
        <v>67</v>
      </c>
      <c r="D1154" t="s">
        <v>60</v>
      </c>
      <c r="E1154">
        <v>22</v>
      </c>
      <c r="F1154">
        <v>150</v>
      </c>
      <c r="G1154">
        <v>0.05</v>
      </c>
      <c r="H1154" t="s">
        <v>53</v>
      </c>
      <c r="I1154">
        <v>3300</v>
      </c>
      <c r="J1154">
        <v>165</v>
      </c>
      <c r="K1154">
        <v>3135</v>
      </c>
    </row>
    <row r="1155" spans="1:11">
      <c r="A1155" t="s">
        <v>1218</v>
      </c>
      <c r="B1155" s="14">
        <v>43300</v>
      </c>
      <c r="C1155" t="s">
        <v>52</v>
      </c>
      <c r="D1155" t="s">
        <v>49</v>
      </c>
      <c r="E1155">
        <v>19</v>
      </c>
      <c r="F1155">
        <v>230</v>
      </c>
      <c r="G1155">
        <v>0.11</v>
      </c>
      <c r="H1155" t="s">
        <v>55</v>
      </c>
      <c r="I1155">
        <v>4370</v>
      </c>
      <c r="J1155">
        <v>481</v>
      </c>
      <c r="K1155">
        <v>3889.3</v>
      </c>
    </row>
    <row r="1156" spans="1:11">
      <c r="A1156" t="s">
        <v>1219</v>
      </c>
      <c r="B1156" s="14">
        <v>43300</v>
      </c>
      <c r="C1156" t="s">
        <v>44</v>
      </c>
      <c r="D1156" t="s">
        <v>49</v>
      </c>
      <c r="E1156">
        <v>10</v>
      </c>
      <c r="F1156">
        <v>80</v>
      </c>
      <c r="G1156">
        <v>0.11</v>
      </c>
      <c r="H1156" t="s">
        <v>58</v>
      </c>
      <c r="I1156">
        <v>800</v>
      </c>
      <c r="J1156">
        <v>88</v>
      </c>
      <c r="K1156">
        <v>712</v>
      </c>
    </row>
    <row r="1157" spans="1:11">
      <c r="A1157" t="s">
        <v>1220</v>
      </c>
      <c r="B1157" s="14">
        <v>43300</v>
      </c>
      <c r="C1157" t="s">
        <v>48</v>
      </c>
      <c r="D1157" t="s">
        <v>60</v>
      </c>
      <c r="E1157">
        <v>18</v>
      </c>
      <c r="F1157">
        <v>40</v>
      </c>
      <c r="G1157">
        <v>0.06</v>
      </c>
      <c r="H1157" t="s">
        <v>61</v>
      </c>
      <c r="I1157">
        <v>720</v>
      </c>
      <c r="J1157">
        <v>43</v>
      </c>
      <c r="K1157">
        <v>676.8</v>
      </c>
    </row>
    <row r="1158" spans="1:11">
      <c r="A1158" t="s">
        <v>1221</v>
      </c>
      <c r="B1158" s="14">
        <v>43300</v>
      </c>
      <c r="C1158" t="s">
        <v>44</v>
      </c>
      <c r="D1158" t="s">
        <v>60</v>
      </c>
      <c r="E1158">
        <v>16</v>
      </c>
      <c r="F1158">
        <v>80</v>
      </c>
      <c r="G1158">
        <v>0.05</v>
      </c>
      <c r="H1158" t="s">
        <v>65</v>
      </c>
      <c r="I1158">
        <v>1280</v>
      </c>
      <c r="J1158">
        <v>64</v>
      </c>
      <c r="K1158">
        <v>1216</v>
      </c>
    </row>
    <row r="1159" spans="1:11">
      <c r="A1159" t="s">
        <v>1222</v>
      </c>
      <c r="B1159" s="14">
        <v>43300</v>
      </c>
      <c r="C1159" t="s">
        <v>67</v>
      </c>
      <c r="D1159" t="s">
        <v>64</v>
      </c>
      <c r="E1159">
        <v>17</v>
      </c>
      <c r="F1159">
        <v>150</v>
      </c>
      <c r="G1159">
        <v>0.02</v>
      </c>
      <c r="H1159" t="s">
        <v>68</v>
      </c>
      <c r="I1159">
        <v>2550</v>
      </c>
      <c r="J1159">
        <v>51</v>
      </c>
      <c r="K1159">
        <v>2499</v>
      </c>
    </row>
    <row r="1160" spans="1:11">
      <c r="A1160" t="s">
        <v>1223</v>
      </c>
      <c r="B1160" s="14">
        <v>43301</v>
      </c>
      <c r="C1160" t="s">
        <v>52</v>
      </c>
      <c r="D1160" t="s">
        <v>45</v>
      </c>
      <c r="E1160">
        <v>8</v>
      </c>
      <c r="F1160">
        <v>230</v>
      </c>
      <c r="G1160">
        <v>0.03</v>
      </c>
      <c r="H1160" t="s">
        <v>70</v>
      </c>
      <c r="I1160">
        <v>1840</v>
      </c>
      <c r="J1160">
        <v>55</v>
      </c>
      <c r="K1160">
        <v>1784.8</v>
      </c>
    </row>
    <row r="1161" spans="1:11">
      <c r="A1161" t="s">
        <v>1224</v>
      </c>
      <c r="B1161" s="14">
        <v>43301</v>
      </c>
      <c r="C1161" t="s">
        <v>44</v>
      </c>
      <c r="D1161" t="s">
        <v>60</v>
      </c>
      <c r="E1161">
        <v>11</v>
      </c>
      <c r="F1161">
        <v>80</v>
      </c>
      <c r="G1161">
        <v>0.01</v>
      </c>
      <c r="H1161" t="s">
        <v>72</v>
      </c>
      <c r="I1161">
        <v>880</v>
      </c>
      <c r="J1161">
        <v>9</v>
      </c>
      <c r="K1161">
        <v>871.2</v>
      </c>
    </row>
    <row r="1162" spans="1:11">
      <c r="A1162" t="s">
        <v>1225</v>
      </c>
      <c r="B1162" s="14">
        <v>43301</v>
      </c>
      <c r="C1162" t="s">
        <v>48</v>
      </c>
      <c r="D1162" t="s">
        <v>45</v>
      </c>
      <c r="E1162">
        <v>5</v>
      </c>
      <c r="F1162">
        <v>40</v>
      </c>
      <c r="G1162">
        <v>0.06</v>
      </c>
      <c r="H1162" t="s">
        <v>74</v>
      </c>
      <c r="I1162">
        <v>200</v>
      </c>
      <c r="J1162">
        <v>12</v>
      </c>
      <c r="K1162">
        <v>188</v>
      </c>
    </row>
    <row r="1163" spans="1:11">
      <c r="A1163" t="s">
        <v>1226</v>
      </c>
      <c r="B1163" s="14">
        <v>43301</v>
      </c>
      <c r="C1163" t="s">
        <v>48</v>
      </c>
      <c r="D1163" t="s">
        <v>64</v>
      </c>
      <c r="E1163">
        <v>11</v>
      </c>
      <c r="F1163">
        <v>40</v>
      </c>
      <c r="G1163">
        <v>0.05</v>
      </c>
      <c r="H1163" t="s">
        <v>76</v>
      </c>
      <c r="I1163">
        <v>440</v>
      </c>
      <c r="J1163">
        <v>22</v>
      </c>
      <c r="K1163">
        <v>418</v>
      </c>
    </row>
    <row r="1164" spans="1:11">
      <c r="A1164" t="s">
        <v>1227</v>
      </c>
      <c r="B1164" s="14">
        <v>43301</v>
      </c>
      <c r="C1164" t="s">
        <v>67</v>
      </c>
      <c r="D1164" t="s">
        <v>60</v>
      </c>
      <c r="E1164">
        <v>20</v>
      </c>
      <c r="F1164">
        <v>150</v>
      </c>
      <c r="G1164">
        <v>0.1</v>
      </c>
      <c r="H1164" t="s">
        <v>46</v>
      </c>
      <c r="I1164">
        <v>3000</v>
      </c>
      <c r="J1164">
        <v>300</v>
      </c>
      <c r="K1164">
        <v>2700</v>
      </c>
    </row>
    <row r="1165" spans="1:11">
      <c r="A1165" t="s">
        <v>1228</v>
      </c>
      <c r="B1165" s="14">
        <v>43301</v>
      </c>
      <c r="C1165" t="s">
        <v>67</v>
      </c>
      <c r="D1165" t="s">
        <v>57</v>
      </c>
      <c r="E1165">
        <v>11</v>
      </c>
      <c r="F1165">
        <v>150</v>
      </c>
      <c r="G1165">
        <v>0.11</v>
      </c>
      <c r="H1165" t="s">
        <v>50</v>
      </c>
      <c r="I1165">
        <v>1650</v>
      </c>
      <c r="J1165">
        <v>182</v>
      </c>
      <c r="K1165">
        <v>1468.5</v>
      </c>
    </row>
    <row r="1166" spans="1:11">
      <c r="A1166" t="s">
        <v>1229</v>
      </c>
      <c r="B1166" s="14">
        <v>43301</v>
      </c>
      <c r="C1166" t="s">
        <v>44</v>
      </c>
      <c r="D1166" t="s">
        <v>60</v>
      </c>
      <c r="E1166">
        <v>2</v>
      </c>
      <c r="F1166">
        <v>80</v>
      </c>
      <c r="G1166">
        <v>0.08</v>
      </c>
      <c r="H1166" t="s">
        <v>53</v>
      </c>
      <c r="I1166">
        <v>160</v>
      </c>
      <c r="J1166">
        <v>13</v>
      </c>
      <c r="K1166">
        <v>147.2</v>
      </c>
    </row>
    <row r="1167" spans="1:11">
      <c r="A1167" t="s">
        <v>1230</v>
      </c>
      <c r="B1167" s="14">
        <v>43301</v>
      </c>
      <c r="C1167" t="s">
        <v>67</v>
      </c>
      <c r="D1167" t="s">
        <v>49</v>
      </c>
      <c r="E1167">
        <v>16</v>
      </c>
      <c r="F1167">
        <v>150</v>
      </c>
      <c r="G1167">
        <v>0.08</v>
      </c>
      <c r="H1167" t="s">
        <v>55</v>
      </c>
      <c r="I1167">
        <v>2400</v>
      </c>
      <c r="J1167">
        <v>192</v>
      </c>
      <c r="K1167">
        <v>2208</v>
      </c>
    </row>
    <row r="1168" spans="1:11">
      <c r="A1168" t="s">
        <v>1231</v>
      </c>
      <c r="B1168" s="14">
        <v>43301</v>
      </c>
      <c r="C1168" t="s">
        <v>63</v>
      </c>
      <c r="D1168" t="s">
        <v>45</v>
      </c>
      <c r="E1168">
        <v>20</v>
      </c>
      <c r="F1168">
        <v>16</v>
      </c>
      <c r="G1168">
        <v>0.11</v>
      </c>
      <c r="H1168" t="s">
        <v>58</v>
      </c>
      <c r="I1168">
        <v>320</v>
      </c>
      <c r="J1168">
        <v>35</v>
      </c>
      <c r="K1168">
        <v>284.8</v>
      </c>
    </row>
    <row r="1169" spans="1:11">
      <c r="A1169" t="s">
        <v>1232</v>
      </c>
      <c r="B1169" s="14">
        <v>43301</v>
      </c>
      <c r="C1169" t="s">
        <v>52</v>
      </c>
      <c r="D1169" t="s">
        <v>57</v>
      </c>
      <c r="E1169">
        <v>2</v>
      </c>
      <c r="F1169">
        <v>230</v>
      </c>
      <c r="G1169">
        <v>0.09</v>
      </c>
      <c r="H1169" t="s">
        <v>61</v>
      </c>
      <c r="I1169">
        <v>460</v>
      </c>
      <c r="J1169">
        <v>41</v>
      </c>
      <c r="K1169">
        <v>418.6</v>
      </c>
    </row>
    <row r="1170" spans="1:11">
      <c r="A1170" t="s">
        <v>1233</v>
      </c>
      <c r="B1170" s="14">
        <v>43301</v>
      </c>
      <c r="C1170" t="s">
        <v>67</v>
      </c>
      <c r="D1170" t="s">
        <v>45</v>
      </c>
      <c r="E1170">
        <v>20</v>
      </c>
      <c r="F1170">
        <v>150</v>
      </c>
      <c r="G1170">
        <v>0.04</v>
      </c>
      <c r="H1170" t="s">
        <v>50</v>
      </c>
      <c r="I1170">
        <v>3000</v>
      </c>
      <c r="J1170">
        <v>120</v>
      </c>
      <c r="K1170">
        <v>2880</v>
      </c>
    </row>
    <row r="1171" spans="1:11">
      <c r="A1171" t="s">
        <v>1234</v>
      </c>
      <c r="B1171" s="14">
        <v>43301</v>
      </c>
      <c r="C1171" t="s">
        <v>67</v>
      </c>
      <c r="D1171" t="s">
        <v>45</v>
      </c>
      <c r="E1171">
        <v>22</v>
      </c>
      <c r="F1171">
        <v>150</v>
      </c>
      <c r="G1171">
        <v>0.07</v>
      </c>
      <c r="H1171" t="s">
        <v>53</v>
      </c>
      <c r="I1171">
        <v>3300</v>
      </c>
      <c r="J1171">
        <v>231</v>
      </c>
      <c r="K1171">
        <v>3069</v>
      </c>
    </row>
    <row r="1172" spans="1:11">
      <c r="A1172" t="s">
        <v>1235</v>
      </c>
      <c r="B1172" s="14">
        <v>43301</v>
      </c>
      <c r="C1172" t="s">
        <v>67</v>
      </c>
      <c r="D1172" t="s">
        <v>57</v>
      </c>
      <c r="E1172">
        <v>22</v>
      </c>
      <c r="F1172">
        <v>150</v>
      </c>
      <c r="G1172">
        <v>0.04</v>
      </c>
      <c r="H1172" t="s">
        <v>55</v>
      </c>
      <c r="I1172">
        <v>3300</v>
      </c>
      <c r="J1172">
        <v>132</v>
      </c>
      <c r="K1172">
        <v>3168</v>
      </c>
    </row>
    <row r="1173" spans="1:11">
      <c r="A1173" t="s">
        <v>1236</v>
      </c>
      <c r="B1173" s="14">
        <v>43301</v>
      </c>
      <c r="C1173" t="s">
        <v>48</v>
      </c>
      <c r="D1173" t="s">
        <v>45</v>
      </c>
      <c r="E1173">
        <v>23</v>
      </c>
      <c r="F1173">
        <v>40</v>
      </c>
      <c r="G1173">
        <v>0.07</v>
      </c>
      <c r="H1173" t="s">
        <v>58</v>
      </c>
      <c r="I1173">
        <v>920</v>
      </c>
      <c r="J1173">
        <v>64</v>
      </c>
      <c r="K1173">
        <v>855.6</v>
      </c>
    </row>
    <row r="1174" spans="1:11">
      <c r="A1174" t="s">
        <v>1237</v>
      </c>
      <c r="B1174" s="14">
        <v>43302</v>
      </c>
      <c r="C1174" t="s">
        <v>63</v>
      </c>
      <c r="D1174" t="s">
        <v>57</v>
      </c>
      <c r="E1174">
        <v>11</v>
      </c>
      <c r="F1174">
        <v>16</v>
      </c>
      <c r="G1174">
        <v>0.04</v>
      </c>
      <c r="H1174" t="s">
        <v>61</v>
      </c>
      <c r="I1174">
        <v>176</v>
      </c>
      <c r="J1174">
        <v>7</v>
      </c>
      <c r="K1174">
        <v>168.96</v>
      </c>
    </row>
    <row r="1175" spans="1:11">
      <c r="A1175" t="s">
        <v>1238</v>
      </c>
      <c r="B1175" s="14">
        <v>43302</v>
      </c>
      <c r="C1175" t="s">
        <v>52</v>
      </c>
      <c r="D1175" t="s">
        <v>49</v>
      </c>
      <c r="E1175">
        <v>11</v>
      </c>
      <c r="F1175">
        <v>230</v>
      </c>
      <c r="G1175">
        <v>0.1</v>
      </c>
      <c r="H1175" t="s">
        <v>65</v>
      </c>
      <c r="I1175">
        <v>2530</v>
      </c>
      <c r="J1175">
        <v>253</v>
      </c>
      <c r="K1175">
        <v>2277</v>
      </c>
    </row>
    <row r="1176" spans="1:11">
      <c r="A1176" t="s">
        <v>1239</v>
      </c>
      <c r="B1176" s="14">
        <v>43302</v>
      </c>
      <c r="C1176" t="s">
        <v>52</v>
      </c>
      <c r="D1176" t="s">
        <v>45</v>
      </c>
      <c r="E1176">
        <v>7</v>
      </c>
      <c r="F1176">
        <v>230</v>
      </c>
      <c r="G1176">
        <v>0.08</v>
      </c>
      <c r="H1176" t="s">
        <v>68</v>
      </c>
      <c r="I1176">
        <v>1610</v>
      </c>
      <c r="J1176">
        <v>129</v>
      </c>
      <c r="K1176">
        <v>1481.2</v>
      </c>
    </row>
    <row r="1177" spans="1:11">
      <c r="A1177" t="s">
        <v>1240</v>
      </c>
      <c r="B1177" s="14">
        <v>43302</v>
      </c>
      <c r="C1177" t="s">
        <v>52</v>
      </c>
      <c r="D1177" t="s">
        <v>60</v>
      </c>
      <c r="E1177">
        <v>16</v>
      </c>
      <c r="F1177">
        <v>230</v>
      </c>
      <c r="G1177">
        <v>0.11</v>
      </c>
      <c r="H1177" t="s">
        <v>72</v>
      </c>
      <c r="I1177">
        <v>3680</v>
      </c>
      <c r="J1177">
        <v>405</v>
      </c>
      <c r="K1177">
        <v>3275.2</v>
      </c>
    </row>
    <row r="1178" spans="1:11">
      <c r="A1178" t="s">
        <v>1241</v>
      </c>
      <c r="B1178" s="14">
        <v>43302</v>
      </c>
      <c r="C1178" t="s">
        <v>52</v>
      </c>
      <c r="D1178" t="s">
        <v>64</v>
      </c>
      <c r="E1178">
        <v>20</v>
      </c>
      <c r="F1178">
        <v>230</v>
      </c>
      <c r="G1178">
        <v>0.09</v>
      </c>
      <c r="H1178" t="s">
        <v>74</v>
      </c>
      <c r="I1178">
        <v>4600</v>
      </c>
      <c r="J1178">
        <v>414</v>
      </c>
      <c r="K1178">
        <v>4186</v>
      </c>
    </row>
    <row r="1179" spans="1:11">
      <c r="A1179" t="s">
        <v>1242</v>
      </c>
      <c r="B1179" s="14">
        <v>43302</v>
      </c>
      <c r="C1179" t="s">
        <v>48</v>
      </c>
      <c r="D1179" t="s">
        <v>57</v>
      </c>
      <c r="E1179">
        <v>20</v>
      </c>
      <c r="F1179">
        <v>40</v>
      </c>
      <c r="G1179">
        <v>0.01</v>
      </c>
      <c r="H1179" t="s">
        <v>76</v>
      </c>
      <c r="I1179">
        <v>800</v>
      </c>
      <c r="J1179">
        <v>8</v>
      </c>
      <c r="K1179">
        <v>792</v>
      </c>
    </row>
    <row r="1180" spans="1:11">
      <c r="A1180" t="s">
        <v>1243</v>
      </c>
      <c r="B1180" s="14">
        <v>43302</v>
      </c>
      <c r="C1180" t="s">
        <v>44</v>
      </c>
      <c r="D1180" t="s">
        <v>45</v>
      </c>
      <c r="E1180">
        <v>20</v>
      </c>
      <c r="F1180">
        <v>80</v>
      </c>
      <c r="G1180">
        <v>0.01</v>
      </c>
      <c r="H1180" t="s">
        <v>46</v>
      </c>
      <c r="I1180">
        <v>1600</v>
      </c>
      <c r="J1180">
        <v>16</v>
      </c>
      <c r="K1180">
        <v>1584</v>
      </c>
    </row>
    <row r="1181" spans="1:11">
      <c r="A1181" t="s">
        <v>1244</v>
      </c>
      <c r="B1181" s="14">
        <v>43302</v>
      </c>
      <c r="C1181" t="s">
        <v>67</v>
      </c>
      <c r="D1181" t="s">
        <v>45</v>
      </c>
      <c r="E1181">
        <v>5</v>
      </c>
      <c r="F1181">
        <v>150</v>
      </c>
      <c r="G1181">
        <v>0.11</v>
      </c>
      <c r="H1181" t="s">
        <v>50</v>
      </c>
      <c r="I1181">
        <v>750</v>
      </c>
      <c r="J1181">
        <v>82</v>
      </c>
      <c r="K1181">
        <v>667.5</v>
      </c>
    </row>
    <row r="1182" spans="1:11">
      <c r="A1182" t="s">
        <v>1245</v>
      </c>
      <c r="B1182" s="14">
        <v>43303</v>
      </c>
      <c r="C1182" t="s">
        <v>48</v>
      </c>
      <c r="D1182" t="s">
        <v>57</v>
      </c>
      <c r="E1182">
        <v>4</v>
      </c>
      <c r="F1182">
        <v>40</v>
      </c>
      <c r="G1182">
        <v>0.11</v>
      </c>
      <c r="H1182" t="s">
        <v>53</v>
      </c>
      <c r="I1182">
        <v>160</v>
      </c>
      <c r="J1182">
        <v>18</v>
      </c>
      <c r="K1182">
        <v>142.4</v>
      </c>
    </row>
    <row r="1183" spans="1:11">
      <c r="A1183" t="s">
        <v>1246</v>
      </c>
      <c r="B1183" s="14">
        <v>43303</v>
      </c>
      <c r="C1183" t="s">
        <v>63</v>
      </c>
      <c r="D1183" t="s">
        <v>45</v>
      </c>
      <c r="E1183">
        <v>7</v>
      </c>
      <c r="F1183">
        <v>16</v>
      </c>
      <c r="G1183">
        <v>0.12</v>
      </c>
      <c r="H1183" t="s">
        <v>55</v>
      </c>
      <c r="I1183">
        <v>112</v>
      </c>
      <c r="J1183">
        <v>13</v>
      </c>
      <c r="K1183">
        <v>98.56</v>
      </c>
    </row>
    <row r="1184" spans="1:11">
      <c r="A1184" t="s">
        <v>1247</v>
      </c>
      <c r="B1184" s="14">
        <v>43303</v>
      </c>
      <c r="C1184" t="s">
        <v>63</v>
      </c>
      <c r="D1184" t="s">
        <v>49</v>
      </c>
      <c r="E1184">
        <v>22</v>
      </c>
      <c r="F1184">
        <v>16</v>
      </c>
      <c r="G1184">
        <v>0.01</v>
      </c>
      <c r="H1184" t="s">
        <v>58</v>
      </c>
      <c r="I1184">
        <v>352</v>
      </c>
      <c r="J1184">
        <v>4</v>
      </c>
      <c r="K1184">
        <v>348.48</v>
      </c>
    </row>
    <row r="1185" spans="1:11">
      <c r="A1185" t="s">
        <v>1248</v>
      </c>
      <c r="B1185" s="14">
        <v>43303</v>
      </c>
      <c r="C1185" t="s">
        <v>48</v>
      </c>
      <c r="D1185" t="s">
        <v>60</v>
      </c>
      <c r="E1185">
        <v>15</v>
      </c>
      <c r="F1185">
        <v>40</v>
      </c>
      <c r="G1185">
        <v>0.03</v>
      </c>
      <c r="H1185" t="s">
        <v>61</v>
      </c>
      <c r="I1185">
        <v>600</v>
      </c>
      <c r="J1185">
        <v>18</v>
      </c>
      <c r="K1185">
        <v>582</v>
      </c>
    </row>
    <row r="1186" spans="1:11">
      <c r="A1186" t="s">
        <v>1249</v>
      </c>
      <c r="B1186" s="14">
        <v>43303</v>
      </c>
      <c r="C1186" t="s">
        <v>44</v>
      </c>
      <c r="D1186" t="s">
        <v>49</v>
      </c>
      <c r="E1186">
        <v>14</v>
      </c>
      <c r="F1186">
        <v>80</v>
      </c>
      <c r="G1186">
        <v>0.11</v>
      </c>
      <c r="H1186" t="s">
        <v>50</v>
      </c>
      <c r="I1186">
        <v>1120</v>
      </c>
      <c r="J1186">
        <v>123</v>
      </c>
      <c r="K1186">
        <v>996.8</v>
      </c>
    </row>
    <row r="1187" spans="1:11">
      <c r="A1187" t="s">
        <v>1250</v>
      </c>
      <c r="B1187" s="14">
        <v>43303</v>
      </c>
      <c r="C1187" t="s">
        <v>63</v>
      </c>
      <c r="D1187" t="s">
        <v>49</v>
      </c>
      <c r="E1187">
        <v>15</v>
      </c>
      <c r="F1187">
        <v>16</v>
      </c>
      <c r="G1187">
        <v>0.02</v>
      </c>
      <c r="H1187" t="s">
        <v>53</v>
      </c>
      <c r="I1187">
        <v>240</v>
      </c>
      <c r="J1187">
        <v>5</v>
      </c>
      <c r="K1187">
        <v>235.2</v>
      </c>
    </row>
    <row r="1188" spans="1:11">
      <c r="A1188" t="s">
        <v>1251</v>
      </c>
      <c r="B1188" s="14">
        <v>43304</v>
      </c>
      <c r="C1188" t="s">
        <v>44</v>
      </c>
      <c r="D1188" t="s">
        <v>60</v>
      </c>
      <c r="E1188">
        <v>19</v>
      </c>
      <c r="F1188">
        <v>80</v>
      </c>
      <c r="G1188">
        <v>0.02</v>
      </c>
      <c r="H1188" t="s">
        <v>55</v>
      </c>
      <c r="I1188">
        <v>1520</v>
      </c>
      <c r="J1188">
        <v>30</v>
      </c>
      <c r="K1188">
        <v>1489.6</v>
      </c>
    </row>
    <row r="1189" spans="1:11">
      <c r="A1189" t="s">
        <v>1252</v>
      </c>
      <c r="B1189" s="14">
        <v>43304</v>
      </c>
      <c r="C1189" t="s">
        <v>48</v>
      </c>
      <c r="D1189" t="s">
        <v>64</v>
      </c>
      <c r="E1189">
        <v>20</v>
      </c>
      <c r="F1189">
        <v>40</v>
      </c>
      <c r="G1189">
        <v>0.05</v>
      </c>
      <c r="H1189" t="s">
        <v>58</v>
      </c>
      <c r="I1189">
        <v>800</v>
      </c>
      <c r="J1189">
        <v>40</v>
      </c>
      <c r="K1189">
        <v>760</v>
      </c>
    </row>
    <row r="1190" spans="1:11">
      <c r="A1190" t="s">
        <v>1253</v>
      </c>
      <c r="B1190" s="14">
        <v>43304</v>
      </c>
      <c r="C1190" t="s">
        <v>48</v>
      </c>
      <c r="D1190" t="s">
        <v>60</v>
      </c>
      <c r="E1190">
        <v>11</v>
      </c>
      <c r="F1190">
        <v>40</v>
      </c>
      <c r="G1190">
        <v>0.06</v>
      </c>
      <c r="H1190" t="s">
        <v>61</v>
      </c>
      <c r="I1190">
        <v>440</v>
      </c>
      <c r="J1190">
        <v>26</v>
      </c>
      <c r="K1190">
        <v>413.6</v>
      </c>
    </row>
    <row r="1191" spans="1:11">
      <c r="A1191" t="s">
        <v>1254</v>
      </c>
      <c r="B1191" s="14">
        <v>43304</v>
      </c>
      <c r="C1191" t="s">
        <v>67</v>
      </c>
      <c r="D1191" t="s">
        <v>57</v>
      </c>
      <c r="E1191">
        <v>11</v>
      </c>
      <c r="F1191">
        <v>150</v>
      </c>
      <c r="G1191">
        <v>0.05</v>
      </c>
      <c r="H1191" t="s">
        <v>65</v>
      </c>
      <c r="I1191">
        <v>1650</v>
      </c>
      <c r="J1191">
        <v>82</v>
      </c>
      <c r="K1191">
        <v>1567.5</v>
      </c>
    </row>
    <row r="1192" spans="1:11">
      <c r="A1192" t="s">
        <v>1255</v>
      </c>
      <c r="B1192" s="14">
        <v>43304</v>
      </c>
      <c r="C1192" t="s">
        <v>44</v>
      </c>
      <c r="D1192" t="s">
        <v>60</v>
      </c>
      <c r="E1192">
        <v>23</v>
      </c>
      <c r="F1192">
        <v>80</v>
      </c>
      <c r="G1192">
        <v>0.11</v>
      </c>
      <c r="H1192" t="s">
        <v>68</v>
      </c>
      <c r="I1192">
        <v>1840</v>
      </c>
      <c r="J1192">
        <v>202</v>
      </c>
      <c r="K1192">
        <v>1637.6</v>
      </c>
    </row>
    <row r="1193" spans="1:11">
      <c r="A1193" t="s">
        <v>1256</v>
      </c>
      <c r="B1193" s="14">
        <v>43304</v>
      </c>
      <c r="C1193" t="s">
        <v>44</v>
      </c>
      <c r="D1193" t="s">
        <v>45</v>
      </c>
      <c r="E1193">
        <v>8</v>
      </c>
      <c r="F1193">
        <v>80</v>
      </c>
      <c r="G1193">
        <v>0.09</v>
      </c>
      <c r="H1193" t="s">
        <v>70</v>
      </c>
      <c r="I1193">
        <v>640</v>
      </c>
      <c r="J1193">
        <v>58</v>
      </c>
      <c r="K1193">
        <v>582.4</v>
      </c>
    </row>
    <row r="1194" spans="1:11">
      <c r="A1194" t="s">
        <v>1257</v>
      </c>
      <c r="B1194" s="14">
        <v>43304</v>
      </c>
      <c r="C1194" t="s">
        <v>48</v>
      </c>
      <c r="D1194" t="s">
        <v>60</v>
      </c>
      <c r="E1194">
        <v>9</v>
      </c>
      <c r="F1194">
        <v>40</v>
      </c>
      <c r="G1194">
        <v>0.06</v>
      </c>
      <c r="H1194" t="s">
        <v>72</v>
      </c>
      <c r="I1194">
        <v>360</v>
      </c>
      <c r="J1194">
        <v>22</v>
      </c>
      <c r="K1194">
        <v>338.4</v>
      </c>
    </row>
    <row r="1195" spans="1:11">
      <c r="A1195" t="s">
        <v>1258</v>
      </c>
      <c r="B1195" s="14">
        <v>43304</v>
      </c>
      <c r="C1195" t="s">
        <v>52</v>
      </c>
      <c r="D1195" t="s">
        <v>64</v>
      </c>
      <c r="E1195">
        <v>13</v>
      </c>
      <c r="F1195">
        <v>230</v>
      </c>
      <c r="G1195">
        <v>0.06</v>
      </c>
      <c r="H1195" t="s">
        <v>74</v>
      </c>
      <c r="I1195">
        <v>2990</v>
      </c>
      <c r="J1195">
        <v>179</v>
      </c>
      <c r="K1195">
        <v>2810.6</v>
      </c>
    </row>
    <row r="1196" spans="1:11">
      <c r="A1196" t="s">
        <v>1259</v>
      </c>
      <c r="B1196" s="14">
        <v>43304</v>
      </c>
      <c r="C1196" t="s">
        <v>48</v>
      </c>
      <c r="D1196" t="s">
        <v>60</v>
      </c>
      <c r="E1196">
        <v>22</v>
      </c>
      <c r="F1196">
        <v>40</v>
      </c>
      <c r="G1196">
        <v>0.01</v>
      </c>
      <c r="H1196" t="s">
        <v>76</v>
      </c>
      <c r="I1196">
        <v>880</v>
      </c>
      <c r="J1196">
        <v>9</v>
      </c>
      <c r="K1196">
        <v>871.2</v>
      </c>
    </row>
    <row r="1197" spans="1:11">
      <c r="A1197" t="s">
        <v>1260</v>
      </c>
      <c r="B1197" s="14">
        <v>43304</v>
      </c>
      <c r="C1197" t="s">
        <v>63</v>
      </c>
      <c r="D1197" t="s">
        <v>64</v>
      </c>
      <c r="E1197">
        <v>14</v>
      </c>
      <c r="F1197">
        <v>16</v>
      </c>
      <c r="G1197">
        <v>0.06</v>
      </c>
      <c r="H1197" t="s">
        <v>46</v>
      </c>
      <c r="I1197">
        <v>224</v>
      </c>
      <c r="J1197">
        <v>13</v>
      </c>
      <c r="K1197">
        <v>210.56</v>
      </c>
    </row>
    <row r="1198" spans="1:11">
      <c r="A1198" t="s">
        <v>1261</v>
      </c>
      <c r="B1198" s="14">
        <v>43305</v>
      </c>
      <c r="C1198" t="s">
        <v>44</v>
      </c>
      <c r="D1198" t="s">
        <v>49</v>
      </c>
      <c r="E1198">
        <v>5</v>
      </c>
      <c r="F1198">
        <v>80</v>
      </c>
      <c r="G1198">
        <v>0.04</v>
      </c>
      <c r="H1198" t="s">
        <v>50</v>
      </c>
      <c r="I1198">
        <v>400</v>
      </c>
      <c r="J1198">
        <v>16</v>
      </c>
      <c r="K1198">
        <v>384</v>
      </c>
    </row>
    <row r="1199" spans="1:11">
      <c r="A1199" t="s">
        <v>1262</v>
      </c>
      <c r="B1199" s="14">
        <v>43305</v>
      </c>
      <c r="C1199" t="s">
        <v>67</v>
      </c>
      <c r="D1199" t="s">
        <v>64</v>
      </c>
      <c r="E1199">
        <v>18</v>
      </c>
      <c r="F1199">
        <v>150</v>
      </c>
      <c r="G1199">
        <v>0.12</v>
      </c>
      <c r="H1199" t="s">
        <v>53</v>
      </c>
      <c r="I1199">
        <v>2700</v>
      </c>
      <c r="J1199">
        <v>324</v>
      </c>
      <c r="K1199">
        <v>2376</v>
      </c>
    </row>
    <row r="1200" spans="1:11">
      <c r="A1200" t="s">
        <v>1263</v>
      </c>
      <c r="B1200" s="14">
        <v>43305</v>
      </c>
      <c r="C1200" t="s">
        <v>52</v>
      </c>
      <c r="D1200" t="s">
        <v>57</v>
      </c>
      <c r="E1200">
        <v>14</v>
      </c>
      <c r="F1200">
        <v>230</v>
      </c>
      <c r="G1200">
        <v>0.12</v>
      </c>
      <c r="H1200" t="s">
        <v>55</v>
      </c>
      <c r="I1200">
        <v>3220</v>
      </c>
      <c r="J1200">
        <v>386</v>
      </c>
      <c r="K1200">
        <v>2833.6</v>
      </c>
    </row>
    <row r="1201" spans="1:11">
      <c r="A1201" t="s">
        <v>1264</v>
      </c>
      <c r="B1201" s="14">
        <v>43305</v>
      </c>
      <c r="C1201" t="s">
        <v>52</v>
      </c>
      <c r="D1201" t="s">
        <v>64</v>
      </c>
      <c r="E1201">
        <v>20</v>
      </c>
      <c r="F1201">
        <v>230</v>
      </c>
      <c r="G1201">
        <v>0.11</v>
      </c>
      <c r="H1201" t="s">
        <v>58</v>
      </c>
      <c r="I1201">
        <v>4600</v>
      </c>
      <c r="J1201">
        <v>506</v>
      </c>
      <c r="K1201">
        <v>4094</v>
      </c>
    </row>
    <row r="1202" spans="1:11">
      <c r="A1202" t="s">
        <v>1265</v>
      </c>
      <c r="B1202" s="14">
        <v>43305</v>
      </c>
      <c r="C1202" t="s">
        <v>63</v>
      </c>
      <c r="D1202" t="s">
        <v>64</v>
      </c>
      <c r="E1202">
        <v>3</v>
      </c>
      <c r="F1202">
        <v>16</v>
      </c>
      <c r="G1202">
        <v>0.03</v>
      </c>
      <c r="H1202" t="s">
        <v>61</v>
      </c>
      <c r="I1202">
        <v>48</v>
      </c>
      <c r="J1202">
        <v>1</v>
      </c>
      <c r="K1202">
        <v>46.56</v>
      </c>
    </row>
    <row r="1203" spans="1:11">
      <c r="A1203" t="s">
        <v>1266</v>
      </c>
      <c r="B1203" s="14">
        <v>43305</v>
      </c>
      <c r="C1203" t="s">
        <v>52</v>
      </c>
      <c r="D1203" t="s">
        <v>57</v>
      </c>
      <c r="E1203">
        <v>20</v>
      </c>
      <c r="F1203">
        <v>230</v>
      </c>
      <c r="G1203">
        <v>0.06</v>
      </c>
      <c r="H1203" t="s">
        <v>50</v>
      </c>
      <c r="I1203">
        <v>4600</v>
      </c>
      <c r="J1203">
        <v>276</v>
      </c>
      <c r="K1203">
        <v>4324</v>
      </c>
    </row>
    <row r="1204" spans="1:11">
      <c r="A1204" t="s">
        <v>1267</v>
      </c>
      <c r="B1204" s="14">
        <v>43305</v>
      </c>
      <c r="C1204" t="s">
        <v>44</v>
      </c>
      <c r="D1204" t="s">
        <v>64</v>
      </c>
      <c r="E1204">
        <v>9</v>
      </c>
      <c r="F1204">
        <v>80</v>
      </c>
      <c r="G1204">
        <v>0.02</v>
      </c>
      <c r="H1204" t="s">
        <v>53</v>
      </c>
      <c r="I1204">
        <v>720</v>
      </c>
      <c r="J1204">
        <v>14</v>
      </c>
      <c r="K1204">
        <v>705.6</v>
      </c>
    </row>
    <row r="1205" spans="1:11">
      <c r="A1205" t="s">
        <v>1268</v>
      </c>
      <c r="B1205" s="14">
        <v>43305</v>
      </c>
      <c r="C1205" t="s">
        <v>63</v>
      </c>
      <c r="D1205" t="s">
        <v>60</v>
      </c>
      <c r="E1205">
        <v>22</v>
      </c>
      <c r="F1205">
        <v>16</v>
      </c>
      <c r="G1205">
        <v>0.03</v>
      </c>
      <c r="H1205" t="s">
        <v>55</v>
      </c>
      <c r="I1205">
        <v>352</v>
      </c>
      <c r="J1205">
        <v>11</v>
      </c>
      <c r="K1205">
        <v>341.44</v>
      </c>
    </row>
    <row r="1206" spans="1:11">
      <c r="A1206" t="s">
        <v>1269</v>
      </c>
      <c r="B1206" s="14">
        <v>43305</v>
      </c>
      <c r="C1206" t="s">
        <v>44</v>
      </c>
      <c r="D1206" t="s">
        <v>49</v>
      </c>
      <c r="E1206">
        <v>15</v>
      </c>
      <c r="F1206">
        <v>80</v>
      </c>
      <c r="G1206">
        <v>0.12</v>
      </c>
      <c r="H1206" t="s">
        <v>58</v>
      </c>
      <c r="I1206">
        <v>1200</v>
      </c>
      <c r="J1206">
        <v>144</v>
      </c>
      <c r="K1206">
        <v>1056</v>
      </c>
    </row>
    <row r="1207" spans="1:11">
      <c r="A1207" t="s">
        <v>1270</v>
      </c>
      <c r="B1207" s="14">
        <v>43305</v>
      </c>
      <c r="C1207" t="s">
        <v>67</v>
      </c>
      <c r="D1207" t="s">
        <v>45</v>
      </c>
      <c r="E1207">
        <v>11</v>
      </c>
      <c r="F1207">
        <v>150</v>
      </c>
      <c r="G1207">
        <v>0.05</v>
      </c>
      <c r="H1207" t="s">
        <v>61</v>
      </c>
      <c r="I1207">
        <v>1650</v>
      </c>
      <c r="J1207">
        <v>82</v>
      </c>
      <c r="K1207">
        <v>1567.5</v>
      </c>
    </row>
    <row r="1208" spans="1:11">
      <c r="A1208" t="s">
        <v>1271</v>
      </c>
      <c r="B1208" s="14">
        <v>43305</v>
      </c>
      <c r="C1208" t="s">
        <v>52</v>
      </c>
      <c r="D1208" t="s">
        <v>60</v>
      </c>
      <c r="E1208">
        <v>11</v>
      </c>
      <c r="F1208">
        <v>230</v>
      </c>
      <c r="G1208">
        <v>0.12</v>
      </c>
      <c r="H1208" t="s">
        <v>65</v>
      </c>
      <c r="I1208">
        <v>2530</v>
      </c>
      <c r="J1208">
        <v>304</v>
      </c>
      <c r="K1208">
        <v>2226.4</v>
      </c>
    </row>
    <row r="1209" spans="1:11">
      <c r="A1209" t="s">
        <v>1272</v>
      </c>
      <c r="B1209" s="14">
        <v>43305</v>
      </c>
      <c r="C1209" t="s">
        <v>67</v>
      </c>
      <c r="D1209" t="s">
        <v>45</v>
      </c>
      <c r="E1209">
        <v>20</v>
      </c>
      <c r="F1209">
        <v>150</v>
      </c>
      <c r="G1209">
        <v>0.01</v>
      </c>
      <c r="H1209" t="s">
        <v>68</v>
      </c>
      <c r="I1209">
        <v>3000</v>
      </c>
      <c r="J1209">
        <v>30</v>
      </c>
      <c r="K1209">
        <v>2970</v>
      </c>
    </row>
    <row r="1210" spans="1:11">
      <c r="A1210" t="s">
        <v>1273</v>
      </c>
      <c r="B1210" s="14">
        <v>43305</v>
      </c>
      <c r="C1210" t="s">
        <v>48</v>
      </c>
      <c r="D1210" t="s">
        <v>57</v>
      </c>
      <c r="E1210">
        <v>11</v>
      </c>
      <c r="F1210">
        <v>40</v>
      </c>
      <c r="G1210">
        <v>0.12</v>
      </c>
      <c r="H1210" t="s">
        <v>70</v>
      </c>
      <c r="I1210">
        <v>440</v>
      </c>
      <c r="J1210">
        <v>53</v>
      </c>
      <c r="K1210">
        <v>387.2</v>
      </c>
    </row>
    <row r="1211" spans="1:11">
      <c r="A1211" t="s">
        <v>1274</v>
      </c>
      <c r="B1211" s="14">
        <v>43306</v>
      </c>
      <c r="C1211" t="s">
        <v>52</v>
      </c>
      <c r="D1211" t="s">
        <v>57</v>
      </c>
      <c r="E1211">
        <v>12</v>
      </c>
      <c r="F1211">
        <v>230</v>
      </c>
      <c r="G1211">
        <v>0.06</v>
      </c>
      <c r="H1211" t="s">
        <v>72</v>
      </c>
      <c r="I1211">
        <v>2760</v>
      </c>
      <c r="J1211">
        <v>166</v>
      </c>
      <c r="K1211">
        <v>2594.4</v>
      </c>
    </row>
    <row r="1212" spans="1:11">
      <c r="A1212" t="s">
        <v>1275</v>
      </c>
      <c r="B1212" s="14">
        <v>43306</v>
      </c>
      <c r="C1212" t="s">
        <v>48</v>
      </c>
      <c r="D1212" t="s">
        <v>45</v>
      </c>
      <c r="E1212">
        <v>15</v>
      </c>
      <c r="F1212">
        <v>40</v>
      </c>
      <c r="G1212">
        <v>0.06</v>
      </c>
      <c r="H1212" t="s">
        <v>74</v>
      </c>
      <c r="I1212">
        <v>600</v>
      </c>
      <c r="J1212">
        <v>36</v>
      </c>
      <c r="K1212">
        <v>564</v>
      </c>
    </row>
    <row r="1213" spans="1:11">
      <c r="A1213" t="s">
        <v>1276</v>
      </c>
      <c r="B1213" s="14">
        <v>43306</v>
      </c>
      <c r="C1213" t="s">
        <v>48</v>
      </c>
      <c r="D1213" t="s">
        <v>60</v>
      </c>
      <c r="E1213">
        <v>13</v>
      </c>
      <c r="F1213">
        <v>40</v>
      </c>
      <c r="G1213">
        <v>0.09</v>
      </c>
      <c r="H1213" t="s">
        <v>76</v>
      </c>
      <c r="I1213">
        <v>520</v>
      </c>
      <c r="J1213">
        <v>47</v>
      </c>
      <c r="K1213">
        <v>473.2</v>
      </c>
    </row>
    <row r="1214" spans="1:11">
      <c r="A1214" t="s">
        <v>1277</v>
      </c>
      <c r="B1214" s="14">
        <v>43306</v>
      </c>
      <c r="C1214" t="s">
        <v>48</v>
      </c>
      <c r="D1214" t="s">
        <v>64</v>
      </c>
      <c r="E1214">
        <v>4</v>
      </c>
      <c r="F1214">
        <v>40</v>
      </c>
      <c r="G1214">
        <v>0.09</v>
      </c>
      <c r="H1214" t="s">
        <v>46</v>
      </c>
      <c r="I1214">
        <v>160</v>
      </c>
      <c r="J1214">
        <v>14</v>
      </c>
      <c r="K1214">
        <v>145.6</v>
      </c>
    </row>
    <row r="1215" spans="1:11">
      <c r="A1215" t="s">
        <v>1278</v>
      </c>
      <c r="B1215" s="14">
        <v>43306</v>
      </c>
      <c r="C1215" t="s">
        <v>52</v>
      </c>
      <c r="D1215" t="s">
        <v>60</v>
      </c>
      <c r="E1215">
        <v>18</v>
      </c>
      <c r="F1215">
        <v>230</v>
      </c>
      <c r="G1215">
        <v>0.01</v>
      </c>
      <c r="H1215" t="s">
        <v>50</v>
      </c>
      <c r="I1215">
        <v>4140</v>
      </c>
      <c r="J1215">
        <v>41</v>
      </c>
      <c r="K1215">
        <v>4098.6</v>
      </c>
    </row>
    <row r="1216" spans="1:11">
      <c r="A1216" t="s">
        <v>1279</v>
      </c>
      <c r="B1216" s="14">
        <v>43306</v>
      </c>
      <c r="C1216" t="s">
        <v>63</v>
      </c>
      <c r="D1216" t="s">
        <v>45</v>
      </c>
      <c r="E1216">
        <v>7</v>
      </c>
      <c r="F1216">
        <v>16</v>
      </c>
      <c r="G1216">
        <v>0.02</v>
      </c>
      <c r="H1216" t="s">
        <v>53</v>
      </c>
      <c r="I1216">
        <v>112</v>
      </c>
      <c r="J1216">
        <v>2</v>
      </c>
      <c r="K1216">
        <v>109.76</v>
      </c>
    </row>
    <row r="1217" spans="1:11">
      <c r="A1217" t="s">
        <v>1280</v>
      </c>
      <c r="B1217" s="14">
        <v>43306</v>
      </c>
      <c r="C1217" t="s">
        <v>63</v>
      </c>
      <c r="D1217" t="s">
        <v>57</v>
      </c>
      <c r="E1217">
        <v>6</v>
      </c>
      <c r="F1217">
        <v>16</v>
      </c>
      <c r="G1217">
        <v>0.07</v>
      </c>
      <c r="H1217" t="s">
        <v>55</v>
      </c>
      <c r="I1217">
        <v>96</v>
      </c>
      <c r="J1217">
        <v>7</v>
      </c>
      <c r="K1217">
        <v>89.28</v>
      </c>
    </row>
    <row r="1218" spans="1:11">
      <c r="A1218" t="s">
        <v>1281</v>
      </c>
      <c r="B1218" s="14">
        <v>43306</v>
      </c>
      <c r="C1218" t="s">
        <v>52</v>
      </c>
      <c r="D1218" t="s">
        <v>60</v>
      </c>
      <c r="E1218">
        <v>8</v>
      </c>
      <c r="F1218">
        <v>230</v>
      </c>
      <c r="G1218">
        <v>0.05</v>
      </c>
      <c r="H1218" t="s">
        <v>58</v>
      </c>
      <c r="I1218">
        <v>1840</v>
      </c>
      <c r="J1218">
        <v>92</v>
      </c>
      <c r="K1218">
        <v>1748</v>
      </c>
    </row>
    <row r="1219" spans="1:11">
      <c r="A1219" t="s">
        <v>1282</v>
      </c>
      <c r="B1219" s="14">
        <v>43306</v>
      </c>
      <c r="C1219" t="s">
        <v>63</v>
      </c>
      <c r="D1219" t="s">
        <v>57</v>
      </c>
      <c r="E1219">
        <v>12</v>
      </c>
      <c r="F1219">
        <v>16</v>
      </c>
      <c r="G1219">
        <v>0.11</v>
      </c>
      <c r="H1219" t="s">
        <v>61</v>
      </c>
      <c r="I1219">
        <v>192</v>
      </c>
      <c r="J1219">
        <v>21</v>
      </c>
      <c r="K1219">
        <v>170.88</v>
      </c>
    </row>
    <row r="1220" spans="1:11">
      <c r="A1220" t="s">
        <v>1283</v>
      </c>
      <c r="B1220" s="14">
        <v>43306</v>
      </c>
      <c r="C1220" t="s">
        <v>52</v>
      </c>
      <c r="D1220" t="s">
        <v>45</v>
      </c>
      <c r="E1220">
        <v>11</v>
      </c>
      <c r="F1220">
        <v>230</v>
      </c>
      <c r="G1220">
        <v>0.02</v>
      </c>
      <c r="H1220" t="s">
        <v>50</v>
      </c>
      <c r="I1220">
        <v>2530</v>
      </c>
      <c r="J1220">
        <v>51</v>
      </c>
      <c r="K1220">
        <v>2479.4</v>
      </c>
    </row>
    <row r="1221" spans="1:11">
      <c r="A1221" t="s">
        <v>1284</v>
      </c>
      <c r="B1221" s="14">
        <v>43306</v>
      </c>
      <c r="C1221" t="s">
        <v>63</v>
      </c>
      <c r="D1221" t="s">
        <v>57</v>
      </c>
      <c r="E1221">
        <v>3</v>
      </c>
      <c r="F1221">
        <v>16</v>
      </c>
      <c r="G1221">
        <v>0.05</v>
      </c>
      <c r="H1221" t="s">
        <v>53</v>
      </c>
      <c r="I1221">
        <v>48</v>
      </c>
      <c r="J1221">
        <v>2</v>
      </c>
      <c r="K1221">
        <v>45.6</v>
      </c>
    </row>
    <row r="1222" spans="1:11">
      <c r="A1222" t="s">
        <v>1285</v>
      </c>
      <c r="B1222" s="14">
        <v>43307</v>
      </c>
      <c r="C1222" t="s">
        <v>67</v>
      </c>
      <c r="D1222" t="s">
        <v>49</v>
      </c>
      <c r="E1222">
        <v>16</v>
      </c>
      <c r="F1222">
        <v>150</v>
      </c>
      <c r="G1222">
        <v>0.05</v>
      </c>
      <c r="H1222" t="s">
        <v>55</v>
      </c>
      <c r="I1222">
        <v>2400</v>
      </c>
      <c r="J1222">
        <v>120</v>
      </c>
      <c r="K1222">
        <v>2280</v>
      </c>
    </row>
    <row r="1223" spans="1:11">
      <c r="A1223" t="s">
        <v>1286</v>
      </c>
      <c r="B1223" s="14">
        <v>43307</v>
      </c>
      <c r="C1223" t="s">
        <v>52</v>
      </c>
      <c r="D1223" t="s">
        <v>60</v>
      </c>
      <c r="E1223">
        <v>8</v>
      </c>
      <c r="F1223">
        <v>230</v>
      </c>
      <c r="G1223">
        <v>0.01</v>
      </c>
      <c r="H1223" t="s">
        <v>58</v>
      </c>
      <c r="I1223">
        <v>1840</v>
      </c>
      <c r="J1223">
        <v>18</v>
      </c>
      <c r="K1223">
        <v>1821.6</v>
      </c>
    </row>
    <row r="1224" spans="1:11">
      <c r="A1224" t="s">
        <v>1287</v>
      </c>
      <c r="B1224" s="14">
        <v>43307</v>
      </c>
      <c r="C1224" t="s">
        <v>44</v>
      </c>
      <c r="D1224" t="s">
        <v>57</v>
      </c>
      <c r="E1224">
        <v>16</v>
      </c>
      <c r="F1224">
        <v>80</v>
      </c>
      <c r="G1224">
        <v>0.04</v>
      </c>
      <c r="H1224" t="s">
        <v>61</v>
      </c>
      <c r="I1224">
        <v>1280</v>
      </c>
      <c r="J1224">
        <v>51</v>
      </c>
      <c r="K1224">
        <v>1228.8</v>
      </c>
    </row>
    <row r="1225" spans="1:11">
      <c r="A1225" t="s">
        <v>1288</v>
      </c>
      <c r="B1225" s="14">
        <v>43307</v>
      </c>
      <c r="C1225" t="s">
        <v>63</v>
      </c>
      <c r="D1225" t="s">
        <v>60</v>
      </c>
      <c r="E1225">
        <v>18</v>
      </c>
      <c r="F1225">
        <v>16</v>
      </c>
      <c r="G1225">
        <v>0.04</v>
      </c>
      <c r="H1225" t="s">
        <v>65</v>
      </c>
      <c r="I1225">
        <v>288</v>
      </c>
      <c r="J1225">
        <v>12</v>
      </c>
      <c r="K1225">
        <v>276.48</v>
      </c>
    </row>
    <row r="1226" spans="1:11">
      <c r="A1226" t="s">
        <v>1289</v>
      </c>
      <c r="B1226" s="14">
        <v>43307</v>
      </c>
      <c r="C1226" t="s">
        <v>48</v>
      </c>
      <c r="D1226" t="s">
        <v>64</v>
      </c>
      <c r="E1226">
        <v>14</v>
      </c>
      <c r="F1226">
        <v>40</v>
      </c>
      <c r="G1226">
        <v>0.11</v>
      </c>
      <c r="H1226" t="s">
        <v>68</v>
      </c>
      <c r="I1226">
        <v>560</v>
      </c>
      <c r="J1226">
        <v>62</v>
      </c>
      <c r="K1226">
        <v>498.4</v>
      </c>
    </row>
    <row r="1227" spans="1:11">
      <c r="A1227" t="s">
        <v>1290</v>
      </c>
      <c r="B1227" s="14">
        <v>43307</v>
      </c>
      <c r="C1227" t="s">
        <v>63</v>
      </c>
      <c r="D1227" t="s">
        <v>49</v>
      </c>
      <c r="E1227">
        <v>21</v>
      </c>
      <c r="F1227">
        <v>16</v>
      </c>
      <c r="G1227">
        <v>0.02</v>
      </c>
      <c r="H1227" t="s">
        <v>70</v>
      </c>
      <c r="I1227">
        <v>336</v>
      </c>
      <c r="J1227">
        <v>7</v>
      </c>
      <c r="K1227">
        <v>329.28</v>
      </c>
    </row>
    <row r="1228" spans="1:11">
      <c r="A1228" t="s">
        <v>1291</v>
      </c>
      <c r="B1228" s="14">
        <v>43307</v>
      </c>
      <c r="C1228" t="s">
        <v>63</v>
      </c>
      <c r="D1228" t="s">
        <v>49</v>
      </c>
      <c r="E1228">
        <v>7</v>
      </c>
      <c r="F1228">
        <v>16</v>
      </c>
      <c r="G1228">
        <v>0.08</v>
      </c>
      <c r="H1228" t="s">
        <v>72</v>
      </c>
      <c r="I1228">
        <v>112</v>
      </c>
      <c r="J1228">
        <v>9</v>
      </c>
      <c r="K1228">
        <v>103.04</v>
      </c>
    </row>
    <row r="1229" spans="1:11">
      <c r="A1229" t="s">
        <v>1292</v>
      </c>
      <c r="B1229" s="14">
        <v>43307</v>
      </c>
      <c r="C1229" t="s">
        <v>44</v>
      </c>
      <c r="D1229" t="s">
        <v>57</v>
      </c>
      <c r="E1229">
        <v>7</v>
      </c>
      <c r="F1229">
        <v>80</v>
      </c>
      <c r="G1229">
        <v>0.05</v>
      </c>
      <c r="H1229" t="s">
        <v>74</v>
      </c>
      <c r="I1229">
        <v>560</v>
      </c>
      <c r="J1229">
        <v>28</v>
      </c>
      <c r="K1229">
        <v>532</v>
      </c>
    </row>
    <row r="1230" spans="1:11">
      <c r="A1230" t="s">
        <v>1293</v>
      </c>
      <c r="B1230" s="14">
        <v>43307</v>
      </c>
      <c r="C1230" t="s">
        <v>48</v>
      </c>
      <c r="D1230" t="s">
        <v>64</v>
      </c>
      <c r="E1230">
        <v>16</v>
      </c>
      <c r="F1230">
        <v>40</v>
      </c>
      <c r="G1230">
        <v>0.09</v>
      </c>
      <c r="H1230" t="s">
        <v>76</v>
      </c>
      <c r="I1230">
        <v>640</v>
      </c>
      <c r="J1230">
        <v>58</v>
      </c>
      <c r="K1230">
        <v>582.4</v>
      </c>
    </row>
    <row r="1231" spans="1:11">
      <c r="A1231" t="s">
        <v>1294</v>
      </c>
      <c r="B1231" s="14">
        <v>43307</v>
      </c>
      <c r="C1231" t="s">
        <v>52</v>
      </c>
      <c r="D1231" t="s">
        <v>64</v>
      </c>
      <c r="E1231">
        <v>22</v>
      </c>
      <c r="F1231">
        <v>230</v>
      </c>
      <c r="G1231">
        <v>0.1</v>
      </c>
      <c r="H1231" t="s">
        <v>46</v>
      </c>
      <c r="I1231">
        <v>5060</v>
      </c>
      <c r="J1231">
        <v>506</v>
      </c>
      <c r="K1231">
        <v>4554</v>
      </c>
    </row>
    <row r="1232" spans="1:11">
      <c r="A1232" t="s">
        <v>1295</v>
      </c>
      <c r="B1232" s="14">
        <v>43307</v>
      </c>
      <c r="C1232" t="s">
        <v>48</v>
      </c>
      <c r="D1232" t="s">
        <v>49</v>
      </c>
      <c r="E1232">
        <v>4</v>
      </c>
      <c r="F1232">
        <v>40</v>
      </c>
      <c r="G1232">
        <v>0.03</v>
      </c>
      <c r="H1232" t="s">
        <v>50</v>
      </c>
      <c r="I1232">
        <v>160</v>
      </c>
      <c r="J1232">
        <v>5</v>
      </c>
      <c r="K1232">
        <v>155.2</v>
      </c>
    </row>
    <row r="1233" spans="1:11">
      <c r="A1233" t="s">
        <v>1296</v>
      </c>
      <c r="B1233" s="14">
        <v>43307</v>
      </c>
      <c r="C1233" t="s">
        <v>52</v>
      </c>
      <c r="D1233" t="s">
        <v>64</v>
      </c>
      <c r="E1233">
        <v>3</v>
      </c>
      <c r="F1233">
        <v>230</v>
      </c>
      <c r="G1233">
        <v>0.1</v>
      </c>
      <c r="H1233" t="s">
        <v>53</v>
      </c>
      <c r="I1233">
        <v>690</v>
      </c>
      <c r="J1233">
        <v>69</v>
      </c>
      <c r="K1233">
        <v>621</v>
      </c>
    </row>
    <row r="1234" spans="1:11">
      <c r="A1234" t="s">
        <v>1297</v>
      </c>
      <c r="B1234" s="14">
        <v>43307</v>
      </c>
      <c r="C1234" t="s">
        <v>44</v>
      </c>
      <c r="D1234" t="s">
        <v>49</v>
      </c>
      <c r="E1234">
        <v>14</v>
      </c>
      <c r="F1234">
        <v>80</v>
      </c>
      <c r="G1234">
        <v>0.11</v>
      </c>
      <c r="H1234" t="s">
        <v>55</v>
      </c>
      <c r="I1234">
        <v>1120</v>
      </c>
      <c r="J1234">
        <v>123</v>
      </c>
      <c r="K1234">
        <v>996.8</v>
      </c>
    </row>
    <row r="1235" spans="1:11">
      <c r="A1235" t="s">
        <v>1298</v>
      </c>
      <c r="B1235" s="14">
        <v>43308</v>
      </c>
      <c r="C1235" t="s">
        <v>48</v>
      </c>
      <c r="D1235" t="s">
        <v>64</v>
      </c>
      <c r="E1235">
        <v>21</v>
      </c>
      <c r="F1235">
        <v>40</v>
      </c>
      <c r="G1235">
        <v>0.01</v>
      </c>
      <c r="H1235" t="s">
        <v>58</v>
      </c>
      <c r="I1235">
        <v>840</v>
      </c>
      <c r="J1235">
        <v>8</v>
      </c>
      <c r="K1235">
        <v>831.6</v>
      </c>
    </row>
    <row r="1236" spans="1:11">
      <c r="A1236" t="s">
        <v>1299</v>
      </c>
      <c r="B1236" s="14">
        <v>43308</v>
      </c>
      <c r="C1236" t="s">
        <v>63</v>
      </c>
      <c r="D1236" t="s">
        <v>49</v>
      </c>
      <c r="E1236">
        <v>20</v>
      </c>
      <c r="F1236">
        <v>16</v>
      </c>
      <c r="G1236">
        <v>0.06</v>
      </c>
      <c r="H1236" t="s">
        <v>61</v>
      </c>
      <c r="I1236">
        <v>320</v>
      </c>
      <c r="J1236">
        <v>19</v>
      </c>
      <c r="K1236">
        <v>300.8</v>
      </c>
    </row>
    <row r="1237" spans="1:11">
      <c r="A1237" t="s">
        <v>1300</v>
      </c>
      <c r="B1237" s="14">
        <v>43308</v>
      </c>
      <c r="C1237" t="s">
        <v>44</v>
      </c>
      <c r="D1237" t="s">
        <v>64</v>
      </c>
      <c r="E1237">
        <v>22</v>
      </c>
      <c r="F1237">
        <v>80</v>
      </c>
      <c r="G1237">
        <v>0.11</v>
      </c>
      <c r="H1237" t="s">
        <v>50</v>
      </c>
      <c r="I1237">
        <v>1760</v>
      </c>
      <c r="J1237">
        <v>194</v>
      </c>
      <c r="K1237">
        <v>1566.4</v>
      </c>
    </row>
    <row r="1238" spans="1:11">
      <c r="A1238" t="s">
        <v>1301</v>
      </c>
      <c r="B1238" s="14">
        <v>43308</v>
      </c>
      <c r="C1238" t="s">
        <v>48</v>
      </c>
      <c r="D1238" t="s">
        <v>45</v>
      </c>
      <c r="E1238">
        <v>7</v>
      </c>
      <c r="F1238">
        <v>40</v>
      </c>
      <c r="G1238">
        <v>0.1</v>
      </c>
      <c r="H1238" t="s">
        <v>53</v>
      </c>
      <c r="I1238">
        <v>280</v>
      </c>
      <c r="J1238">
        <v>28</v>
      </c>
      <c r="K1238">
        <v>252</v>
      </c>
    </row>
    <row r="1239" spans="1:11">
      <c r="A1239" t="s">
        <v>1302</v>
      </c>
      <c r="B1239" s="14">
        <v>43308</v>
      </c>
      <c r="C1239" t="s">
        <v>67</v>
      </c>
      <c r="D1239" t="s">
        <v>49</v>
      </c>
      <c r="E1239">
        <v>16</v>
      </c>
      <c r="F1239">
        <v>150</v>
      </c>
      <c r="G1239">
        <v>0.05</v>
      </c>
      <c r="H1239" t="s">
        <v>55</v>
      </c>
      <c r="I1239">
        <v>2400</v>
      </c>
      <c r="J1239">
        <v>120</v>
      </c>
      <c r="K1239">
        <v>2280</v>
      </c>
    </row>
    <row r="1240" spans="1:11">
      <c r="A1240" t="s">
        <v>1303</v>
      </c>
      <c r="B1240" s="14">
        <v>43308</v>
      </c>
      <c r="C1240" t="s">
        <v>52</v>
      </c>
      <c r="D1240" t="s">
        <v>49</v>
      </c>
      <c r="E1240">
        <v>7</v>
      </c>
      <c r="F1240">
        <v>230</v>
      </c>
      <c r="G1240">
        <v>0.05</v>
      </c>
      <c r="H1240" t="s">
        <v>58</v>
      </c>
      <c r="I1240">
        <v>1610</v>
      </c>
      <c r="J1240">
        <v>80</v>
      </c>
      <c r="K1240">
        <v>1529.5</v>
      </c>
    </row>
    <row r="1241" spans="1:11">
      <c r="A1241" t="s">
        <v>1304</v>
      </c>
      <c r="B1241" s="14">
        <v>43308</v>
      </c>
      <c r="C1241" t="s">
        <v>67</v>
      </c>
      <c r="D1241" t="s">
        <v>45</v>
      </c>
      <c r="E1241">
        <v>20</v>
      </c>
      <c r="F1241">
        <v>150</v>
      </c>
      <c r="G1241">
        <v>0.03</v>
      </c>
      <c r="H1241" t="s">
        <v>61</v>
      </c>
      <c r="I1241">
        <v>3000</v>
      </c>
      <c r="J1241">
        <v>90</v>
      </c>
      <c r="K1241">
        <v>2910</v>
      </c>
    </row>
    <row r="1242" spans="1:11">
      <c r="A1242" t="s">
        <v>1305</v>
      </c>
      <c r="B1242" s="14">
        <v>43308</v>
      </c>
      <c r="C1242" t="s">
        <v>67</v>
      </c>
      <c r="D1242" t="s">
        <v>49</v>
      </c>
      <c r="E1242">
        <v>16</v>
      </c>
      <c r="F1242">
        <v>150</v>
      </c>
      <c r="G1242">
        <v>0.03</v>
      </c>
      <c r="H1242" t="s">
        <v>65</v>
      </c>
      <c r="I1242">
        <v>2400</v>
      </c>
      <c r="J1242">
        <v>72</v>
      </c>
      <c r="K1242">
        <v>2328</v>
      </c>
    </row>
    <row r="1243" spans="1:11">
      <c r="A1243" t="s">
        <v>1306</v>
      </c>
      <c r="B1243" s="14">
        <v>43308</v>
      </c>
      <c r="C1243" t="s">
        <v>63</v>
      </c>
      <c r="D1243" t="s">
        <v>60</v>
      </c>
      <c r="E1243">
        <v>10</v>
      </c>
      <c r="F1243">
        <v>16</v>
      </c>
      <c r="G1243">
        <v>0.04</v>
      </c>
      <c r="H1243" t="s">
        <v>68</v>
      </c>
      <c r="I1243">
        <v>160</v>
      </c>
      <c r="J1243">
        <v>6</v>
      </c>
      <c r="K1243">
        <v>153.6</v>
      </c>
    </row>
    <row r="1244" spans="1:11">
      <c r="A1244" t="s">
        <v>1307</v>
      </c>
      <c r="B1244" s="14">
        <v>43308</v>
      </c>
      <c r="C1244" t="s">
        <v>44</v>
      </c>
      <c r="D1244" t="s">
        <v>64</v>
      </c>
      <c r="E1244">
        <v>6</v>
      </c>
      <c r="F1244">
        <v>80</v>
      </c>
      <c r="G1244">
        <v>0.09</v>
      </c>
      <c r="H1244" t="s">
        <v>70</v>
      </c>
      <c r="I1244">
        <v>480</v>
      </c>
      <c r="J1244">
        <v>43</v>
      </c>
      <c r="K1244">
        <v>436.8</v>
      </c>
    </row>
    <row r="1245" spans="1:11">
      <c r="A1245" t="s">
        <v>1308</v>
      </c>
      <c r="B1245" s="14">
        <v>43308</v>
      </c>
      <c r="C1245" t="s">
        <v>44</v>
      </c>
      <c r="D1245" t="s">
        <v>45</v>
      </c>
      <c r="E1245">
        <v>17</v>
      </c>
      <c r="F1245">
        <v>80</v>
      </c>
      <c r="G1245">
        <v>0.09</v>
      </c>
      <c r="H1245" t="s">
        <v>72</v>
      </c>
      <c r="I1245">
        <v>1360</v>
      </c>
      <c r="J1245">
        <v>122</v>
      </c>
      <c r="K1245">
        <v>1237.6</v>
      </c>
    </row>
    <row r="1246" spans="1:11">
      <c r="A1246" t="s">
        <v>1309</v>
      </c>
      <c r="B1246" s="14">
        <v>43308</v>
      </c>
      <c r="C1246" t="s">
        <v>48</v>
      </c>
      <c r="D1246" t="s">
        <v>45</v>
      </c>
      <c r="E1246">
        <v>19</v>
      </c>
      <c r="F1246">
        <v>40</v>
      </c>
      <c r="G1246">
        <v>0.04</v>
      </c>
      <c r="H1246" t="s">
        <v>74</v>
      </c>
      <c r="I1246">
        <v>760</v>
      </c>
      <c r="J1246">
        <v>30</v>
      </c>
      <c r="K1246">
        <v>729.6</v>
      </c>
    </row>
    <row r="1247" spans="1:11">
      <c r="A1247" t="s">
        <v>1310</v>
      </c>
      <c r="B1247" s="14">
        <v>43308</v>
      </c>
      <c r="C1247" t="s">
        <v>48</v>
      </c>
      <c r="D1247" t="s">
        <v>64</v>
      </c>
      <c r="E1247">
        <v>16</v>
      </c>
      <c r="F1247">
        <v>40</v>
      </c>
      <c r="G1247">
        <v>0.09</v>
      </c>
      <c r="H1247" t="s">
        <v>76</v>
      </c>
      <c r="I1247">
        <v>640</v>
      </c>
      <c r="J1247">
        <v>58</v>
      </c>
      <c r="K1247">
        <v>582.4</v>
      </c>
    </row>
    <row r="1248" spans="1:11">
      <c r="A1248" t="s">
        <v>1311</v>
      </c>
      <c r="B1248" s="14">
        <v>43308</v>
      </c>
      <c r="C1248" t="s">
        <v>63</v>
      </c>
      <c r="D1248" t="s">
        <v>45</v>
      </c>
      <c r="E1248">
        <v>4</v>
      </c>
      <c r="F1248">
        <v>16</v>
      </c>
      <c r="G1248">
        <v>0.12</v>
      </c>
      <c r="H1248" t="s">
        <v>46</v>
      </c>
      <c r="I1248">
        <v>64</v>
      </c>
      <c r="J1248">
        <v>8</v>
      </c>
      <c r="K1248">
        <v>56.32</v>
      </c>
    </row>
    <row r="1249" spans="1:11">
      <c r="A1249" t="s">
        <v>1312</v>
      </c>
      <c r="B1249" s="14">
        <v>43308</v>
      </c>
      <c r="C1249" t="s">
        <v>67</v>
      </c>
      <c r="D1249" t="s">
        <v>60</v>
      </c>
      <c r="E1249">
        <v>9</v>
      </c>
      <c r="F1249">
        <v>150</v>
      </c>
      <c r="G1249">
        <v>0.02</v>
      </c>
      <c r="H1249" t="s">
        <v>50</v>
      </c>
      <c r="I1249">
        <v>1350</v>
      </c>
      <c r="J1249">
        <v>27</v>
      </c>
      <c r="K1249">
        <v>1323</v>
      </c>
    </row>
    <row r="1250" spans="1:11">
      <c r="A1250" t="s">
        <v>1313</v>
      </c>
      <c r="B1250" s="14">
        <v>43308</v>
      </c>
      <c r="C1250" t="s">
        <v>63</v>
      </c>
      <c r="D1250" t="s">
        <v>45</v>
      </c>
      <c r="E1250">
        <v>11</v>
      </c>
      <c r="F1250">
        <v>16</v>
      </c>
      <c r="G1250">
        <v>0.09</v>
      </c>
      <c r="H1250" t="s">
        <v>53</v>
      </c>
      <c r="I1250">
        <v>176</v>
      </c>
      <c r="J1250">
        <v>16</v>
      </c>
      <c r="K1250">
        <v>160.16</v>
      </c>
    </row>
    <row r="1251" spans="1:11">
      <c r="A1251" t="s">
        <v>1314</v>
      </c>
      <c r="B1251" s="14">
        <v>43308</v>
      </c>
      <c r="C1251" t="s">
        <v>44</v>
      </c>
      <c r="D1251" t="s">
        <v>49</v>
      </c>
      <c r="E1251">
        <v>17</v>
      </c>
      <c r="F1251">
        <v>80</v>
      </c>
      <c r="G1251">
        <v>0.03</v>
      </c>
      <c r="H1251" t="s">
        <v>55</v>
      </c>
      <c r="I1251">
        <v>1360</v>
      </c>
      <c r="J1251">
        <v>41</v>
      </c>
      <c r="K1251">
        <v>1319.2</v>
      </c>
    </row>
    <row r="1252" spans="1:11">
      <c r="A1252" t="s">
        <v>1315</v>
      </c>
      <c r="B1252" s="14">
        <v>43309</v>
      </c>
      <c r="C1252" t="s">
        <v>67</v>
      </c>
      <c r="D1252" t="s">
        <v>45</v>
      </c>
      <c r="E1252">
        <v>3</v>
      </c>
      <c r="F1252">
        <v>150</v>
      </c>
      <c r="G1252">
        <v>0.03</v>
      </c>
      <c r="H1252" t="s">
        <v>58</v>
      </c>
      <c r="I1252">
        <v>450</v>
      </c>
      <c r="J1252">
        <v>14</v>
      </c>
      <c r="K1252">
        <v>436.5</v>
      </c>
    </row>
    <row r="1253" spans="1:11">
      <c r="A1253" t="s">
        <v>1316</v>
      </c>
      <c r="B1253" s="14">
        <v>43309</v>
      </c>
      <c r="C1253" t="s">
        <v>52</v>
      </c>
      <c r="D1253" t="s">
        <v>60</v>
      </c>
      <c r="E1253">
        <v>2</v>
      </c>
      <c r="F1253">
        <v>230</v>
      </c>
      <c r="G1253">
        <v>0.08</v>
      </c>
      <c r="H1253" t="s">
        <v>61</v>
      </c>
      <c r="I1253">
        <v>460</v>
      </c>
      <c r="J1253">
        <v>37</v>
      </c>
      <c r="K1253">
        <v>423.2</v>
      </c>
    </row>
    <row r="1254" spans="1:11">
      <c r="A1254" t="s">
        <v>1317</v>
      </c>
      <c r="B1254" s="14">
        <v>43309</v>
      </c>
      <c r="C1254" t="s">
        <v>52</v>
      </c>
      <c r="D1254" t="s">
        <v>60</v>
      </c>
      <c r="E1254">
        <v>17</v>
      </c>
      <c r="F1254">
        <v>230</v>
      </c>
      <c r="G1254">
        <v>0.12</v>
      </c>
      <c r="H1254" t="s">
        <v>50</v>
      </c>
      <c r="I1254">
        <v>3910</v>
      </c>
      <c r="J1254">
        <v>469</v>
      </c>
      <c r="K1254">
        <v>3440.8</v>
      </c>
    </row>
    <row r="1255" spans="1:11">
      <c r="A1255" t="s">
        <v>1318</v>
      </c>
      <c r="B1255" s="14">
        <v>43309</v>
      </c>
      <c r="C1255" t="s">
        <v>67</v>
      </c>
      <c r="D1255" t="s">
        <v>49</v>
      </c>
      <c r="E1255">
        <v>2</v>
      </c>
      <c r="F1255">
        <v>150</v>
      </c>
      <c r="G1255">
        <v>0.09</v>
      </c>
      <c r="H1255" t="s">
        <v>53</v>
      </c>
      <c r="I1255">
        <v>300</v>
      </c>
      <c r="J1255">
        <v>27</v>
      </c>
      <c r="K1255">
        <v>273</v>
      </c>
    </row>
    <row r="1256" spans="1:11">
      <c r="A1256" t="s">
        <v>1319</v>
      </c>
      <c r="B1256" s="14">
        <v>43309</v>
      </c>
      <c r="C1256" t="s">
        <v>48</v>
      </c>
      <c r="D1256" t="s">
        <v>60</v>
      </c>
      <c r="E1256">
        <v>18</v>
      </c>
      <c r="F1256">
        <v>40</v>
      </c>
      <c r="G1256">
        <v>0.06</v>
      </c>
      <c r="H1256" t="s">
        <v>55</v>
      </c>
      <c r="I1256">
        <v>720</v>
      </c>
      <c r="J1256">
        <v>43</v>
      </c>
      <c r="K1256">
        <v>676.8</v>
      </c>
    </row>
    <row r="1257" spans="1:11">
      <c r="A1257" t="s">
        <v>1320</v>
      </c>
      <c r="B1257" s="14">
        <v>43309</v>
      </c>
      <c r="C1257" t="s">
        <v>67</v>
      </c>
      <c r="D1257" t="s">
        <v>57</v>
      </c>
      <c r="E1257">
        <v>18</v>
      </c>
      <c r="F1257">
        <v>150</v>
      </c>
      <c r="G1257">
        <v>0.06</v>
      </c>
      <c r="H1257" t="s">
        <v>58</v>
      </c>
      <c r="I1257">
        <v>2700</v>
      </c>
      <c r="J1257">
        <v>162</v>
      </c>
      <c r="K1257">
        <v>2538</v>
      </c>
    </row>
    <row r="1258" spans="1:11">
      <c r="A1258" t="s">
        <v>1321</v>
      </c>
      <c r="B1258" s="14">
        <v>43309</v>
      </c>
      <c r="C1258" t="s">
        <v>48</v>
      </c>
      <c r="D1258" t="s">
        <v>49</v>
      </c>
      <c r="E1258">
        <v>12</v>
      </c>
      <c r="F1258">
        <v>40</v>
      </c>
      <c r="G1258">
        <v>0.1</v>
      </c>
      <c r="H1258" t="s">
        <v>61</v>
      </c>
      <c r="I1258">
        <v>480</v>
      </c>
      <c r="J1258">
        <v>48</v>
      </c>
      <c r="K1258">
        <v>432</v>
      </c>
    </row>
    <row r="1259" spans="1:11">
      <c r="A1259" t="s">
        <v>1322</v>
      </c>
      <c r="B1259" s="14">
        <v>43309</v>
      </c>
      <c r="C1259" t="s">
        <v>44</v>
      </c>
      <c r="D1259" t="s">
        <v>45</v>
      </c>
      <c r="E1259">
        <v>21</v>
      </c>
      <c r="F1259">
        <v>80</v>
      </c>
      <c r="G1259">
        <v>0.04</v>
      </c>
      <c r="H1259" t="s">
        <v>65</v>
      </c>
      <c r="I1259">
        <v>1680</v>
      </c>
      <c r="J1259">
        <v>67</v>
      </c>
      <c r="K1259">
        <v>1612.8</v>
      </c>
    </row>
    <row r="1260" spans="1:11">
      <c r="A1260" t="s">
        <v>1323</v>
      </c>
      <c r="B1260" s="14">
        <v>43309</v>
      </c>
      <c r="C1260" t="s">
        <v>48</v>
      </c>
      <c r="D1260" t="s">
        <v>64</v>
      </c>
      <c r="E1260">
        <v>3</v>
      </c>
      <c r="F1260">
        <v>40</v>
      </c>
      <c r="G1260">
        <v>0.03</v>
      </c>
      <c r="H1260" t="s">
        <v>68</v>
      </c>
      <c r="I1260">
        <v>120</v>
      </c>
      <c r="J1260">
        <v>4</v>
      </c>
      <c r="K1260">
        <v>116.4</v>
      </c>
    </row>
    <row r="1261" spans="1:11">
      <c r="A1261" t="s">
        <v>1324</v>
      </c>
      <c r="B1261" s="14">
        <v>43309</v>
      </c>
      <c r="C1261" t="s">
        <v>44</v>
      </c>
      <c r="D1261" t="s">
        <v>64</v>
      </c>
      <c r="E1261">
        <v>22</v>
      </c>
      <c r="F1261">
        <v>80</v>
      </c>
      <c r="G1261">
        <v>0.1</v>
      </c>
      <c r="H1261" t="s">
        <v>70</v>
      </c>
      <c r="I1261">
        <v>1760</v>
      </c>
      <c r="J1261">
        <v>176</v>
      </c>
      <c r="K1261">
        <v>1584</v>
      </c>
    </row>
    <row r="1262" spans="1:11">
      <c r="A1262" t="s">
        <v>1325</v>
      </c>
      <c r="B1262" s="14">
        <v>43309</v>
      </c>
      <c r="C1262" t="s">
        <v>48</v>
      </c>
      <c r="D1262" t="s">
        <v>64</v>
      </c>
      <c r="E1262">
        <v>16</v>
      </c>
      <c r="F1262">
        <v>40</v>
      </c>
      <c r="G1262">
        <v>0.11</v>
      </c>
      <c r="H1262" t="s">
        <v>72</v>
      </c>
      <c r="I1262">
        <v>640</v>
      </c>
      <c r="J1262">
        <v>70</v>
      </c>
      <c r="K1262">
        <v>569.6</v>
      </c>
    </row>
    <row r="1263" spans="1:11">
      <c r="A1263" t="s">
        <v>1326</v>
      </c>
      <c r="B1263" s="14">
        <v>43309</v>
      </c>
      <c r="C1263" t="s">
        <v>63</v>
      </c>
      <c r="D1263" t="s">
        <v>45</v>
      </c>
      <c r="E1263">
        <v>11</v>
      </c>
      <c r="F1263">
        <v>16</v>
      </c>
      <c r="G1263">
        <v>0.09</v>
      </c>
      <c r="H1263" t="s">
        <v>74</v>
      </c>
      <c r="I1263">
        <v>176</v>
      </c>
      <c r="J1263">
        <v>16</v>
      </c>
      <c r="K1263">
        <v>160.16</v>
      </c>
    </row>
    <row r="1264" spans="1:11">
      <c r="A1264" t="s">
        <v>1327</v>
      </c>
      <c r="B1264" s="14">
        <v>43310</v>
      </c>
      <c r="C1264" t="s">
        <v>44</v>
      </c>
      <c r="D1264" t="s">
        <v>57</v>
      </c>
      <c r="E1264">
        <v>10</v>
      </c>
      <c r="F1264">
        <v>80</v>
      </c>
      <c r="G1264">
        <v>0.08</v>
      </c>
      <c r="H1264" t="s">
        <v>76</v>
      </c>
      <c r="I1264">
        <v>800</v>
      </c>
      <c r="J1264">
        <v>64</v>
      </c>
      <c r="K1264">
        <v>736</v>
      </c>
    </row>
    <row r="1265" spans="1:11">
      <c r="A1265" t="s">
        <v>1328</v>
      </c>
      <c r="B1265" s="14">
        <v>43310</v>
      </c>
      <c r="C1265" t="s">
        <v>63</v>
      </c>
      <c r="D1265" t="s">
        <v>57</v>
      </c>
      <c r="E1265">
        <v>12</v>
      </c>
      <c r="F1265">
        <v>16</v>
      </c>
      <c r="G1265">
        <v>0.03</v>
      </c>
      <c r="H1265" t="s">
        <v>46</v>
      </c>
      <c r="I1265">
        <v>192</v>
      </c>
      <c r="J1265">
        <v>6</v>
      </c>
      <c r="K1265">
        <v>186.24</v>
      </c>
    </row>
    <row r="1266" spans="1:11">
      <c r="A1266" t="s">
        <v>1329</v>
      </c>
      <c r="B1266" s="14">
        <v>43310</v>
      </c>
      <c r="C1266" t="s">
        <v>67</v>
      </c>
      <c r="D1266" t="s">
        <v>45</v>
      </c>
      <c r="E1266">
        <v>8</v>
      </c>
      <c r="F1266">
        <v>150</v>
      </c>
      <c r="G1266">
        <v>0.09</v>
      </c>
      <c r="H1266" t="s">
        <v>50</v>
      </c>
      <c r="I1266">
        <v>1200</v>
      </c>
      <c r="J1266">
        <v>108</v>
      </c>
      <c r="K1266">
        <v>1092</v>
      </c>
    </row>
    <row r="1267" spans="1:11">
      <c r="A1267" t="s">
        <v>1330</v>
      </c>
      <c r="B1267" s="14">
        <v>43310</v>
      </c>
      <c r="C1267" t="s">
        <v>48</v>
      </c>
      <c r="D1267" t="s">
        <v>64</v>
      </c>
      <c r="E1267">
        <v>10</v>
      </c>
      <c r="F1267">
        <v>40</v>
      </c>
      <c r="G1267">
        <v>0.03</v>
      </c>
      <c r="H1267" t="s">
        <v>53</v>
      </c>
      <c r="I1267">
        <v>400</v>
      </c>
      <c r="J1267">
        <v>12</v>
      </c>
      <c r="K1267">
        <v>388</v>
      </c>
    </row>
    <row r="1268" spans="1:11">
      <c r="A1268" t="s">
        <v>1331</v>
      </c>
      <c r="B1268" s="14">
        <v>43310</v>
      </c>
      <c r="C1268" t="s">
        <v>67</v>
      </c>
      <c r="D1268" t="s">
        <v>45</v>
      </c>
      <c r="E1268">
        <v>7</v>
      </c>
      <c r="F1268">
        <v>150</v>
      </c>
      <c r="G1268">
        <v>0.02</v>
      </c>
      <c r="H1268" t="s">
        <v>55</v>
      </c>
      <c r="I1268">
        <v>1050</v>
      </c>
      <c r="J1268">
        <v>21</v>
      </c>
      <c r="K1268">
        <v>1029</v>
      </c>
    </row>
    <row r="1269" spans="1:11">
      <c r="A1269" t="s">
        <v>1332</v>
      </c>
      <c r="B1269" s="14">
        <v>43310</v>
      </c>
      <c r="C1269" t="s">
        <v>63</v>
      </c>
      <c r="D1269" t="s">
        <v>57</v>
      </c>
      <c r="E1269">
        <v>6</v>
      </c>
      <c r="F1269">
        <v>16</v>
      </c>
      <c r="G1269">
        <v>0.01</v>
      </c>
      <c r="H1269" t="s">
        <v>58</v>
      </c>
      <c r="I1269">
        <v>96</v>
      </c>
      <c r="J1269">
        <v>1</v>
      </c>
      <c r="K1269">
        <v>95.04</v>
      </c>
    </row>
    <row r="1270" spans="1:11">
      <c r="A1270" t="s">
        <v>1333</v>
      </c>
      <c r="B1270" s="14">
        <v>43310</v>
      </c>
      <c r="C1270" t="s">
        <v>44</v>
      </c>
      <c r="D1270" t="s">
        <v>60</v>
      </c>
      <c r="E1270">
        <v>15</v>
      </c>
      <c r="F1270">
        <v>80</v>
      </c>
      <c r="G1270">
        <v>0.08</v>
      </c>
      <c r="H1270" t="s">
        <v>61</v>
      </c>
      <c r="I1270">
        <v>1200</v>
      </c>
      <c r="J1270">
        <v>96</v>
      </c>
      <c r="K1270">
        <v>1104</v>
      </c>
    </row>
    <row r="1271" spans="1:11">
      <c r="A1271" t="s">
        <v>1334</v>
      </c>
      <c r="B1271" s="14">
        <v>43310</v>
      </c>
      <c r="C1271" t="s">
        <v>63</v>
      </c>
      <c r="D1271" t="s">
        <v>64</v>
      </c>
      <c r="E1271">
        <v>13</v>
      </c>
      <c r="F1271">
        <v>16</v>
      </c>
      <c r="G1271">
        <v>0.07</v>
      </c>
      <c r="H1271" t="s">
        <v>50</v>
      </c>
      <c r="I1271">
        <v>208</v>
      </c>
      <c r="J1271">
        <v>15</v>
      </c>
      <c r="K1271">
        <v>193.44</v>
      </c>
    </row>
    <row r="1272" spans="1:11">
      <c r="A1272" t="s">
        <v>1335</v>
      </c>
      <c r="B1272" s="14">
        <v>43310</v>
      </c>
      <c r="C1272" t="s">
        <v>52</v>
      </c>
      <c r="D1272" t="s">
        <v>60</v>
      </c>
      <c r="E1272">
        <v>19</v>
      </c>
      <c r="F1272">
        <v>230</v>
      </c>
      <c r="G1272">
        <v>0.06</v>
      </c>
      <c r="H1272" t="s">
        <v>53</v>
      </c>
      <c r="I1272">
        <v>4370</v>
      </c>
      <c r="J1272">
        <v>262</v>
      </c>
      <c r="K1272">
        <v>4107.8</v>
      </c>
    </row>
    <row r="1273" spans="1:11">
      <c r="A1273" t="s">
        <v>1336</v>
      </c>
      <c r="B1273" s="14">
        <v>43310</v>
      </c>
      <c r="C1273" t="s">
        <v>44</v>
      </c>
      <c r="D1273" t="s">
        <v>60</v>
      </c>
      <c r="E1273">
        <v>21</v>
      </c>
      <c r="F1273">
        <v>80</v>
      </c>
      <c r="G1273">
        <v>0.05</v>
      </c>
      <c r="H1273" t="s">
        <v>55</v>
      </c>
      <c r="I1273">
        <v>1680</v>
      </c>
      <c r="J1273">
        <v>84</v>
      </c>
      <c r="K1273">
        <v>1596</v>
      </c>
    </row>
    <row r="1274" spans="1:11">
      <c r="A1274" t="s">
        <v>1337</v>
      </c>
      <c r="B1274" s="14">
        <v>43310</v>
      </c>
      <c r="C1274" t="s">
        <v>44</v>
      </c>
      <c r="D1274" t="s">
        <v>49</v>
      </c>
      <c r="E1274">
        <v>5</v>
      </c>
      <c r="F1274">
        <v>80</v>
      </c>
      <c r="G1274">
        <v>0.07</v>
      </c>
      <c r="H1274" t="s">
        <v>58</v>
      </c>
      <c r="I1274">
        <v>400</v>
      </c>
      <c r="J1274">
        <v>28</v>
      </c>
      <c r="K1274">
        <v>372</v>
      </c>
    </row>
    <row r="1275" spans="1:11">
      <c r="A1275" t="s">
        <v>1338</v>
      </c>
      <c r="B1275" s="14">
        <v>43310</v>
      </c>
      <c r="C1275" t="s">
        <v>63</v>
      </c>
      <c r="D1275" t="s">
        <v>57</v>
      </c>
      <c r="E1275">
        <v>8</v>
      </c>
      <c r="F1275">
        <v>16</v>
      </c>
      <c r="G1275">
        <v>0.03</v>
      </c>
      <c r="H1275" t="s">
        <v>61</v>
      </c>
      <c r="I1275">
        <v>128</v>
      </c>
      <c r="J1275">
        <v>4</v>
      </c>
      <c r="K1275">
        <v>124.16</v>
      </c>
    </row>
    <row r="1276" spans="1:11">
      <c r="A1276" t="s">
        <v>1339</v>
      </c>
      <c r="B1276" s="14">
        <v>43310</v>
      </c>
      <c r="C1276" t="s">
        <v>63</v>
      </c>
      <c r="D1276" t="s">
        <v>57</v>
      </c>
      <c r="E1276">
        <v>12</v>
      </c>
      <c r="F1276">
        <v>16</v>
      </c>
      <c r="G1276">
        <v>0.11</v>
      </c>
      <c r="H1276" t="s">
        <v>65</v>
      </c>
      <c r="I1276">
        <v>192</v>
      </c>
      <c r="J1276">
        <v>21</v>
      </c>
      <c r="K1276">
        <v>170.88</v>
      </c>
    </row>
    <row r="1277" spans="1:11">
      <c r="A1277" t="s">
        <v>1340</v>
      </c>
      <c r="B1277" s="14">
        <v>43310</v>
      </c>
      <c r="C1277" t="s">
        <v>44</v>
      </c>
      <c r="D1277" t="s">
        <v>60</v>
      </c>
      <c r="E1277">
        <v>22</v>
      </c>
      <c r="F1277">
        <v>80</v>
      </c>
      <c r="G1277">
        <v>0.03</v>
      </c>
      <c r="H1277" t="s">
        <v>68</v>
      </c>
      <c r="I1277">
        <v>1760</v>
      </c>
      <c r="J1277">
        <v>53</v>
      </c>
      <c r="K1277">
        <v>1707.2</v>
      </c>
    </row>
    <row r="1278" spans="1:11">
      <c r="A1278" t="s">
        <v>1341</v>
      </c>
      <c r="B1278" s="14">
        <v>43310</v>
      </c>
      <c r="C1278" t="s">
        <v>48</v>
      </c>
      <c r="D1278" t="s">
        <v>45</v>
      </c>
      <c r="E1278">
        <v>5</v>
      </c>
      <c r="F1278">
        <v>40</v>
      </c>
      <c r="G1278">
        <v>0.09</v>
      </c>
      <c r="H1278" t="s">
        <v>70</v>
      </c>
      <c r="I1278">
        <v>200</v>
      </c>
      <c r="J1278">
        <v>18</v>
      </c>
      <c r="K1278">
        <v>182</v>
      </c>
    </row>
    <row r="1279" spans="1:11">
      <c r="A1279" t="s">
        <v>1342</v>
      </c>
      <c r="B1279" s="14">
        <v>43311</v>
      </c>
      <c r="C1279" t="s">
        <v>67</v>
      </c>
      <c r="D1279" t="s">
        <v>49</v>
      </c>
      <c r="E1279">
        <v>23</v>
      </c>
      <c r="F1279">
        <v>150</v>
      </c>
      <c r="G1279">
        <v>0.11</v>
      </c>
      <c r="H1279" t="s">
        <v>72</v>
      </c>
      <c r="I1279">
        <v>3450</v>
      </c>
      <c r="J1279">
        <v>380</v>
      </c>
      <c r="K1279">
        <v>3070.5</v>
      </c>
    </row>
    <row r="1280" spans="1:11">
      <c r="A1280" t="s">
        <v>1343</v>
      </c>
      <c r="B1280" s="14">
        <v>43311</v>
      </c>
      <c r="C1280" t="s">
        <v>44</v>
      </c>
      <c r="D1280" t="s">
        <v>45</v>
      </c>
      <c r="E1280">
        <v>16</v>
      </c>
      <c r="F1280">
        <v>80</v>
      </c>
      <c r="G1280">
        <v>0.03</v>
      </c>
      <c r="H1280" t="s">
        <v>74</v>
      </c>
      <c r="I1280">
        <v>1280</v>
      </c>
      <c r="J1280">
        <v>38</v>
      </c>
      <c r="K1280">
        <v>1241.6</v>
      </c>
    </row>
    <row r="1281" spans="1:11">
      <c r="A1281" t="s">
        <v>1344</v>
      </c>
      <c r="B1281" s="14">
        <v>43311</v>
      </c>
      <c r="C1281" t="s">
        <v>67</v>
      </c>
      <c r="D1281" t="s">
        <v>64</v>
      </c>
      <c r="E1281">
        <v>15</v>
      </c>
      <c r="F1281">
        <v>150</v>
      </c>
      <c r="G1281">
        <v>0.07</v>
      </c>
      <c r="H1281" t="s">
        <v>76</v>
      </c>
      <c r="I1281">
        <v>2250</v>
      </c>
      <c r="J1281">
        <v>158</v>
      </c>
      <c r="K1281">
        <v>2092.5</v>
      </c>
    </row>
    <row r="1282" spans="1:11">
      <c r="A1282" t="s">
        <v>1345</v>
      </c>
      <c r="B1282" s="14">
        <v>43311</v>
      </c>
      <c r="C1282" t="s">
        <v>48</v>
      </c>
      <c r="D1282" t="s">
        <v>45</v>
      </c>
      <c r="E1282">
        <v>20</v>
      </c>
      <c r="F1282">
        <v>40</v>
      </c>
      <c r="G1282">
        <v>0.04</v>
      </c>
      <c r="H1282" t="s">
        <v>46</v>
      </c>
      <c r="I1282">
        <v>800</v>
      </c>
      <c r="J1282">
        <v>32</v>
      </c>
      <c r="K1282">
        <v>768</v>
      </c>
    </row>
    <row r="1283" spans="1:11">
      <c r="A1283" t="s">
        <v>1346</v>
      </c>
      <c r="B1283" s="14">
        <v>43311</v>
      </c>
      <c r="C1283" t="s">
        <v>52</v>
      </c>
      <c r="D1283" t="s">
        <v>57</v>
      </c>
      <c r="E1283">
        <v>10</v>
      </c>
      <c r="F1283">
        <v>230</v>
      </c>
      <c r="G1283">
        <v>0.02</v>
      </c>
      <c r="H1283" t="s">
        <v>50</v>
      </c>
      <c r="I1283">
        <v>2300</v>
      </c>
      <c r="J1283">
        <v>46</v>
      </c>
      <c r="K1283">
        <v>2254</v>
      </c>
    </row>
    <row r="1284" spans="1:11">
      <c r="A1284" t="s">
        <v>1347</v>
      </c>
      <c r="B1284" s="14">
        <v>43311</v>
      </c>
      <c r="C1284" t="s">
        <v>44</v>
      </c>
      <c r="D1284" t="s">
        <v>49</v>
      </c>
      <c r="E1284">
        <v>9</v>
      </c>
      <c r="F1284">
        <v>80</v>
      </c>
      <c r="G1284">
        <v>0.03</v>
      </c>
      <c r="H1284" t="s">
        <v>53</v>
      </c>
      <c r="I1284">
        <v>720</v>
      </c>
      <c r="J1284">
        <v>22</v>
      </c>
      <c r="K1284">
        <v>698.4</v>
      </c>
    </row>
    <row r="1285" spans="1:11">
      <c r="A1285" t="s">
        <v>1348</v>
      </c>
      <c r="B1285" s="14">
        <v>43311</v>
      </c>
      <c r="C1285" t="s">
        <v>52</v>
      </c>
      <c r="D1285" t="s">
        <v>45</v>
      </c>
      <c r="E1285">
        <v>16</v>
      </c>
      <c r="F1285">
        <v>230</v>
      </c>
      <c r="G1285">
        <v>0.07</v>
      </c>
      <c r="H1285" t="s">
        <v>55</v>
      </c>
      <c r="I1285">
        <v>3680</v>
      </c>
      <c r="J1285">
        <v>258</v>
      </c>
      <c r="K1285">
        <v>3422.4</v>
      </c>
    </row>
    <row r="1286" spans="1:11">
      <c r="A1286" t="s">
        <v>1349</v>
      </c>
      <c r="B1286" s="14">
        <v>43311</v>
      </c>
      <c r="C1286" t="s">
        <v>44</v>
      </c>
      <c r="D1286" t="s">
        <v>49</v>
      </c>
      <c r="E1286">
        <v>21</v>
      </c>
      <c r="F1286">
        <v>80</v>
      </c>
      <c r="G1286">
        <v>0.04</v>
      </c>
      <c r="H1286" t="s">
        <v>58</v>
      </c>
      <c r="I1286">
        <v>1680</v>
      </c>
      <c r="J1286">
        <v>67</v>
      </c>
      <c r="K1286">
        <v>1612.8</v>
      </c>
    </row>
    <row r="1287" spans="1:11">
      <c r="A1287" t="s">
        <v>1350</v>
      </c>
      <c r="B1287" s="14">
        <v>43311</v>
      </c>
      <c r="C1287" t="s">
        <v>44</v>
      </c>
      <c r="D1287" t="s">
        <v>49</v>
      </c>
      <c r="E1287">
        <v>9</v>
      </c>
      <c r="F1287">
        <v>80</v>
      </c>
      <c r="G1287">
        <v>0.03</v>
      </c>
      <c r="H1287" t="s">
        <v>61</v>
      </c>
      <c r="I1287">
        <v>720</v>
      </c>
      <c r="J1287">
        <v>22</v>
      </c>
      <c r="K1287">
        <v>698.4</v>
      </c>
    </row>
    <row r="1288" spans="1:11">
      <c r="A1288" t="s">
        <v>1351</v>
      </c>
      <c r="B1288" s="14">
        <v>43311</v>
      </c>
      <c r="C1288" t="s">
        <v>48</v>
      </c>
      <c r="D1288" t="s">
        <v>49</v>
      </c>
      <c r="E1288">
        <v>4</v>
      </c>
      <c r="F1288">
        <v>40</v>
      </c>
      <c r="G1288">
        <v>0.12</v>
      </c>
      <c r="H1288" t="s">
        <v>50</v>
      </c>
      <c r="I1288">
        <v>160</v>
      </c>
      <c r="J1288">
        <v>19</v>
      </c>
      <c r="K1288">
        <v>140.8</v>
      </c>
    </row>
    <row r="1289" spans="1:11">
      <c r="A1289" t="s">
        <v>1352</v>
      </c>
      <c r="B1289" s="14">
        <v>43311</v>
      </c>
      <c r="C1289" t="s">
        <v>52</v>
      </c>
      <c r="D1289" t="s">
        <v>57</v>
      </c>
      <c r="E1289">
        <v>5</v>
      </c>
      <c r="F1289">
        <v>230</v>
      </c>
      <c r="G1289">
        <v>0.01</v>
      </c>
      <c r="H1289" t="s">
        <v>53</v>
      </c>
      <c r="I1289">
        <v>1150</v>
      </c>
      <c r="J1289">
        <v>12</v>
      </c>
      <c r="K1289">
        <v>1138.5</v>
      </c>
    </row>
    <row r="1290" spans="1:11">
      <c r="A1290" t="s">
        <v>1353</v>
      </c>
      <c r="B1290" s="14">
        <v>43311</v>
      </c>
      <c r="C1290" t="s">
        <v>63</v>
      </c>
      <c r="D1290" t="s">
        <v>45</v>
      </c>
      <c r="E1290">
        <v>18</v>
      </c>
      <c r="F1290">
        <v>16</v>
      </c>
      <c r="G1290">
        <v>0.05</v>
      </c>
      <c r="H1290" t="s">
        <v>55</v>
      </c>
      <c r="I1290">
        <v>288</v>
      </c>
      <c r="J1290">
        <v>14</v>
      </c>
      <c r="K1290">
        <v>273.6</v>
      </c>
    </row>
    <row r="1291" spans="1:11">
      <c r="A1291" t="s">
        <v>1354</v>
      </c>
      <c r="B1291" s="14">
        <v>43312</v>
      </c>
      <c r="C1291" t="s">
        <v>44</v>
      </c>
      <c r="D1291" t="s">
        <v>57</v>
      </c>
      <c r="E1291">
        <v>6</v>
      </c>
      <c r="F1291">
        <v>80</v>
      </c>
      <c r="G1291">
        <v>0.01</v>
      </c>
      <c r="H1291" t="s">
        <v>58</v>
      </c>
      <c r="I1291">
        <v>480</v>
      </c>
      <c r="J1291">
        <v>5</v>
      </c>
      <c r="K1291">
        <v>475.2</v>
      </c>
    </row>
    <row r="1292" spans="1:11">
      <c r="A1292" t="s">
        <v>1355</v>
      </c>
      <c r="B1292" s="14">
        <v>43312</v>
      </c>
      <c r="C1292" t="s">
        <v>67</v>
      </c>
      <c r="D1292" t="s">
        <v>64</v>
      </c>
      <c r="E1292">
        <v>4</v>
      </c>
      <c r="F1292">
        <v>150</v>
      </c>
      <c r="G1292">
        <v>0.05</v>
      </c>
      <c r="H1292" t="s">
        <v>61</v>
      </c>
      <c r="I1292">
        <v>600</v>
      </c>
      <c r="J1292">
        <v>30</v>
      </c>
      <c r="K1292">
        <v>570</v>
      </c>
    </row>
    <row r="1293" spans="1:11">
      <c r="A1293" t="s">
        <v>1356</v>
      </c>
      <c r="B1293" s="14">
        <v>43312</v>
      </c>
      <c r="C1293" t="s">
        <v>52</v>
      </c>
      <c r="D1293" t="s">
        <v>64</v>
      </c>
      <c r="E1293">
        <v>21</v>
      </c>
      <c r="F1293">
        <v>230</v>
      </c>
      <c r="G1293">
        <v>0.05</v>
      </c>
      <c r="H1293" t="s">
        <v>65</v>
      </c>
      <c r="I1293">
        <v>4830</v>
      </c>
      <c r="J1293">
        <v>242</v>
      </c>
      <c r="K1293">
        <v>4588.5</v>
      </c>
    </row>
    <row r="1294" spans="1:11">
      <c r="A1294" t="s">
        <v>1357</v>
      </c>
      <c r="B1294" s="14">
        <v>43312</v>
      </c>
      <c r="C1294" t="s">
        <v>67</v>
      </c>
      <c r="D1294" t="s">
        <v>45</v>
      </c>
      <c r="E1294">
        <v>4</v>
      </c>
      <c r="F1294">
        <v>150</v>
      </c>
      <c r="G1294">
        <v>0.06</v>
      </c>
      <c r="H1294" t="s">
        <v>68</v>
      </c>
      <c r="I1294">
        <v>600</v>
      </c>
      <c r="J1294">
        <v>36</v>
      </c>
      <c r="K1294">
        <v>564</v>
      </c>
    </row>
    <row r="1295" spans="1:11">
      <c r="A1295" t="s">
        <v>1358</v>
      </c>
      <c r="B1295" s="14">
        <v>43312</v>
      </c>
      <c r="C1295" t="s">
        <v>44</v>
      </c>
      <c r="D1295" t="s">
        <v>49</v>
      </c>
      <c r="E1295">
        <v>2</v>
      </c>
      <c r="F1295">
        <v>80</v>
      </c>
      <c r="G1295">
        <v>0.04</v>
      </c>
      <c r="H1295" t="s">
        <v>70</v>
      </c>
      <c r="I1295">
        <v>160</v>
      </c>
      <c r="J1295">
        <v>6</v>
      </c>
      <c r="K1295">
        <v>153.6</v>
      </c>
    </row>
    <row r="1296" spans="1:11">
      <c r="A1296" t="s">
        <v>1359</v>
      </c>
      <c r="B1296" s="14">
        <v>43312</v>
      </c>
      <c r="C1296" t="s">
        <v>63</v>
      </c>
      <c r="D1296" t="s">
        <v>49</v>
      </c>
      <c r="E1296">
        <v>5</v>
      </c>
      <c r="F1296">
        <v>16</v>
      </c>
      <c r="G1296">
        <v>0.11</v>
      </c>
      <c r="H1296" t="s">
        <v>72</v>
      </c>
      <c r="I1296">
        <v>80</v>
      </c>
      <c r="J1296">
        <v>9</v>
      </c>
      <c r="K1296">
        <v>71.2</v>
      </c>
    </row>
    <row r="1297" spans="1:11">
      <c r="A1297" t="s">
        <v>1360</v>
      </c>
      <c r="B1297" s="14">
        <v>43312</v>
      </c>
      <c r="C1297" t="s">
        <v>67</v>
      </c>
      <c r="D1297" t="s">
        <v>64</v>
      </c>
      <c r="E1297">
        <v>23</v>
      </c>
      <c r="F1297">
        <v>150</v>
      </c>
      <c r="G1297">
        <v>0.08</v>
      </c>
      <c r="H1297" t="s">
        <v>74</v>
      </c>
      <c r="I1297">
        <v>3450</v>
      </c>
      <c r="J1297">
        <v>276</v>
      </c>
      <c r="K1297">
        <v>3174</v>
      </c>
    </row>
    <row r="1298" spans="1:11">
      <c r="A1298" t="s">
        <v>1361</v>
      </c>
      <c r="B1298" s="14">
        <v>43312</v>
      </c>
      <c r="C1298" t="s">
        <v>44</v>
      </c>
      <c r="D1298" t="s">
        <v>49</v>
      </c>
      <c r="E1298">
        <v>3</v>
      </c>
      <c r="F1298">
        <v>80</v>
      </c>
      <c r="G1298">
        <v>0.02</v>
      </c>
      <c r="H1298" t="s">
        <v>76</v>
      </c>
      <c r="I1298">
        <v>240</v>
      </c>
      <c r="J1298">
        <v>5</v>
      </c>
      <c r="K1298">
        <v>235.2</v>
      </c>
    </row>
    <row r="1299" spans="1:11">
      <c r="A1299" t="s">
        <v>1362</v>
      </c>
      <c r="B1299" s="14">
        <v>43312</v>
      </c>
      <c r="C1299" t="s">
        <v>52</v>
      </c>
      <c r="D1299" t="s">
        <v>64</v>
      </c>
      <c r="E1299">
        <v>17</v>
      </c>
      <c r="F1299">
        <v>230</v>
      </c>
      <c r="G1299">
        <v>0.11</v>
      </c>
      <c r="H1299" t="s">
        <v>46</v>
      </c>
      <c r="I1299">
        <v>3910</v>
      </c>
      <c r="J1299">
        <v>430</v>
      </c>
      <c r="K1299">
        <v>3479.9</v>
      </c>
    </row>
    <row r="1300" spans="1:11">
      <c r="A1300" t="s">
        <v>1363</v>
      </c>
      <c r="B1300" s="14">
        <v>43312</v>
      </c>
      <c r="C1300" t="s">
        <v>48</v>
      </c>
      <c r="D1300" t="s">
        <v>57</v>
      </c>
      <c r="E1300">
        <v>11</v>
      </c>
      <c r="F1300">
        <v>40</v>
      </c>
      <c r="G1300">
        <v>0.05</v>
      </c>
      <c r="H1300" t="s">
        <v>50</v>
      </c>
      <c r="I1300">
        <v>440</v>
      </c>
      <c r="J1300">
        <v>22</v>
      </c>
      <c r="K1300">
        <v>418</v>
      </c>
    </row>
    <row r="1301" spans="1:11">
      <c r="A1301" t="s">
        <v>1364</v>
      </c>
      <c r="B1301" s="14">
        <v>43312</v>
      </c>
      <c r="C1301" t="s">
        <v>48</v>
      </c>
      <c r="D1301" t="s">
        <v>57</v>
      </c>
      <c r="E1301">
        <v>13</v>
      </c>
      <c r="F1301">
        <v>40</v>
      </c>
      <c r="G1301">
        <v>0.02</v>
      </c>
      <c r="H1301" t="s">
        <v>55</v>
      </c>
      <c r="I1301">
        <v>520</v>
      </c>
      <c r="J1301">
        <v>10</v>
      </c>
      <c r="K1301">
        <v>509.6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4"/>
  <sheetViews>
    <sheetView workbookViewId="0">
      <selection activeCell="C7" sqref="C7"/>
    </sheetView>
  </sheetViews>
  <sheetFormatPr defaultColWidth="9" defaultRowHeight="14.4" outlineLevelCol="6"/>
  <cols>
    <col min="1" max="1" width="7.11111111111111" customWidth="1"/>
    <col min="3" max="3" width="10.7777777777778" customWidth="1"/>
    <col min="4" max="4" width="10.2222222222222" customWidth="1"/>
    <col min="6" max="6" width="13.1111111111111" customWidth="1"/>
  </cols>
  <sheetData>
    <row r="1" spans="1: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>
      <c r="A2">
        <v>43282</v>
      </c>
      <c r="B2" t="s">
        <v>44</v>
      </c>
      <c r="C2" t="s">
        <v>45</v>
      </c>
      <c r="D2">
        <v>6</v>
      </c>
      <c r="E2">
        <v>80</v>
      </c>
      <c r="F2">
        <v>0.01</v>
      </c>
      <c r="G2" t="s">
        <v>46</v>
      </c>
    </row>
    <row r="3" spans="1:7">
      <c r="A3">
        <v>43282</v>
      </c>
      <c r="B3" t="s">
        <v>48</v>
      </c>
      <c r="C3" t="s">
        <v>49</v>
      </c>
      <c r="D3">
        <v>20</v>
      </c>
      <c r="E3">
        <v>10</v>
      </c>
      <c r="F3">
        <v>0.05</v>
      </c>
      <c r="G3" t="s">
        <v>50</v>
      </c>
    </row>
    <row r="4" spans="1:7">
      <c r="A4">
        <v>43282</v>
      </c>
      <c r="B4" t="s">
        <v>52</v>
      </c>
      <c r="C4" t="s">
        <v>49</v>
      </c>
      <c r="D4">
        <v>22</v>
      </c>
      <c r="E4">
        <v>230</v>
      </c>
      <c r="F4">
        <v>0.11</v>
      </c>
      <c r="G4" t="s">
        <v>53</v>
      </c>
    </row>
    <row r="5" spans="1:7">
      <c r="A5">
        <v>43282</v>
      </c>
      <c r="B5" t="s">
        <v>52</v>
      </c>
      <c r="C5" t="s">
        <v>45</v>
      </c>
      <c r="D5">
        <v>8</v>
      </c>
      <c r="E5">
        <v>230</v>
      </c>
      <c r="F5">
        <v>0.03</v>
      </c>
      <c r="G5" t="s">
        <v>55</v>
      </c>
    </row>
    <row r="6" spans="1:7">
      <c r="A6">
        <v>43282</v>
      </c>
      <c r="B6" t="s">
        <v>52</v>
      </c>
      <c r="C6" t="s">
        <v>57</v>
      </c>
      <c r="D6">
        <v>12</v>
      </c>
      <c r="E6">
        <v>230</v>
      </c>
      <c r="F6">
        <v>0.03</v>
      </c>
      <c r="G6" t="s">
        <v>58</v>
      </c>
    </row>
    <row r="7" spans="1:7">
      <c r="A7">
        <v>43282</v>
      </c>
      <c r="B7" t="s">
        <v>44</v>
      </c>
      <c r="C7" t="s">
        <v>60</v>
      </c>
      <c r="D7">
        <v>19</v>
      </c>
      <c r="E7">
        <v>80</v>
      </c>
      <c r="F7">
        <v>0.02</v>
      </c>
      <c r="G7" t="s">
        <v>61</v>
      </c>
    </row>
    <row r="8" spans="1:7">
      <c r="A8">
        <v>43282</v>
      </c>
      <c r="B8" t="s">
        <v>63</v>
      </c>
      <c r="C8" t="s">
        <v>64</v>
      </c>
      <c r="D8">
        <v>17</v>
      </c>
      <c r="E8">
        <v>16</v>
      </c>
      <c r="F8">
        <v>0.08</v>
      </c>
      <c r="G8" t="s">
        <v>65</v>
      </c>
    </row>
    <row r="9" spans="1:7">
      <c r="A9">
        <v>43282</v>
      </c>
      <c r="B9" t="s">
        <v>67</v>
      </c>
      <c r="C9" t="s">
        <v>60</v>
      </c>
      <c r="D9">
        <v>7</v>
      </c>
      <c r="E9">
        <v>150</v>
      </c>
      <c r="F9">
        <v>0.05</v>
      </c>
      <c r="G9" t="s">
        <v>68</v>
      </c>
    </row>
    <row r="10" spans="1:7">
      <c r="A10">
        <v>43282</v>
      </c>
      <c r="B10" t="s">
        <v>67</v>
      </c>
      <c r="C10" t="s">
        <v>60</v>
      </c>
      <c r="D10">
        <v>20</v>
      </c>
      <c r="E10">
        <v>150</v>
      </c>
      <c r="F10">
        <v>0.1</v>
      </c>
      <c r="G10" t="s">
        <v>70</v>
      </c>
    </row>
    <row r="11" spans="1:7">
      <c r="A11">
        <v>43282</v>
      </c>
      <c r="B11" t="s">
        <v>63</v>
      </c>
      <c r="C11" t="s">
        <v>45</v>
      </c>
      <c r="D11">
        <v>21</v>
      </c>
      <c r="E11">
        <v>16</v>
      </c>
      <c r="F11">
        <v>0.09</v>
      </c>
      <c r="G11" t="s">
        <v>72</v>
      </c>
    </row>
    <row r="12" spans="1:7">
      <c r="A12">
        <v>43282</v>
      </c>
      <c r="B12" t="s">
        <v>52</v>
      </c>
      <c r="C12" t="s">
        <v>49</v>
      </c>
      <c r="D12">
        <v>7</v>
      </c>
      <c r="E12">
        <v>230</v>
      </c>
      <c r="F12">
        <v>0.01</v>
      </c>
      <c r="G12" t="s">
        <v>74</v>
      </c>
    </row>
    <row r="13" spans="1:7">
      <c r="A13">
        <v>43283</v>
      </c>
      <c r="B13" t="s">
        <v>44</v>
      </c>
      <c r="C13" t="s">
        <v>60</v>
      </c>
      <c r="D13">
        <v>7</v>
      </c>
      <c r="E13">
        <v>80</v>
      </c>
      <c r="F13">
        <v>0.07</v>
      </c>
      <c r="G13" t="s">
        <v>76</v>
      </c>
    </row>
    <row r="14" spans="1:7">
      <c r="A14">
        <v>43283</v>
      </c>
      <c r="B14" t="s">
        <v>44</v>
      </c>
      <c r="C14" t="s">
        <v>64</v>
      </c>
      <c r="D14">
        <v>9</v>
      </c>
      <c r="E14">
        <v>80</v>
      </c>
      <c r="F14">
        <v>0.02</v>
      </c>
      <c r="G14" t="s">
        <v>46</v>
      </c>
    </row>
    <row r="15" spans="1:7">
      <c r="A15">
        <v>43283</v>
      </c>
      <c r="B15" t="s">
        <v>48</v>
      </c>
      <c r="C15" t="s">
        <v>64</v>
      </c>
      <c r="D15">
        <v>16</v>
      </c>
      <c r="E15">
        <v>40</v>
      </c>
      <c r="F15">
        <v>0.09</v>
      </c>
      <c r="G15" t="s">
        <v>50</v>
      </c>
    </row>
    <row r="16" spans="1:7">
      <c r="A16">
        <v>43283</v>
      </c>
      <c r="B16" t="s">
        <v>67</v>
      </c>
      <c r="C16" t="s">
        <v>49</v>
      </c>
      <c r="D16">
        <v>23</v>
      </c>
      <c r="E16">
        <v>150</v>
      </c>
      <c r="F16">
        <v>0.11</v>
      </c>
      <c r="G16" t="s">
        <v>53</v>
      </c>
    </row>
    <row r="17" spans="1:7">
      <c r="A17">
        <v>43283</v>
      </c>
      <c r="B17" t="s">
        <v>63</v>
      </c>
      <c r="C17" t="s">
        <v>60</v>
      </c>
      <c r="D17">
        <v>22</v>
      </c>
      <c r="E17">
        <v>16</v>
      </c>
      <c r="F17">
        <v>0.03</v>
      </c>
      <c r="G17" t="s">
        <v>55</v>
      </c>
    </row>
    <row r="18" spans="1:7">
      <c r="A18">
        <v>43283</v>
      </c>
      <c r="B18" t="s">
        <v>48</v>
      </c>
      <c r="C18" t="s">
        <v>60</v>
      </c>
      <c r="D18">
        <v>23</v>
      </c>
      <c r="E18">
        <v>40</v>
      </c>
      <c r="F18">
        <v>0.06</v>
      </c>
      <c r="G18" t="s">
        <v>58</v>
      </c>
    </row>
    <row r="19" spans="1:7">
      <c r="A19">
        <v>43283</v>
      </c>
      <c r="B19" t="s">
        <v>44</v>
      </c>
      <c r="C19" t="s">
        <v>45</v>
      </c>
      <c r="D19">
        <v>20</v>
      </c>
      <c r="E19">
        <v>80</v>
      </c>
      <c r="F19">
        <v>0.01</v>
      </c>
      <c r="G19" t="s">
        <v>61</v>
      </c>
    </row>
    <row r="20" spans="1:7">
      <c r="A20">
        <v>43284</v>
      </c>
      <c r="B20" t="s">
        <v>44</v>
      </c>
      <c r="C20" t="s">
        <v>60</v>
      </c>
      <c r="D20">
        <v>11</v>
      </c>
      <c r="E20">
        <v>80</v>
      </c>
      <c r="F20">
        <v>0.01</v>
      </c>
      <c r="G20" t="s">
        <v>65</v>
      </c>
    </row>
    <row r="21" spans="1:7">
      <c r="A21">
        <v>43284</v>
      </c>
      <c r="B21" t="s">
        <v>48</v>
      </c>
      <c r="C21" t="s">
        <v>60</v>
      </c>
      <c r="D21">
        <v>9</v>
      </c>
      <c r="E21">
        <v>40</v>
      </c>
      <c r="F21">
        <v>0.06</v>
      </c>
      <c r="G21" t="s">
        <v>68</v>
      </c>
    </row>
    <row r="22" spans="1:7">
      <c r="A22">
        <v>43284</v>
      </c>
      <c r="B22" t="s">
        <v>44</v>
      </c>
      <c r="C22" t="s">
        <v>64</v>
      </c>
      <c r="D22">
        <v>16</v>
      </c>
      <c r="E22">
        <v>80</v>
      </c>
      <c r="F22">
        <v>0.09</v>
      </c>
      <c r="G22" t="s">
        <v>70</v>
      </c>
    </row>
    <row r="23" spans="1:7">
      <c r="A23">
        <v>43284</v>
      </c>
      <c r="B23" t="s">
        <v>44</v>
      </c>
      <c r="C23" t="s">
        <v>57</v>
      </c>
      <c r="D23">
        <v>10</v>
      </c>
      <c r="E23">
        <v>80</v>
      </c>
      <c r="F23">
        <v>0.08</v>
      </c>
      <c r="G23" t="s">
        <v>72</v>
      </c>
    </row>
    <row r="24" spans="1:7">
      <c r="A24">
        <v>43284</v>
      </c>
      <c r="B24" t="s">
        <v>63</v>
      </c>
      <c r="C24" t="s">
        <v>57</v>
      </c>
      <c r="D24">
        <v>12</v>
      </c>
      <c r="E24">
        <v>16</v>
      </c>
      <c r="F24">
        <v>0.11</v>
      </c>
      <c r="G24" t="s">
        <v>74</v>
      </c>
    </row>
    <row r="25" spans="1:7">
      <c r="A25">
        <v>43284</v>
      </c>
      <c r="B25" t="s">
        <v>67</v>
      </c>
      <c r="C25" t="s">
        <v>60</v>
      </c>
      <c r="D25">
        <v>6</v>
      </c>
      <c r="E25">
        <v>150</v>
      </c>
      <c r="F25">
        <v>0.03</v>
      </c>
      <c r="G25" t="s">
        <v>76</v>
      </c>
    </row>
    <row r="26" spans="1:7">
      <c r="A26">
        <v>43284</v>
      </c>
      <c r="B26" t="s">
        <v>63</v>
      </c>
      <c r="C26" t="s">
        <v>57</v>
      </c>
      <c r="D26">
        <v>11</v>
      </c>
      <c r="E26">
        <v>16</v>
      </c>
      <c r="F26">
        <v>0.04</v>
      </c>
      <c r="G26" t="s">
        <v>46</v>
      </c>
    </row>
    <row r="27" spans="1:7">
      <c r="A27">
        <v>43284</v>
      </c>
      <c r="B27" t="s">
        <v>44</v>
      </c>
      <c r="C27" t="s">
        <v>60</v>
      </c>
      <c r="D27">
        <v>22</v>
      </c>
      <c r="E27">
        <v>80</v>
      </c>
      <c r="F27">
        <v>0.03</v>
      </c>
      <c r="G27" t="s">
        <v>50</v>
      </c>
    </row>
    <row r="28" spans="1:7">
      <c r="A28">
        <v>43284</v>
      </c>
      <c r="B28" t="s">
        <v>63</v>
      </c>
      <c r="C28" t="s">
        <v>49</v>
      </c>
      <c r="D28">
        <v>7</v>
      </c>
      <c r="E28">
        <v>16</v>
      </c>
      <c r="F28">
        <v>0.08</v>
      </c>
      <c r="G28" t="s">
        <v>53</v>
      </c>
    </row>
    <row r="29" spans="1:7">
      <c r="A29">
        <v>43284</v>
      </c>
      <c r="B29" t="s">
        <v>48</v>
      </c>
      <c r="C29" t="s">
        <v>60</v>
      </c>
      <c r="D29">
        <v>13</v>
      </c>
      <c r="E29">
        <v>40</v>
      </c>
      <c r="F29">
        <v>0.09</v>
      </c>
      <c r="G29" t="s">
        <v>55</v>
      </c>
    </row>
    <row r="30" spans="1:7">
      <c r="A30">
        <v>43284</v>
      </c>
      <c r="B30" t="s">
        <v>52</v>
      </c>
      <c r="C30" t="s">
        <v>60</v>
      </c>
      <c r="D30">
        <v>8</v>
      </c>
      <c r="E30">
        <v>230</v>
      </c>
      <c r="F30">
        <v>0.05</v>
      </c>
      <c r="G30" t="s">
        <v>58</v>
      </c>
    </row>
    <row r="31" spans="1:7">
      <c r="A31">
        <v>43284</v>
      </c>
      <c r="B31" t="s">
        <v>63</v>
      </c>
      <c r="C31" t="s">
        <v>60</v>
      </c>
      <c r="D31">
        <v>14</v>
      </c>
      <c r="E31">
        <v>16</v>
      </c>
      <c r="F31">
        <v>0.12</v>
      </c>
      <c r="G31" t="s">
        <v>61</v>
      </c>
    </row>
    <row r="32" spans="1:7">
      <c r="A32">
        <v>43284</v>
      </c>
      <c r="B32" t="s">
        <v>48</v>
      </c>
      <c r="C32" t="s">
        <v>64</v>
      </c>
      <c r="D32">
        <v>16</v>
      </c>
      <c r="E32">
        <v>40</v>
      </c>
      <c r="F32">
        <v>0.09</v>
      </c>
      <c r="G32" t="s">
        <v>65</v>
      </c>
    </row>
    <row r="33" spans="1:7">
      <c r="A33">
        <v>43285</v>
      </c>
      <c r="B33" t="s">
        <v>67</v>
      </c>
      <c r="C33" t="s">
        <v>49</v>
      </c>
      <c r="D33">
        <v>16</v>
      </c>
      <c r="E33">
        <v>150</v>
      </c>
      <c r="F33">
        <v>0.05</v>
      </c>
      <c r="G33" t="s">
        <v>68</v>
      </c>
    </row>
    <row r="34" spans="1:7">
      <c r="A34">
        <v>43285</v>
      </c>
      <c r="B34" t="s">
        <v>48</v>
      </c>
      <c r="C34" t="s">
        <v>49</v>
      </c>
      <c r="D34">
        <v>12</v>
      </c>
      <c r="E34">
        <v>40</v>
      </c>
      <c r="F34">
        <v>0.1</v>
      </c>
      <c r="G34" t="s">
        <v>70</v>
      </c>
    </row>
    <row r="35" spans="1:7">
      <c r="A35">
        <v>43285</v>
      </c>
      <c r="B35" t="s">
        <v>44</v>
      </c>
      <c r="C35" t="s">
        <v>64</v>
      </c>
      <c r="D35">
        <v>17</v>
      </c>
      <c r="E35">
        <v>80</v>
      </c>
      <c r="F35">
        <v>0.07</v>
      </c>
      <c r="G35" t="s">
        <v>72</v>
      </c>
    </row>
    <row r="36" spans="1:7">
      <c r="A36">
        <v>43285</v>
      </c>
      <c r="B36" t="s">
        <v>52</v>
      </c>
      <c r="C36" t="s">
        <v>60</v>
      </c>
      <c r="D36">
        <v>19</v>
      </c>
      <c r="E36">
        <v>230</v>
      </c>
      <c r="F36">
        <v>0.06</v>
      </c>
      <c r="G36" t="s">
        <v>74</v>
      </c>
    </row>
    <row r="37" spans="1:7">
      <c r="A37">
        <v>43285</v>
      </c>
      <c r="B37" t="s">
        <v>52</v>
      </c>
      <c r="C37" t="s">
        <v>64</v>
      </c>
      <c r="D37">
        <v>22</v>
      </c>
      <c r="E37">
        <v>230</v>
      </c>
      <c r="F37">
        <v>0.1</v>
      </c>
      <c r="G37" t="s">
        <v>76</v>
      </c>
    </row>
    <row r="38" spans="1:7">
      <c r="A38">
        <v>43285</v>
      </c>
      <c r="B38" t="s">
        <v>48</v>
      </c>
      <c r="C38" t="s">
        <v>60</v>
      </c>
      <c r="D38">
        <v>22</v>
      </c>
      <c r="E38">
        <v>40</v>
      </c>
      <c r="F38">
        <v>0.01</v>
      </c>
      <c r="G38" t="s">
        <v>46</v>
      </c>
    </row>
    <row r="39" spans="1:7">
      <c r="A39">
        <v>43285</v>
      </c>
      <c r="B39" t="s">
        <v>63</v>
      </c>
      <c r="C39" t="s">
        <v>60</v>
      </c>
      <c r="D39">
        <v>10</v>
      </c>
      <c r="E39">
        <v>16</v>
      </c>
      <c r="F39">
        <v>0.04</v>
      </c>
      <c r="G39" t="s">
        <v>50</v>
      </c>
    </row>
    <row r="40" spans="1:7">
      <c r="A40">
        <v>43285</v>
      </c>
      <c r="B40" t="s">
        <v>48</v>
      </c>
      <c r="C40" t="s">
        <v>49</v>
      </c>
      <c r="D40">
        <v>4</v>
      </c>
      <c r="E40">
        <v>40</v>
      </c>
      <c r="F40">
        <v>0.12</v>
      </c>
      <c r="G40" t="s">
        <v>53</v>
      </c>
    </row>
    <row r="41" spans="1:7">
      <c r="A41">
        <v>43285</v>
      </c>
      <c r="B41" t="s">
        <v>48</v>
      </c>
      <c r="C41" t="s">
        <v>64</v>
      </c>
      <c r="D41">
        <v>20</v>
      </c>
      <c r="E41">
        <v>40</v>
      </c>
      <c r="F41">
        <v>0.05</v>
      </c>
      <c r="G41" t="s">
        <v>55</v>
      </c>
    </row>
    <row r="42" spans="1:7">
      <c r="A42">
        <v>43286</v>
      </c>
      <c r="B42" t="s">
        <v>52</v>
      </c>
      <c r="C42" t="s">
        <v>60</v>
      </c>
      <c r="D42">
        <v>23</v>
      </c>
      <c r="E42">
        <v>230</v>
      </c>
      <c r="F42">
        <v>0.06</v>
      </c>
      <c r="G42" t="s">
        <v>58</v>
      </c>
    </row>
    <row r="43" spans="1:7">
      <c r="A43">
        <v>43286</v>
      </c>
      <c r="B43" t="s">
        <v>48</v>
      </c>
      <c r="C43" t="s">
        <v>57</v>
      </c>
      <c r="D43">
        <v>20</v>
      </c>
      <c r="E43">
        <v>40</v>
      </c>
      <c r="F43">
        <v>0.01</v>
      </c>
      <c r="G43" t="s">
        <v>61</v>
      </c>
    </row>
    <row r="44" spans="1:7">
      <c r="A44">
        <v>43286</v>
      </c>
      <c r="B44" t="s">
        <v>67</v>
      </c>
      <c r="C44" t="s">
        <v>57</v>
      </c>
      <c r="D44">
        <v>20</v>
      </c>
      <c r="E44">
        <v>150</v>
      </c>
      <c r="F44">
        <v>0.04</v>
      </c>
      <c r="G44" t="s">
        <v>65</v>
      </c>
    </row>
    <row r="45" spans="1:7">
      <c r="A45">
        <v>43286</v>
      </c>
      <c r="B45" t="s">
        <v>44</v>
      </c>
      <c r="C45" t="s">
        <v>49</v>
      </c>
      <c r="D45">
        <v>9</v>
      </c>
      <c r="E45">
        <v>80</v>
      </c>
      <c r="F45">
        <v>0.03</v>
      </c>
      <c r="G45" t="s">
        <v>68</v>
      </c>
    </row>
    <row r="46" spans="1:7">
      <c r="A46">
        <v>43286</v>
      </c>
      <c r="B46" t="s">
        <v>52</v>
      </c>
      <c r="C46" t="s">
        <v>45</v>
      </c>
      <c r="D46">
        <v>7</v>
      </c>
      <c r="E46">
        <v>230</v>
      </c>
      <c r="F46">
        <v>0.02</v>
      </c>
      <c r="G46" t="s">
        <v>70</v>
      </c>
    </row>
    <row r="47" spans="1:7">
      <c r="A47">
        <v>43286</v>
      </c>
      <c r="B47" t="s">
        <v>52</v>
      </c>
      <c r="C47" t="s">
        <v>45</v>
      </c>
      <c r="D47">
        <v>3</v>
      </c>
      <c r="E47">
        <v>230</v>
      </c>
      <c r="F47">
        <v>0.06</v>
      </c>
      <c r="G47" t="s">
        <v>72</v>
      </c>
    </row>
    <row r="48" spans="1:7">
      <c r="A48">
        <v>43286</v>
      </c>
      <c r="B48" t="s">
        <v>67</v>
      </c>
      <c r="C48" t="s">
        <v>45</v>
      </c>
      <c r="D48">
        <v>13</v>
      </c>
      <c r="E48">
        <v>150</v>
      </c>
      <c r="F48">
        <v>0.05</v>
      </c>
      <c r="G48" t="s">
        <v>74</v>
      </c>
    </row>
    <row r="49" spans="1:7">
      <c r="A49">
        <v>43286</v>
      </c>
      <c r="B49" t="s">
        <v>44</v>
      </c>
      <c r="C49" t="s">
        <v>45</v>
      </c>
      <c r="D49">
        <v>17</v>
      </c>
      <c r="E49">
        <v>80</v>
      </c>
      <c r="F49">
        <v>0.09</v>
      </c>
      <c r="G49" t="s">
        <v>76</v>
      </c>
    </row>
    <row r="50" spans="1:7">
      <c r="A50">
        <v>43287</v>
      </c>
      <c r="B50" t="s">
        <v>48</v>
      </c>
      <c r="C50" t="s">
        <v>60</v>
      </c>
      <c r="D50">
        <v>18</v>
      </c>
      <c r="E50">
        <v>40</v>
      </c>
      <c r="F50">
        <v>0.06</v>
      </c>
      <c r="G50" t="s">
        <v>46</v>
      </c>
    </row>
    <row r="51" spans="1:7">
      <c r="A51">
        <v>43287</v>
      </c>
      <c r="B51" t="s">
        <v>63</v>
      </c>
      <c r="C51" t="s">
        <v>57</v>
      </c>
      <c r="D51">
        <v>23</v>
      </c>
      <c r="E51">
        <v>16</v>
      </c>
      <c r="F51">
        <v>0.11</v>
      </c>
      <c r="G51" t="s">
        <v>50</v>
      </c>
    </row>
    <row r="52" spans="1:7">
      <c r="A52">
        <v>43287</v>
      </c>
      <c r="B52" t="s">
        <v>52</v>
      </c>
      <c r="C52" t="s">
        <v>57</v>
      </c>
      <c r="D52">
        <v>20</v>
      </c>
      <c r="E52">
        <v>230</v>
      </c>
      <c r="F52">
        <v>0.06</v>
      </c>
      <c r="G52" t="s">
        <v>53</v>
      </c>
    </row>
    <row r="53" spans="1:7">
      <c r="A53">
        <v>43287</v>
      </c>
      <c r="B53" t="s">
        <v>63</v>
      </c>
      <c r="C53" t="s">
        <v>45</v>
      </c>
      <c r="D53">
        <v>11</v>
      </c>
      <c r="E53">
        <v>16</v>
      </c>
      <c r="F53">
        <v>0.09</v>
      </c>
      <c r="G53" t="s">
        <v>55</v>
      </c>
    </row>
    <row r="54" spans="1:7">
      <c r="A54">
        <v>43287</v>
      </c>
      <c r="B54" t="s">
        <v>67</v>
      </c>
      <c r="C54" t="s">
        <v>64</v>
      </c>
      <c r="D54">
        <v>15</v>
      </c>
      <c r="E54">
        <v>150</v>
      </c>
      <c r="F54">
        <v>0.07</v>
      </c>
      <c r="G54" t="s">
        <v>58</v>
      </c>
    </row>
    <row r="55" spans="1:7">
      <c r="A55">
        <v>43287</v>
      </c>
      <c r="B55" t="s">
        <v>52</v>
      </c>
      <c r="C55" t="s">
        <v>49</v>
      </c>
      <c r="D55">
        <v>6</v>
      </c>
      <c r="E55">
        <v>230</v>
      </c>
      <c r="F55">
        <v>0.1</v>
      </c>
      <c r="G55" t="s">
        <v>61</v>
      </c>
    </row>
    <row r="56" spans="1:7">
      <c r="A56">
        <v>43287</v>
      </c>
      <c r="B56" t="s">
        <v>48</v>
      </c>
      <c r="C56" t="s">
        <v>45</v>
      </c>
      <c r="D56">
        <v>22</v>
      </c>
      <c r="E56">
        <v>40</v>
      </c>
      <c r="F56">
        <v>0.02</v>
      </c>
      <c r="G56" t="s">
        <v>65</v>
      </c>
    </row>
    <row r="57" spans="1:7">
      <c r="A57">
        <v>43287</v>
      </c>
      <c r="B57" t="s">
        <v>48</v>
      </c>
      <c r="C57" t="s">
        <v>45</v>
      </c>
      <c r="D57">
        <v>15</v>
      </c>
      <c r="E57">
        <v>40</v>
      </c>
      <c r="F57">
        <v>0.06</v>
      </c>
      <c r="G57" t="s">
        <v>68</v>
      </c>
    </row>
    <row r="58" spans="1:7">
      <c r="A58">
        <v>43287</v>
      </c>
      <c r="B58" t="s">
        <v>63</v>
      </c>
      <c r="C58" t="s">
        <v>57</v>
      </c>
      <c r="D58">
        <v>12</v>
      </c>
      <c r="E58">
        <v>16</v>
      </c>
      <c r="F58">
        <v>0.03</v>
      </c>
      <c r="G58" t="s">
        <v>70</v>
      </c>
    </row>
    <row r="59" spans="1:7">
      <c r="A59">
        <v>43287</v>
      </c>
      <c r="B59" t="s">
        <v>63</v>
      </c>
      <c r="C59" t="s">
        <v>64</v>
      </c>
      <c r="D59">
        <v>22</v>
      </c>
      <c r="E59">
        <v>16</v>
      </c>
      <c r="F59">
        <v>0.12</v>
      </c>
      <c r="G59" t="s">
        <v>72</v>
      </c>
    </row>
    <row r="60" spans="1:7">
      <c r="A60">
        <v>43287</v>
      </c>
      <c r="B60" t="s">
        <v>44</v>
      </c>
      <c r="C60" t="s">
        <v>45</v>
      </c>
      <c r="D60">
        <v>21</v>
      </c>
      <c r="E60">
        <v>80</v>
      </c>
      <c r="F60">
        <v>0.04</v>
      </c>
      <c r="G60" t="s">
        <v>74</v>
      </c>
    </row>
    <row r="61" spans="1:7">
      <c r="A61">
        <v>43287</v>
      </c>
      <c r="B61" t="s">
        <v>67</v>
      </c>
      <c r="C61" t="s">
        <v>45</v>
      </c>
      <c r="D61">
        <v>22</v>
      </c>
      <c r="E61">
        <v>150</v>
      </c>
      <c r="F61">
        <v>0.05</v>
      </c>
      <c r="G61" t="s">
        <v>76</v>
      </c>
    </row>
    <row r="62" spans="1:7">
      <c r="A62">
        <v>43287</v>
      </c>
      <c r="B62" t="s">
        <v>44</v>
      </c>
      <c r="C62" t="s">
        <v>64</v>
      </c>
      <c r="D62">
        <v>21</v>
      </c>
      <c r="E62">
        <v>80</v>
      </c>
      <c r="F62">
        <v>0.09</v>
      </c>
      <c r="G62" t="s">
        <v>46</v>
      </c>
    </row>
    <row r="63" spans="1:7">
      <c r="A63">
        <v>43287</v>
      </c>
      <c r="B63" t="s">
        <v>44</v>
      </c>
      <c r="C63" t="s">
        <v>60</v>
      </c>
      <c r="D63">
        <v>10</v>
      </c>
      <c r="E63">
        <v>80</v>
      </c>
      <c r="F63">
        <v>0.1</v>
      </c>
      <c r="G63" t="s">
        <v>50</v>
      </c>
    </row>
    <row r="64" spans="1:7">
      <c r="A64">
        <v>43287</v>
      </c>
      <c r="B64" t="s">
        <v>52</v>
      </c>
      <c r="C64" t="s">
        <v>49</v>
      </c>
      <c r="D64">
        <v>15</v>
      </c>
      <c r="E64">
        <v>230</v>
      </c>
      <c r="F64">
        <v>0.09</v>
      </c>
      <c r="G64" t="s">
        <v>53</v>
      </c>
    </row>
    <row r="65" spans="1:7">
      <c r="A65">
        <v>43288</v>
      </c>
      <c r="B65" t="s">
        <v>44</v>
      </c>
      <c r="C65" t="s">
        <v>45</v>
      </c>
      <c r="D65">
        <v>14</v>
      </c>
      <c r="E65">
        <v>80</v>
      </c>
      <c r="F65">
        <v>0.08</v>
      </c>
      <c r="G65" t="s">
        <v>55</v>
      </c>
    </row>
    <row r="66" spans="1:7">
      <c r="A66">
        <v>43288</v>
      </c>
      <c r="B66" t="s">
        <v>44</v>
      </c>
      <c r="C66" t="s">
        <v>64</v>
      </c>
      <c r="D66">
        <v>10</v>
      </c>
      <c r="E66">
        <v>80</v>
      </c>
      <c r="F66">
        <v>0.06</v>
      </c>
      <c r="G66" t="s">
        <v>58</v>
      </c>
    </row>
    <row r="67" spans="1:7">
      <c r="A67">
        <v>43288</v>
      </c>
      <c r="B67" t="s">
        <v>67</v>
      </c>
      <c r="C67" t="s">
        <v>45</v>
      </c>
      <c r="D67">
        <v>5</v>
      </c>
      <c r="E67">
        <v>150</v>
      </c>
      <c r="F67">
        <v>0.11</v>
      </c>
      <c r="G67" t="s">
        <v>61</v>
      </c>
    </row>
    <row r="68" spans="1:7">
      <c r="A68">
        <v>43288</v>
      </c>
      <c r="B68" t="s">
        <v>52</v>
      </c>
      <c r="C68" t="s">
        <v>60</v>
      </c>
      <c r="D68">
        <v>3</v>
      </c>
      <c r="E68">
        <v>230</v>
      </c>
      <c r="F68">
        <v>0.01</v>
      </c>
      <c r="G68" t="s">
        <v>65</v>
      </c>
    </row>
    <row r="69" spans="1:7">
      <c r="A69">
        <v>43288</v>
      </c>
      <c r="B69" t="s">
        <v>48</v>
      </c>
      <c r="C69" t="s">
        <v>60</v>
      </c>
      <c r="D69">
        <v>4</v>
      </c>
      <c r="E69">
        <v>40</v>
      </c>
      <c r="F69">
        <v>0.05</v>
      </c>
      <c r="G69" t="s">
        <v>68</v>
      </c>
    </row>
    <row r="70" spans="1:7">
      <c r="A70">
        <v>43288</v>
      </c>
      <c r="B70" t="s">
        <v>67</v>
      </c>
      <c r="C70" t="s">
        <v>57</v>
      </c>
      <c r="D70">
        <v>18</v>
      </c>
      <c r="E70">
        <v>150</v>
      </c>
      <c r="F70">
        <v>0.06</v>
      </c>
      <c r="G70" t="s">
        <v>70</v>
      </c>
    </row>
    <row r="71" spans="1:7">
      <c r="A71">
        <v>43288</v>
      </c>
      <c r="B71" t="s">
        <v>48</v>
      </c>
      <c r="C71" t="s">
        <v>64</v>
      </c>
      <c r="D71">
        <v>20</v>
      </c>
      <c r="E71">
        <v>40</v>
      </c>
      <c r="F71">
        <v>0.1</v>
      </c>
      <c r="G71" t="s">
        <v>72</v>
      </c>
    </row>
    <row r="72" spans="1:7">
      <c r="A72">
        <v>43288</v>
      </c>
      <c r="B72" t="s">
        <v>44</v>
      </c>
      <c r="C72" t="s">
        <v>60</v>
      </c>
      <c r="D72">
        <v>16</v>
      </c>
      <c r="E72">
        <v>80</v>
      </c>
      <c r="F72">
        <v>0.05</v>
      </c>
      <c r="G72" t="s">
        <v>46</v>
      </c>
    </row>
    <row r="73" spans="1:7">
      <c r="A73">
        <v>43288</v>
      </c>
      <c r="B73" t="s">
        <v>48</v>
      </c>
      <c r="C73" t="s">
        <v>57</v>
      </c>
      <c r="D73">
        <v>4</v>
      </c>
      <c r="E73">
        <v>40</v>
      </c>
      <c r="F73">
        <v>0.06</v>
      </c>
      <c r="G73" t="s">
        <v>50</v>
      </c>
    </row>
    <row r="74" spans="1:7">
      <c r="A74">
        <v>43288</v>
      </c>
      <c r="B74" t="s">
        <v>48</v>
      </c>
      <c r="C74" t="s">
        <v>49</v>
      </c>
      <c r="D74">
        <v>4</v>
      </c>
      <c r="E74">
        <v>40</v>
      </c>
      <c r="F74">
        <v>0.03</v>
      </c>
      <c r="G74" t="s">
        <v>53</v>
      </c>
    </row>
    <row r="75" spans="1:7">
      <c r="A75">
        <v>43288</v>
      </c>
      <c r="B75" t="s">
        <v>48</v>
      </c>
      <c r="C75" t="s">
        <v>49</v>
      </c>
      <c r="D75">
        <v>15</v>
      </c>
      <c r="E75">
        <v>40</v>
      </c>
      <c r="F75">
        <v>0.02</v>
      </c>
      <c r="G75" t="s">
        <v>55</v>
      </c>
    </row>
    <row r="76" spans="1:7">
      <c r="A76">
        <v>43288</v>
      </c>
      <c r="B76" t="s">
        <v>48</v>
      </c>
      <c r="C76" t="s">
        <v>57</v>
      </c>
      <c r="D76">
        <v>20</v>
      </c>
      <c r="E76">
        <v>40</v>
      </c>
      <c r="F76">
        <v>0.01</v>
      </c>
      <c r="G76" t="s">
        <v>58</v>
      </c>
    </row>
    <row r="77" spans="1:7">
      <c r="A77">
        <v>43288</v>
      </c>
      <c r="B77" t="s">
        <v>63</v>
      </c>
      <c r="C77" t="s">
        <v>64</v>
      </c>
      <c r="D77">
        <v>14</v>
      </c>
      <c r="E77">
        <v>16</v>
      </c>
      <c r="F77">
        <v>0.06</v>
      </c>
      <c r="G77" t="s">
        <v>61</v>
      </c>
    </row>
    <row r="78" spans="1:7">
      <c r="A78">
        <v>43289</v>
      </c>
      <c r="B78" t="s">
        <v>67</v>
      </c>
      <c r="C78" t="s">
        <v>57</v>
      </c>
      <c r="D78">
        <v>11</v>
      </c>
      <c r="E78">
        <v>150</v>
      </c>
      <c r="F78">
        <v>0.11</v>
      </c>
      <c r="G78" t="s">
        <v>65</v>
      </c>
    </row>
    <row r="79" spans="1:7">
      <c r="A79">
        <v>43289</v>
      </c>
      <c r="B79" t="s">
        <v>67</v>
      </c>
      <c r="C79" t="s">
        <v>57</v>
      </c>
      <c r="D79">
        <v>9</v>
      </c>
      <c r="E79">
        <v>150</v>
      </c>
      <c r="F79">
        <v>0.02</v>
      </c>
      <c r="G79" t="s">
        <v>68</v>
      </c>
    </row>
    <row r="80" spans="1:7">
      <c r="A80">
        <v>43289</v>
      </c>
      <c r="B80" t="s">
        <v>63</v>
      </c>
      <c r="C80" t="s">
        <v>64</v>
      </c>
      <c r="D80">
        <v>11</v>
      </c>
      <c r="E80">
        <v>16</v>
      </c>
      <c r="F80">
        <v>0.12</v>
      </c>
      <c r="G80" t="s">
        <v>70</v>
      </c>
    </row>
    <row r="81" spans="1:7">
      <c r="A81">
        <v>43289</v>
      </c>
      <c r="B81" t="s">
        <v>48</v>
      </c>
      <c r="C81" t="s">
        <v>57</v>
      </c>
      <c r="D81">
        <v>13</v>
      </c>
      <c r="E81">
        <v>40</v>
      </c>
      <c r="F81">
        <v>0.02</v>
      </c>
      <c r="G81" t="s">
        <v>72</v>
      </c>
    </row>
    <row r="82" spans="1:7">
      <c r="A82">
        <v>43289</v>
      </c>
      <c r="B82" t="s">
        <v>48</v>
      </c>
      <c r="C82" t="s">
        <v>57</v>
      </c>
      <c r="D82">
        <v>4</v>
      </c>
      <c r="E82">
        <v>40</v>
      </c>
      <c r="F82">
        <v>0.1</v>
      </c>
      <c r="G82" t="s">
        <v>74</v>
      </c>
    </row>
    <row r="83" spans="1:7">
      <c r="A83">
        <v>43289</v>
      </c>
      <c r="B83" t="s">
        <v>52</v>
      </c>
      <c r="C83" t="s">
        <v>45</v>
      </c>
      <c r="D83">
        <v>3</v>
      </c>
      <c r="E83">
        <v>230</v>
      </c>
      <c r="F83">
        <v>0.11</v>
      </c>
      <c r="G83" t="s">
        <v>76</v>
      </c>
    </row>
    <row r="84" spans="1:7">
      <c r="A84">
        <v>43289</v>
      </c>
      <c r="B84" t="s">
        <v>44</v>
      </c>
      <c r="C84" t="s">
        <v>57</v>
      </c>
      <c r="D84">
        <v>6</v>
      </c>
      <c r="E84">
        <v>80</v>
      </c>
      <c r="F84">
        <v>0.09</v>
      </c>
      <c r="G84" t="s">
        <v>46</v>
      </c>
    </row>
    <row r="85" spans="1:7">
      <c r="A85">
        <v>43289</v>
      </c>
      <c r="B85" t="s">
        <v>67</v>
      </c>
      <c r="C85" t="s">
        <v>45</v>
      </c>
      <c r="D85">
        <v>9</v>
      </c>
      <c r="E85">
        <v>150</v>
      </c>
      <c r="F85">
        <v>0.1</v>
      </c>
      <c r="G85" t="s">
        <v>50</v>
      </c>
    </row>
    <row r="86" spans="1:7">
      <c r="A86">
        <v>43289</v>
      </c>
      <c r="B86" t="s">
        <v>44</v>
      </c>
      <c r="C86" t="s">
        <v>49</v>
      </c>
      <c r="D86">
        <v>14</v>
      </c>
      <c r="E86">
        <v>80</v>
      </c>
      <c r="F86">
        <v>0.11</v>
      </c>
      <c r="G86" t="s">
        <v>53</v>
      </c>
    </row>
    <row r="87" spans="1:7">
      <c r="A87">
        <v>43289</v>
      </c>
      <c r="B87" t="s">
        <v>44</v>
      </c>
      <c r="C87" t="s">
        <v>45</v>
      </c>
      <c r="D87">
        <v>18</v>
      </c>
      <c r="E87">
        <v>80</v>
      </c>
      <c r="F87">
        <v>0.02</v>
      </c>
      <c r="G87" t="s">
        <v>55</v>
      </c>
    </row>
    <row r="88" spans="1:7">
      <c r="A88">
        <v>43289</v>
      </c>
      <c r="B88" t="s">
        <v>48</v>
      </c>
      <c r="C88" t="s">
        <v>45</v>
      </c>
      <c r="D88">
        <v>20</v>
      </c>
      <c r="E88">
        <v>40</v>
      </c>
      <c r="F88">
        <v>0.04</v>
      </c>
      <c r="G88" t="s">
        <v>58</v>
      </c>
    </row>
    <row r="89" spans="1:7">
      <c r="A89">
        <v>43290</v>
      </c>
      <c r="B89" t="s">
        <v>63</v>
      </c>
      <c r="C89" t="s">
        <v>57</v>
      </c>
      <c r="D89">
        <v>8</v>
      </c>
      <c r="E89">
        <v>16</v>
      </c>
      <c r="F89">
        <v>0.03</v>
      </c>
      <c r="G89" t="s">
        <v>61</v>
      </c>
    </row>
    <row r="90" spans="1:7">
      <c r="A90">
        <v>43290</v>
      </c>
      <c r="B90" t="s">
        <v>44</v>
      </c>
      <c r="C90" t="s">
        <v>49</v>
      </c>
      <c r="D90">
        <v>14</v>
      </c>
      <c r="E90">
        <v>80</v>
      </c>
      <c r="F90">
        <v>0.06</v>
      </c>
      <c r="G90" t="s">
        <v>65</v>
      </c>
    </row>
    <row r="91" spans="1:7">
      <c r="A91">
        <v>43290</v>
      </c>
      <c r="B91" t="s">
        <v>67</v>
      </c>
      <c r="C91" t="s">
        <v>45</v>
      </c>
      <c r="D91">
        <v>20</v>
      </c>
      <c r="E91">
        <v>150</v>
      </c>
      <c r="F91">
        <v>0.01</v>
      </c>
      <c r="G91" t="s">
        <v>68</v>
      </c>
    </row>
    <row r="92" spans="1:7">
      <c r="A92">
        <v>43290</v>
      </c>
      <c r="B92" t="s">
        <v>48</v>
      </c>
      <c r="C92" t="s">
        <v>60</v>
      </c>
      <c r="D92">
        <v>15</v>
      </c>
      <c r="E92">
        <v>40</v>
      </c>
      <c r="F92">
        <v>0.03</v>
      </c>
      <c r="G92" t="s">
        <v>70</v>
      </c>
    </row>
    <row r="93" spans="1:7">
      <c r="A93">
        <v>43290</v>
      </c>
      <c r="B93" t="s">
        <v>48</v>
      </c>
      <c r="C93" t="s">
        <v>49</v>
      </c>
      <c r="D93">
        <v>18</v>
      </c>
      <c r="E93">
        <v>40</v>
      </c>
      <c r="F93">
        <v>0.08</v>
      </c>
      <c r="G93" t="s">
        <v>72</v>
      </c>
    </row>
    <row r="94" spans="1:7">
      <c r="A94">
        <v>43290</v>
      </c>
      <c r="B94" t="s">
        <v>48</v>
      </c>
      <c r="C94" t="s">
        <v>64</v>
      </c>
      <c r="D94">
        <v>11</v>
      </c>
      <c r="E94">
        <v>40</v>
      </c>
      <c r="F94">
        <v>0.05</v>
      </c>
      <c r="G94" t="s">
        <v>74</v>
      </c>
    </row>
    <row r="95" spans="1:7">
      <c r="A95">
        <v>43291</v>
      </c>
      <c r="B95" t="s">
        <v>48</v>
      </c>
      <c r="C95" t="s">
        <v>64</v>
      </c>
      <c r="D95">
        <v>23</v>
      </c>
      <c r="E95">
        <v>40</v>
      </c>
      <c r="F95">
        <v>0.04</v>
      </c>
      <c r="G95" t="s">
        <v>76</v>
      </c>
    </row>
    <row r="96" spans="1:7">
      <c r="A96">
        <v>43291</v>
      </c>
      <c r="B96" t="s">
        <v>63</v>
      </c>
      <c r="C96" t="s">
        <v>64</v>
      </c>
      <c r="D96">
        <v>17</v>
      </c>
      <c r="E96">
        <v>16</v>
      </c>
      <c r="F96">
        <v>0.1</v>
      </c>
      <c r="G96" t="s">
        <v>46</v>
      </c>
    </row>
    <row r="97" spans="1:7">
      <c r="A97">
        <v>43291</v>
      </c>
      <c r="B97" t="s">
        <v>63</v>
      </c>
      <c r="C97" t="s">
        <v>49</v>
      </c>
      <c r="D97">
        <v>4</v>
      </c>
      <c r="E97">
        <v>16</v>
      </c>
      <c r="F97">
        <v>0.07</v>
      </c>
      <c r="G97" t="s">
        <v>50</v>
      </c>
    </row>
    <row r="98" spans="1:7">
      <c r="A98">
        <v>43291</v>
      </c>
      <c r="B98" t="s">
        <v>44</v>
      </c>
      <c r="C98" t="s">
        <v>57</v>
      </c>
      <c r="D98">
        <v>23</v>
      </c>
      <c r="E98">
        <v>80</v>
      </c>
      <c r="F98">
        <v>0.05</v>
      </c>
      <c r="G98" t="s">
        <v>53</v>
      </c>
    </row>
    <row r="99" spans="1:7">
      <c r="A99">
        <v>43291</v>
      </c>
      <c r="B99" t="s">
        <v>52</v>
      </c>
      <c r="C99" t="s">
        <v>57</v>
      </c>
      <c r="D99">
        <v>10</v>
      </c>
      <c r="E99">
        <v>230</v>
      </c>
      <c r="F99">
        <v>0.02</v>
      </c>
      <c r="G99" t="s">
        <v>55</v>
      </c>
    </row>
    <row r="100" spans="1:7">
      <c r="A100">
        <v>43291</v>
      </c>
      <c r="B100" t="s">
        <v>63</v>
      </c>
      <c r="C100" t="s">
        <v>57</v>
      </c>
      <c r="D100">
        <v>14</v>
      </c>
      <c r="E100">
        <v>16</v>
      </c>
      <c r="F100">
        <v>0.01</v>
      </c>
      <c r="G100" t="s">
        <v>58</v>
      </c>
    </row>
    <row r="101" spans="1:7">
      <c r="A101">
        <v>43291</v>
      </c>
      <c r="B101" t="s">
        <v>48</v>
      </c>
      <c r="C101" t="s">
        <v>49</v>
      </c>
      <c r="D101">
        <v>19</v>
      </c>
      <c r="E101">
        <v>40</v>
      </c>
      <c r="F101">
        <v>0.1</v>
      </c>
      <c r="G101" t="s">
        <v>61</v>
      </c>
    </row>
    <row r="102" spans="1:7">
      <c r="A102">
        <v>43291</v>
      </c>
      <c r="B102" t="s">
        <v>44</v>
      </c>
      <c r="C102" t="s">
        <v>64</v>
      </c>
      <c r="D102">
        <v>22</v>
      </c>
      <c r="E102">
        <v>80</v>
      </c>
      <c r="F102">
        <v>0.09</v>
      </c>
      <c r="G102" t="s">
        <v>65</v>
      </c>
    </row>
    <row r="103" spans="1:7">
      <c r="A103">
        <v>43291</v>
      </c>
      <c r="B103" t="s">
        <v>63</v>
      </c>
      <c r="C103" t="s">
        <v>45</v>
      </c>
      <c r="D103">
        <v>18</v>
      </c>
      <c r="E103">
        <v>16</v>
      </c>
      <c r="F103">
        <v>0.05</v>
      </c>
      <c r="G103" t="s">
        <v>68</v>
      </c>
    </row>
    <row r="104" spans="1:7">
      <c r="A104">
        <v>43291</v>
      </c>
      <c r="B104" t="s">
        <v>48</v>
      </c>
      <c r="C104" t="s">
        <v>45</v>
      </c>
      <c r="D104">
        <v>18</v>
      </c>
      <c r="E104">
        <v>40</v>
      </c>
      <c r="F104">
        <v>0.11</v>
      </c>
      <c r="G104" t="s">
        <v>70</v>
      </c>
    </row>
    <row r="105" spans="1:7">
      <c r="A105">
        <v>43291</v>
      </c>
      <c r="B105" t="s">
        <v>48</v>
      </c>
      <c r="C105" t="s">
        <v>64</v>
      </c>
      <c r="D105">
        <v>21</v>
      </c>
      <c r="E105">
        <v>40</v>
      </c>
      <c r="F105">
        <v>0.01</v>
      </c>
      <c r="G105" t="s">
        <v>72</v>
      </c>
    </row>
    <row r="106" spans="1:7">
      <c r="A106">
        <v>43291</v>
      </c>
      <c r="B106" t="s">
        <v>44</v>
      </c>
      <c r="C106" t="s">
        <v>45</v>
      </c>
      <c r="D106">
        <v>6</v>
      </c>
      <c r="E106">
        <v>80</v>
      </c>
      <c r="F106">
        <v>0.07</v>
      </c>
      <c r="G106" t="s">
        <v>74</v>
      </c>
    </row>
    <row r="107" spans="1:7">
      <c r="A107">
        <v>43291</v>
      </c>
      <c r="B107" t="s">
        <v>67</v>
      </c>
      <c r="C107" t="s">
        <v>64</v>
      </c>
      <c r="D107">
        <v>17</v>
      </c>
      <c r="E107">
        <v>150</v>
      </c>
      <c r="F107">
        <v>0.02</v>
      </c>
      <c r="G107" t="s">
        <v>76</v>
      </c>
    </row>
    <row r="108" spans="1:7">
      <c r="A108">
        <v>43291</v>
      </c>
      <c r="B108" t="s">
        <v>44</v>
      </c>
      <c r="C108" t="s">
        <v>57</v>
      </c>
      <c r="D108">
        <v>16</v>
      </c>
      <c r="E108">
        <v>80</v>
      </c>
      <c r="F108">
        <v>0.02</v>
      </c>
      <c r="G108" t="s">
        <v>46</v>
      </c>
    </row>
    <row r="109" spans="1:7">
      <c r="A109">
        <v>43291</v>
      </c>
      <c r="B109" t="s">
        <v>48</v>
      </c>
      <c r="C109" t="s">
        <v>49</v>
      </c>
      <c r="D109">
        <v>15</v>
      </c>
      <c r="E109">
        <v>40</v>
      </c>
      <c r="F109">
        <v>0.04</v>
      </c>
      <c r="G109" t="s">
        <v>50</v>
      </c>
    </row>
    <row r="110" spans="1:7">
      <c r="A110">
        <v>43291</v>
      </c>
      <c r="B110" t="s">
        <v>52</v>
      </c>
      <c r="C110" t="s">
        <v>60</v>
      </c>
      <c r="D110">
        <v>2</v>
      </c>
      <c r="E110">
        <v>230</v>
      </c>
      <c r="F110">
        <v>0.08</v>
      </c>
      <c r="G110" t="s">
        <v>53</v>
      </c>
    </row>
    <row r="111" spans="1:7">
      <c r="A111">
        <v>43291</v>
      </c>
      <c r="B111" t="s">
        <v>48</v>
      </c>
      <c r="C111" t="s">
        <v>64</v>
      </c>
      <c r="D111">
        <v>3</v>
      </c>
      <c r="E111">
        <v>40</v>
      </c>
      <c r="F111">
        <v>0.03</v>
      </c>
      <c r="G111" t="s">
        <v>55</v>
      </c>
    </row>
    <row r="112" spans="1:7">
      <c r="A112">
        <v>43291</v>
      </c>
      <c r="B112" t="s">
        <v>52</v>
      </c>
      <c r="C112" t="s">
        <v>64</v>
      </c>
      <c r="D112">
        <v>21</v>
      </c>
      <c r="E112">
        <v>230</v>
      </c>
      <c r="F112">
        <v>0.05</v>
      </c>
      <c r="G112" t="s">
        <v>58</v>
      </c>
    </row>
    <row r="113" spans="1:7">
      <c r="A113">
        <v>43291</v>
      </c>
      <c r="B113" t="s">
        <v>67</v>
      </c>
      <c r="C113" t="s">
        <v>45</v>
      </c>
      <c r="D113">
        <v>11</v>
      </c>
      <c r="E113">
        <v>150</v>
      </c>
      <c r="F113">
        <v>0.05</v>
      </c>
      <c r="G113" t="s">
        <v>61</v>
      </c>
    </row>
    <row r="114" spans="1:7">
      <c r="A114">
        <v>43292</v>
      </c>
      <c r="B114" t="s">
        <v>67</v>
      </c>
      <c r="C114" t="s">
        <v>49</v>
      </c>
      <c r="D114">
        <v>15</v>
      </c>
      <c r="E114">
        <v>150</v>
      </c>
      <c r="F114">
        <v>0.02</v>
      </c>
      <c r="G114" t="s">
        <v>65</v>
      </c>
    </row>
    <row r="115" spans="1:7">
      <c r="A115">
        <v>43292</v>
      </c>
      <c r="B115" t="s">
        <v>44</v>
      </c>
      <c r="C115" t="s">
        <v>60</v>
      </c>
      <c r="D115">
        <v>16</v>
      </c>
      <c r="E115">
        <v>80</v>
      </c>
      <c r="F115">
        <v>0.1</v>
      </c>
      <c r="G115" t="s">
        <v>68</v>
      </c>
    </row>
    <row r="116" spans="1:7">
      <c r="A116">
        <v>43292</v>
      </c>
      <c r="B116" t="s">
        <v>52</v>
      </c>
      <c r="C116" t="s">
        <v>64</v>
      </c>
      <c r="D116">
        <v>17</v>
      </c>
      <c r="E116">
        <v>230</v>
      </c>
      <c r="F116">
        <v>0.11</v>
      </c>
      <c r="G116" t="s">
        <v>70</v>
      </c>
    </row>
    <row r="117" spans="1:7">
      <c r="A117">
        <v>43292</v>
      </c>
      <c r="B117" t="s">
        <v>48</v>
      </c>
      <c r="C117" t="s">
        <v>64</v>
      </c>
      <c r="D117">
        <v>16</v>
      </c>
      <c r="E117">
        <v>40</v>
      </c>
      <c r="F117">
        <v>0.11</v>
      </c>
      <c r="G117" t="s">
        <v>72</v>
      </c>
    </row>
    <row r="118" spans="1:7">
      <c r="A118">
        <v>43292</v>
      </c>
      <c r="B118" t="s">
        <v>44</v>
      </c>
      <c r="C118" t="s">
        <v>60</v>
      </c>
      <c r="D118">
        <v>2</v>
      </c>
      <c r="E118">
        <v>80</v>
      </c>
      <c r="F118">
        <v>0.08</v>
      </c>
      <c r="G118" t="s">
        <v>74</v>
      </c>
    </row>
    <row r="119" spans="1:7">
      <c r="A119">
        <v>43292</v>
      </c>
      <c r="B119" t="s">
        <v>67</v>
      </c>
      <c r="C119" t="s">
        <v>49</v>
      </c>
      <c r="D119">
        <v>22</v>
      </c>
      <c r="E119">
        <v>150</v>
      </c>
      <c r="F119">
        <v>0.02</v>
      </c>
      <c r="G119" t="s">
        <v>76</v>
      </c>
    </row>
    <row r="120" spans="1:7">
      <c r="A120">
        <v>43292</v>
      </c>
      <c r="B120" t="s">
        <v>44</v>
      </c>
      <c r="C120" t="s">
        <v>45</v>
      </c>
      <c r="D120">
        <v>16</v>
      </c>
      <c r="E120">
        <v>80</v>
      </c>
      <c r="F120">
        <v>0.03</v>
      </c>
      <c r="G120" t="s">
        <v>46</v>
      </c>
    </row>
    <row r="121" spans="1:7">
      <c r="A121">
        <v>43293</v>
      </c>
      <c r="B121" t="s">
        <v>63</v>
      </c>
      <c r="C121" t="s">
        <v>45</v>
      </c>
      <c r="D121">
        <v>20</v>
      </c>
      <c r="E121">
        <v>16</v>
      </c>
      <c r="F121">
        <v>0.11</v>
      </c>
      <c r="G121" t="s">
        <v>50</v>
      </c>
    </row>
    <row r="122" spans="1:7">
      <c r="A122">
        <v>43293</v>
      </c>
      <c r="B122" t="s">
        <v>44</v>
      </c>
      <c r="C122" t="s">
        <v>64</v>
      </c>
      <c r="D122">
        <v>9</v>
      </c>
      <c r="E122">
        <v>80</v>
      </c>
      <c r="F122">
        <v>0.07</v>
      </c>
      <c r="G122" t="s">
        <v>53</v>
      </c>
    </row>
    <row r="123" spans="1:7">
      <c r="A123">
        <v>43293</v>
      </c>
      <c r="B123" t="s">
        <v>52</v>
      </c>
      <c r="C123" t="s">
        <v>64</v>
      </c>
      <c r="D123">
        <v>5</v>
      </c>
      <c r="E123">
        <v>230</v>
      </c>
      <c r="F123">
        <v>0.12</v>
      </c>
      <c r="G123" t="s">
        <v>55</v>
      </c>
    </row>
    <row r="124" spans="1:7">
      <c r="A124">
        <v>43293</v>
      </c>
      <c r="B124" t="s">
        <v>63</v>
      </c>
      <c r="C124" t="s">
        <v>45</v>
      </c>
      <c r="D124">
        <v>20</v>
      </c>
      <c r="E124">
        <v>16</v>
      </c>
      <c r="F124">
        <v>0.01</v>
      </c>
      <c r="G124" t="s">
        <v>58</v>
      </c>
    </row>
    <row r="125" spans="1:7">
      <c r="A125">
        <v>43293</v>
      </c>
      <c r="B125" t="s">
        <v>63</v>
      </c>
      <c r="C125" t="s">
        <v>45</v>
      </c>
      <c r="D125">
        <v>16</v>
      </c>
      <c r="E125">
        <v>16</v>
      </c>
      <c r="F125">
        <v>0.03</v>
      </c>
      <c r="G125" t="s">
        <v>61</v>
      </c>
    </row>
    <row r="126" spans="1:7">
      <c r="A126">
        <v>43293</v>
      </c>
      <c r="B126" t="s">
        <v>67</v>
      </c>
      <c r="C126" t="s">
        <v>60</v>
      </c>
      <c r="D126">
        <v>15</v>
      </c>
      <c r="E126">
        <v>150</v>
      </c>
      <c r="F126">
        <v>0.05</v>
      </c>
      <c r="G126" t="s">
        <v>65</v>
      </c>
    </row>
    <row r="127" spans="1:7">
      <c r="A127">
        <v>43293</v>
      </c>
      <c r="B127" t="s">
        <v>52</v>
      </c>
      <c r="C127" t="s">
        <v>49</v>
      </c>
      <c r="D127">
        <v>19</v>
      </c>
      <c r="E127">
        <v>230</v>
      </c>
      <c r="F127">
        <v>0.11</v>
      </c>
      <c r="G127" t="s">
        <v>68</v>
      </c>
    </row>
    <row r="128" spans="1:7">
      <c r="A128">
        <v>43294</v>
      </c>
      <c r="B128" t="s">
        <v>67</v>
      </c>
      <c r="C128" t="s">
        <v>57</v>
      </c>
      <c r="D128">
        <v>2</v>
      </c>
      <c r="E128">
        <v>150</v>
      </c>
      <c r="F128">
        <v>0.02</v>
      </c>
      <c r="G128" t="s">
        <v>70</v>
      </c>
    </row>
    <row r="129" spans="1:7">
      <c r="A129">
        <v>43294</v>
      </c>
      <c r="B129" t="s">
        <v>44</v>
      </c>
      <c r="C129" t="s">
        <v>64</v>
      </c>
      <c r="D129">
        <v>16</v>
      </c>
      <c r="E129">
        <v>80</v>
      </c>
      <c r="F129">
        <v>0.05</v>
      </c>
      <c r="G129" t="s">
        <v>72</v>
      </c>
    </row>
    <row r="130" spans="1:7">
      <c r="A130">
        <v>43294</v>
      </c>
      <c r="B130" t="s">
        <v>48</v>
      </c>
      <c r="C130" t="s">
        <v>57</v>
      </c>
      <c r="D130">
        <v>2</v>
      </c>
      <c r="E130">
        <v>40</v>
      </c>
      <c r="F130">
        <v>0.03</v>
      </c>
      <c r="G130" t="s">
        <v>74</v>
      </c>
    </row>
    <row r="131" spans="1:7">
      <c r="A131">
        <v>43294</v>
      </c>
      <c r="B131" t="s">
        <v>44</v>
      </c>
      <c r="C131" t="s">
        <v>49</v>
      </c>
      <c r="D131">
        <v>5</v>
      </c>
      <c r="E131">
        <v>80</v>
      </c>
      <c r="F131">
        <v>0.04</v>
      </c>
      <c r="G131" t="s">
        <v>76</v>
      </c>
    </row>
    <row r="132" spans="1:7">
      <c r="A132">
        <v>43294</v>
      </c>
      <c r="B132" t="s">
        <v>52</v>
      </c>
      <c r="C132" t="s">
        <v>60</v>
      </c>
      <c r="D132">
        <v>17</v>
      </c>
      <c r="E132">
        <v>230</v>
      </c>
      <c r="F132">
        <v>0.12</v>
      </c>
      <c r="G132" t="s">
        <v>46</v>
      </c>
    </row>
    <row r="133" spans="1:7">
      <c r="A133">
        <v>43294</v>
      </c>
      <c r="B133" t="s">
        <v>44</v>
      </c>
      <c r="C133" t="s">
        <v>45</v>
      </c>
      <c r="D133">
        <v>8</v>
      </c>
      <c r="E133">
        <v>80</v>
      </c>
      <c r="F133">
        <v>0.08</v>
      </c>
      <c r="G133" t="s">
        <v>50</v>
      </c>
    </row>
    <row r="134" spans="1:7">
      <c r="A134">
        <v>43294</v>
      </c>
      <c r="B134" t="s">
        <v>48</v>
      </c>
      <c r="C134" t="s">
        <v>49</v>
      </c>
      <c r="D134">
        <v>4</v>
      </c>
      <c r="E134">
        <v>40</v>
      </c>
      <c r="F134">
        <v>0.06</v>
      </c>
      <c r="G134" t="s">
        <v>53</v>
      </c>
    </row>
    <row r="135" spans="1:7">
      <c r="A135">
        <v>43294</v>
      </c>
      <c r="B135" t="s">
        <v>63</v>
      </c>
      <c r="C135" t="s">
        <v>57</v>
      </c>
      <c r="D135">
        <v>17</v>
      </c>
      <c r="E135">
        <v>16</v>
      </c>
      <c r="F135">
        <v>0.05</v>
      </c>
      <c r="G135" t="s">
        <v>55</v>
      </c>
    </row>
    <row r="136" spans="1:7">
      <c r="A136">
        <v>43294</v>
      </c>
      <c r="B136" t="s">
        <v>52</v>
      </c>
      <c r="C136" t="s">
        <v>60</v>
      </c>
      <c r="D136">
        <v>8</v>
      </c>
      <c r="E136">
        <v>230</v>
      </c>
      <c r="F136">
        <v>0.01</v>
      </c>
      <c r="G136" t="s">
        <v>58</v>
      </c>
    </row>
    <row r="137" spans="1:7">
      <c r="A137">
        <v>43294</v>
      </c>
      <c r="B137" t="s">
        <v>63</v>
      </c>
      <c r="C137" t="s">
        <v>64</v>
      </c>
      <c r="D137">
        <v>19</v>
      </c>
      <c r="E137">
        <v>16</v>
      </c>
      <c r="F137">
        <v>0.02</v>
      </c>
      <c r="G137" t="s">
        <v>61</v>
      </c>
    </row>
    <row r="138" spans="1:7">
      <c r="A138">
        <v>43295</v>
      </c>
      <c r="B138" t="s">
        <v>48</v>
      </c>
      <c r="C138" t="s">
        <v>45</v>
      </c>
      <c r="D138">
        <v>18</v>
      </c>
      <c r="E138">
        <v>40</v>
      </c>
      <c r="F138">
        <v>0.06</v>
      </c>
      <c r="G138" t="s">
        <v>65</v>
      </c>
    </row>
    <row r="139" spans="1:7">
      <c r="A139">
        <v>43295</v>
      </c>
      <c r="B139" t="s">
        <v>67</v>
      </c>
      <c r="C139" t="s">
        <v>64</v>
      </c>
      <c r="D139">
        <v>23</v>
      </c>
      <c r="E139">
        <v>150</v>
      </c>
      <c r="F139">
        <v>0.08</v>
      </c>
      <c r="G139" t="s">
        <v>68</v>
      </c>
    </row>
    <row r="140" spans="1:7">
      <c r="A140">
        <v>43295</v>
      </c>
      <c r="B140" t="s">
        <v>52</v>
      </c>
      <c r="C140" t="s">
        <v>45</v>
      </c>
      <c r="D140">
        <v>5</v>
      </c>
      <c r="E140">
        <v>230</v>
      </c>
      <c r="F140">
        <v>0.1</v>
      </c>
      <c r="G140" t="s">
        <v>70</v>
      </c>
    </row>
    <row r="141" spans="1:7">
      <c r="A141">
        <v>43295</v>
      </c>
      <c r="B141" t="s">
        <v>44</v>
      </c>
      <c r="C141" t="s">
        <v>60</v>
      </c>
      <c r="D141">
        <v>21</v>
      </c>
      <c r="E141">
        <v>80</v>
      </c>
      <c r="F141">
        <v>0.02</v>
      </c>
      <c r="G141" t="s">
        <v>72</v>
      </c>
    </row>
    <row r="142" spans="1:7">
      <c r="A142">
        <v>43295</v>
      </c>
      <c r="B142" t="s">
        <v>63</v>
      </c>
      <c r="C142" t="s">
        <v>57</v>
      </c>
      <c r="D142">
        <v>6</v>
      </c>
      <c r="E142">
        <v>16</v>
      </c>
      <c r="F142">
        <v>0.07</v>
      </c>
      <c r="G142" t="s">
        <v>46</v>
      </c>
    </row>
    <row r="143" spans="1:7">
      <c r="A143">
        <v>43295</v>
      </c>
      <c r="B143" t="s">
        <v>48</v>
      </c>
      <c r="C143" t="s">
        <v>45</v>
      </c>
      <c r="D143">
        <v>9</v>
      </c>
      <c r="E143">
        <v>40</v>
      </c>
      <c r="F143">
        <v>0.01</v>
      </c>
      <c r="G143" t="s">
        <v>50</v>
      </c>
    </row>
    <row r="144" spans="1:7">
      <c r="A144">
        <v>43295</v>
      </c>
      <c r="B144" t="s">
        <v>52</v>
      </c>
      <c r="C144" t="s">
        <v>49</v>
      </c>
      <c r="D144">
        <v>9</v>
      </c>
      <c r="E144">
        <v>230</v>
      </c>
      <c r="F144">
        <v>0.03</v>
      </c>
      <c r="G144" t="s">
        <v>53</v>
      </c>
    </row>
    <row r="145" spans="1:7">
      <c r="A145">
        <v>43295</v>
      </c>
      <c r="B145" t="s">
        <v>52</v>
      </c>
      <c r="C145" t="s">
        <v>57</v>
      </c>
      <c r="D145">
        <v>5</v>
      </c>
      <c r="E145">
        <v>230</v>
      </c>
      <c r="F145">
        <v>0.1</v>
      </c>
      <c r="G145" t="s">
        <v>55</v>
      </c>
    </row>
    <row r="146" spans="1:7">
      <c r="A146">
        <v>43295</v>
      </c>
      <c r="B146" t="s">
        <v>48</v>
      </c>
      <c r="C146" t="s">
        <v>60</v>
      </c>
      <c r="D146">
        <v>7</v>
      </c>
      <c r="E146">
        <v>40</v>
      </c>
      <c r="F146">
        <v>0.11</v>
      </c>
      <c r="G146" t="s">
        <v>58</v>
      </c>
    </row>
    <row r="147" spans="1:7">
      <c r="A147">
        <v>43295</v>
      </c>
      <c r="B147" t="s">
        <v>52</v>
      </c>
      <c r="C147" t="s">
        <v>45</v>
      </c>
      <c r="D147">
        <v>20</v>
      </c>
      <c r="E147">
        <v>230</v>
      </c>
      <c r="F147">
        <v>0.04</v>
      </c>
      <c r="G147" t="s">
        <v>61</v>
      </c>
    </row>
    <row r="148" spans="1:7">
      <c r="A148">
        <v>43295</v>
      </c>
      <c r="B148" t="s">
        <v>67</v>
      </c>
      <c r="C148" t="s">
        <v>45</v>
      </c>
      <c r="D148">
        <v>22</v>
      </c>
      <c r="E148">
        <v>150</v>
      </c>
      <c r="F148">
        <v>0.07</v>
      </c>
      <c r="G148" t="s">
        <v>65</v>
      </c>
    </row>
    <row r="149" spans="1:7">
      <c r="A149">
        <v>43296</v>
      </c>
      <c r="B149" t="s">
        <v>52</v>
      </c>
      <c r="C149" t="s">
        <v>57</v>
      </c>
      <c r="D149">
        <v>6</v>
      </c>
      <c r="E149">
        <v>230</v>
      </c>
      <c r="F149">
        <v>0.05</v>
      </c>
      <c r="G149" t="s">
        <v>68</v>
      </c>
    </row>
    <row r="150" spans="1:7">
      <c r="A150">
        <v>43296</v>
      </c>
      <c r="B150" t="s">
        <v>52</v>
      </c>
      <c r="C150" t="s">
        <v>57</v>
      </c>
      <c r="D150">
        <v>15</v>
      </c>
      <c r="E150">
        <v>230</v>
      </c>
      <c r="F150">
        <v>0.11</v>
      </c>
      <c r="G150" t="s">
        <v>70</v>
      </c>
    </row>
    <row r="151" spans="1:7">
      <c r="A151">
        <v>43296</v>
      </c>
      <c r="B151" t="s">
        <v>48</v>
      </c>
      <c r="C151" t="s">
        <v>49</v>
      </c>
      <c r="D151">
        <v>8</v>
      </c>
      <c r="E151">
        <v>40</v>
      </c>
      <c r="F151">
        <v>0.09</v>
      </c>
      <c r="G151" t="s">
        <v>72</v>
      </c>
    </row>
    <row r="152" spans="1:7">
      <c r="A152">
        <v>43296</v>
      </c>
      <c r="B152" t="s">
        <v>48</v>
      </c>
      <c r="C152" t="s">
        <v>45</v>
      </c>
      <c r="D152">
        <v>5</v>
      </c>
      <c r="E152">
        <v>40</v>
      </c>
      <c r="F152">
        <v>0.06</v>
      </c>
      <c r="G152" t="s">
        <v>74</v>
      </c>
    </row>
    <row r="153" spans="1:7">
      <c r="A153">
        <v>43296</v>
      </c>
      <c r="B153" t="s">
        <v>44</v>
      </c>
      <c r="C153" t="s">
        <v>64</v>
      </c>
      <c r="D153">
        <v>6</v>
      </c>
      <c r="E153">
        <v>80</v>
      </c>
      <c r="F153">
        <v>0.09</v>
      </c>
      <c r="G153" t="s">
        <v>76</v>
      </c>
    </row>
    <row r="154" spans="1:7">
      <c r="A154">
        <v>43296</v>
      </c>
      <c r="B154" t="s">
        <v>48</v>
      </c>
      <c r="C154" t="s">
        <v>60</v>
      </c>
      <c r="D154">
        <v>22</v>
      </c>
      <c r="E154">
        <v>40</v>
      </c>
      <c r="F154">
        <v>0.01</v>
      </c>
      <c r="G154" t="s">
        <v>46</v>
      </c>
    </row>
    <row r="155" spans="1:7">
      <c r="A155">
        <v>43296</v>
      </c>
      <c r="B155" t="s">
        <v>63</v>
      </c>
      <c r="C155" t="s">
        <v>45</v>
      </c>
      <c r="D155">
        <v>7</v>
      </c>
      <c r="E155">
        <v>16</v>
      </c>
      <c r="F155">
        <v>0.08</v>
      </c>
      <c r="G155" t="s">
        <v>50</v>
      </c>
    </row>
    <row r="156" spans="1:7">
      <c r="A156">
        <v>43296</v>
      </c>
      <c r="B156" t="s">
        <v>67</v>
      </c>
      <c r="C156" t="s">
        <v>57</v>
      </c>
      <c r="D156">
        <v>22</v>
      </c>
      <c r="E156">
        <v>150</v>
      </c>
      <c r="F156">
        <v>0.04</v>
      </c>
      <c r="G156" t="s">
        <v>53</v>
      </c>
    </row>
    <row r="157" spans="1:7">
      <c r="A157">
        <v>43296</v>
      </c>
      <c r="B157" t="s">
        <v>63</v>
      </c>
      <c r="C157" t="s">
        <v>60</v>
      </c>
      <c r="D157">
        <v>15</v>
      </c>
      <c r="E157">
        <v>16</v>
      </c>
      <c r="F157">
        <v>0.12</v>
      </c>
      <c r="G157" t="s">
        <v>55</v>
      </c>
    </row>
    <row r="158" spans="1:7">
      <c r="A158">
        <v>43296</v>
      </c>
      <c r="B158" t="s">
        <v>44</v>
      </c>
      <c r="C158" t="s">
        <v>57</v>
      </c>
      <c r="D158">
        <v>20</v>
      </c>
      <c r="E158">
        <v>80</v>
      </c>
      <c r="F158">
        <v>0.07</v>
      </c>
      <c r="G158" t="s">
        <v>58</v>
      </c>
    </row>
    <row r="159" spans="1:7">
      <c r="A159">
        <v>43296</v>
      </c>
      <c r="B159" t="s">
        <v>44</v>
      </c>
      <c r="C159" t="s">
        <v>57</v>
      </c>
      <c r="D159">
        <v>7</v>
      </c>
      <c r="E159">
        <v>80</v>
      </c>
      <c r="F159">
        <v>0.05</v>
      </c>
      <c r="G159" t="s">
        <v>61</v>
      </c>
    </row>
    <row r="160" spans="1:7">
      <c r="A160">
        <v>43296</v>
      </c>
      <c r="B160" t="s">
        <v>44</v>
      </c>
      <c r="C160" t="s">
        <v>49</v>
      </c>
      <c r="D160">
        <v>10</v>
      </c>
      <c r="E160">
        <v>80</v>
      </c>
      <c r="F160">
        <v>0.11</v>
      </c>
      <c r="G160" t="s">
        <v>65</v>
      </c>
    </row>
    <row r="161" spans="1:7">
      <c r="A161">
        <v>43296</v>
      </c>
      <c r="B161" t="s">
        <v>44</v>
      </c>
      <c r="C161" t="s">
        <v>49</v>
      </c>
      <c r="D161">
        <v>2</v>
      </c>
      <c r="E161">
        <v>80</v>
      </c>
      <c r="F161">
        <v>0.07</v>
      </c>
      <c r="G161" t="s">
        <v>68</v>
      </c>
    </row>
    <row r="162" spans="1:7">
      <c r="A162">
        <v>43296</v>
      </c>
      <c r="B162" t="s">
        <v>63</v>
      </c>
      <c r="C162" t="s">
        <v>64</v>
      </c>
      <c r="D162">
        <v>23</v>
      </c>
      <c r="E162">
        <v>16</v>
      </c>
      <c r="F162">
        <v>0.01</v>
      </c>
      <c r="G162" t="s">
        <v>70</v>
      </c>
    </row>
    <row r="163" spans="1:7">
      <c r="A163">
        <v>43296</v>
      </c>
      <c r="B163" t="s">
        <v>52</v>
      </c>
      <c r="C163" t="s">
        <v>49</v>
      </c>
      <c r="D163">
        <v>12</v>
      </c>
      <c r="E163">
        <v>230</v>
      </c>
      <c r="F163">
        <v>0.03</v>
      </c>
      <c r="G163" t="s">
        <v>72</v>
      </c>
    </row>
    <row r="164" spans="1:7">
      <c r="A164">
        <v>43297</v>
      </c>
      <c r="B164" t="s">
        <v>52</v>
      </c>
      <c r="C164" t="s">
        <v>45</v>
      </c>
      <c r="D164">
        <v>7</v>
      </c>
      <c r="E164">
        <v>230</v>
      </c>
      <c r="F164">
        <v>0.08</v>
      </c>
      <c r="G164" t="s">
        <v>74</v>
      </c>
    </row>
    <row r="165" spans="1:7">
      <c r="A165">
        <v>43297</v>
      </c>
      <c r="B165" t="s">
        <v>48</v>
      </c>
      <c r="C165" t="s">
        <v>60</v>
      </c>
      <c r="D165">
        <v>11</v>
      </c>
      <c r="E165">
        <v>40</v>
      </c>
      <c r="F165">
        <v>0.06</v>
      </c>
      <c r="G165" t="s">
        <v>76</v>
      </c>
    </row>
    <row r="166" spans="1:7">
      <c r="A166">
        <v>43297</v>
      </c>
      <c r="B166" t="s">
        <v>52</v>
      </c>
      <c r="C166" t="s">
        <v>49</v>
      </c>
      <c r="D166">
        <v>7</v>
      </c>
      <c r="E166">
        <v>230</v>
      </c>
      <c r="F166">
        <v>0.08</v>
      </c>
      <c r="G166" t="s">
        <v>46</v>
      </c>
    </row>
    <row r="167" spans="1:7">
      <c r="A167">
        <v>43297</v>
      </c>
      <c r="B167" t="s">
        <v>44</v>
      </c>
      <c r="C167" t="s">
        <v>45</v>
      </c>
      <c r="D167">
        <v>8</v>
      </c>
      <c r="E167">
        <v>80</v>
      </c>
      <c r="F167">
        <v>0.09</v>
      </c>
      <c r="G167" t="s">
        <v>50</v>
      </c>
    </row>
    <row r="168" spans="1:7">
      <c r="A168">
        <v>43297</v>
      </c>
      <c r="B168" t="s">
        <v>44</v>
      </c>
      <c r="C168" t="s">
        <v>60</v>
      </c>
      <c r="D168">
        <v>16</v>
      </c>
      <c r="E168">
        <v>80</v>
      </c>
      <c r="F168">
        <v>0.07</v>
      </c>
      <c r="G168" t="s">
        <v>53</v>
      </c>
    </row>
    <row r="169" spans="1:7">
      <c r="A169">
        <v>43297</v>
      </c>
      <c r="B169" t="s">
        <v>44</v>
      </c>
      <c r="C169" t="s">
        <v>57</v>
      </c>
      <c r="D169">
        <v>16</v>
      </c>
      <c r="E169">
        <v>80</v>
      </c>
      <c r="F169">
        <v>0.04</v>
      </c>
      <c r="G169" t="s">
        <v>55</v>
      </c>
    </row>
    <row r="170" spans="1:7">
      <c r="A170">
        <v>43297</v>
      </c>
      <c r="B170" t="s">
        <v>63</v>
      </c>
      <c r="C170" t="s">
        <v>57</v>
      </c>
      <c r="D170">
        <v>9</v>
      </c>
      <c r="E170">
        <v>16</v>
      </c>
      <c r="F170">
        <v>0.05</v>
      </c>
      <c r="G170" t="s">
        <v>58</v>
      </c>
    </row>
    <row r="171" spans="1:7">
      <c r="A171">
        <v>43297</v>
      </c>
      <c r="B171" t="s">
        <v>67</v>
      </c>
      <c r="C171" t="s">
        <v>64</v>
      </c>
      <c r="D171">
        <v>11</v>
      </c>
      <c r="E171">
        <v>150</v>
      </c>
      <c r="F171">
        <v>0.09</v>
      </c>
      <c r="G171" t="s">
        <v>61</v>
      </c>
    </row>
    <row r="172" spans="1:7">
      <c r="A172">
        <v>43297</v>
      </c>
      <c r="B172" t="s">
        <v>63</v>
      </c>
      <c r="C172" t="s">
        <v>45</v>
      </c>
      <c r="D172">
        <v>4</v>
      </c>
      <c r="E172">
        <v>16</v>
      </c>
      <c r="F172">
        <v>0.12</v>
      </c>
      <c r="G172" t="s">
        <v>65</v>
      </c>
    </row>
    <row r="173" spans="1:7">
      <c r="A173">
        <v>43297</v>
      </c>
      <c r="B173" t="s">
        <v>48</v>
      </c>
      <c r="C173" t="s">
        <v>60</v>
      </c>
      <c r="D173">
        <v>15</v>
      </c>
      <c r="E173">
        <v>40</v>
      </c>
      <c r="F173">
        <v>0.03</v>
      </c>
      <c r="G173" t="s">
        <v>68</v>
      </c>
    </row>
    <row r="174" spans="1:7">
      <c r="A174">
        <v>43297</v>
      </c>
      <c r="B174" t="s">
        <v>48</v>
      </c>
      <c r="C174" t="s">
        <v>64</v>
      </c>
      <c r="D174">
        <v>20</v>
      </c>
      <c r="E174">
        <v>40</v>
      </c>
      <c r="F174">
        <v>0.03</v>
      </c>
      <c r="G174" t="s">
        <v>70</v>
      </c>
    </row>
    <row r="175" spans="1:7">
      <c r="A175">
        <v>43298</v>
      </c>
      <c r="B175" t="s">
        <v>67</v>
      </c>
      <c r="C175" t="s">
        <v>57</v>
      </c>
      <c r="D175">
        <v>9</v>
      </c>
      <c r="E175">
        <v>150</v>
      </c>
      <c r="F175">
        <v>0.06</v>
      </c>
      <c r="G175" t="s">
        <v>72</v>
      </c>
    </row>
    <row r="176" spans="1:7">
      <c r="A176">
        <v>43298</v>
      </c>
      <c r="B176" t="s">
        <v>48</v>
      </c>
      <c r="C176" t="s">
        <v>49</v>
      </c>
      <c r="D176">
        <v>23</v>
      </c>
      <c r="E176">
        <v>40</v>
      </c>
      <c r="F176">
        <v>0.06</v>
      </c>
      <c r="G176" t="s">
        <v>74</v>
      </c>
    </row>
    <row r="177" spans="1:7">
      <c r="A177">
        <v>43298</v>
      </c>
      <c r="B177" t="s">
        <v>44</v>
      </c>
      <c r="C177" t="s">
        <v>64</v>
      </c>
      <c r="D177">
        <v>13</v>
      </c>
      <c r="E177">
        <v>80</v>
      </c>
      <c r="F177">
        <v>0.05</v>
      </c>
      <c r="G177" t="s">
        <v>76</v>
      </c>
    </row>
    <row r="178" spans="1:7">
      <c r="A178">
        <v>43298</v>
      </c>
      <c r="B178" t="s">
        <v>63</v>
      </c>
      <c r="C178" t="s">
        <v>45</v>
      </c>
      <c r="D178">
        <v>22</v>
      </c>
      <c r="E178">
        <v>16</v>
      </c>
      <c r="F178">
        <v>0.01</v>
      </c>
      <c r="G178" t="s">
        <v>46</v>
      </c>
    </row>
    <row r="179" spans="1:7">
      <c r="A179">
        <v>43298</v>
      </c>
      <c r="B179" t="s">
        <v>48</v>
      </c>
      <c r="C179" t="s">
        <v>45</v>
      </c>
      <c r="D179">
        <v>19</v>
      </c>
      <c r="E179">
        <v>40</v>
      </c>
      <c r="F179">
        <v>0.04</v>
      </c>
      <c r="G179" t="s">
        <v>50</v>
      </c>
    </row>
    <row r="180" spans="1:7">
      <c r="A180">
        <v>43298</v>
      </c>
      <c r="B180" t="s">
        <v>44</v>
      </c>
      <c r="C180" t="s">
        <v>60</v>
      </c>
      <c r="D180">
        <v>4</v>
      </c>
      <c r="E180">
        <v>80</v>
      </c>
      <c r="F180">
        <v>0.11</v>
      </c>
      <c r="G180" t="s">
        <v>53</v>
      </c>
    </row>
    <row r="181" spans="1:7">
      <c r="A181">
        <v>43298</v>
      </c>
      <c r="B181" t="s">
        <v>63</v>
      </c>
      <c r="C181" t="s">
        <v>45</v>
      </c>
      <c r="D181">
        <v>12</v>
      </c>
      <c r="E181">
        <v>16</v>
      </c>
      <c r="F181">
        <v>0.11</v>
      </c>
      <c r="G181" t="s">
        <v>55</v>
      </c>
    </row>
    <row r="182" spans="1:7">
      <c r="A182">
        <v>43298</v>
      </c>
      <c r="B182" t="s">
        <v>67</v>
      </c>
      <c r="C182" t="s">
        <v>49</v>
      </c>
      <c r="D182">
        <v>16</v>
      </c>
      <c r="E182">
        <v>150</v>
      </c>
      <c r="F182">
        <v>0.08</v>
      </c>
      <c r="G182" t="s">
        <v>58</v>
      </c>
    </row>
    <row r="183" spans="1:7">
      <c r="A183">
        <v>43298</v>
      </c>
      <c r="B183" t="s">
        <v>44</v>
      </c>
      <c r="C183" t="s">
        <v>45</v>
      </c>
      <c r="D183">
        <v>7</v>
      </c>
      <c r="E183">
        <v>80</v>
      </c>
      <c r="F183">
        <v>0.02</v>
      </c>
      <c r="G183" t="s">
        <v>61</v>
      </c>
    </row>
    <row r="184" spans="1:7">
      <c r="A184">
        <v>43298</v>
      </c>
      <c r="B184" t="s">
        <v>48</v>
      </c>
      <c r="C184" t="s">
        <v>64</v>
      </c>
      <c r="D184">
        <v>20</v>
      </c>
      <c r="E184">
        <v>40</v>
      </c>
      <c r="F184">
        <v>0.07</v>
      </c>
      <c r="G184" t="s">
        <v>65</v>
      </c>
    </row>
    <row r="185" spans="1:7">
      <c r="A185">
        <v>43298</v>
      </c>
      <c r="B185" t="s">
        <v>44</v>
      </c>
      <c r="C185" t="s">
        <v>49</v>
      </c>
      <c r="D185">
        <v>15</v>
      </c>
      <c r="E185">
        <v>80</v>
      </c>
      <c r="F185">
        <v>0.12</v>
      </c>
      <c r="G185" t="s">
        <v>68</v>
      </c>
    </row>
    <row r="186" spans="1:7">
      <c r="A186">
        <v>43298</v>
      </c>
      <c r="B186" t="s">
        <v>48</v>
      </c>
      <c r="C186" t="s">
        <v>45</v>
      </c>
      <c r="D186">
        <v>5</v>
      </c>
      <c r="E186">
        <v>40</v>
      </c>
      <c r="F186">
        <v>0.09</v>
      </c>
      <c r="G186" t="s">
        <v>70</v>
      </c>
    </row>
    <row r="187" spans="1:7">
      <c r="A187">
        <v>43298</v>
      </c>
      <c r="B187" t="s">
        <v>63</v>
      </c>
      <c r="C187" t="s">
        <v>64</v>
      </c>
      <c r="D187">
        <v>12</v>
      </c>
      <c r="E187">
        <v>16</v>
      </c>
      <c r="F187">
        <v>0.04</v>
      </c>
      <c r="G187" t="s">
        <v>72</v>
      </c>
    </row>
    <row r="188" spans="1:7">
      <c r="A188">
        <v>43299</v>
      </c>
      <c r="B188" t="s">
        <v>67</v>
      </c>
      <c r="C188" t="s">
        <v>60</v>
      </c>
      <c r="D188">
        <v>3</v>
      </c>
      <c r="E188">
        <v>150</v>
      </c>
      <c r="F188">
        <v>0.01</v>
      </c>
      <c r="G188" t="s">
        <v>74</v>
      </c>
    </row>
    <row r="189" spans="1:7">
      <c r="A189">
        <v>43299</v>
      </c>
      <c r="B189" t="s">
        <v>48</v>
      </c>
      <c r="C189" t="s">
        <v>64</v>
      </c>
      <c r="D189">
        <v>7</v>
      </c>
      <c r="E189">
        <v>40</v>
      </c>
      <c r="F189">
        <v>0.12</v>
      </c>
      <c r="G189" t="s">
        <v>76</v>
      </c>
    </row>
    <row r="190" spans="1:7">
      <c r="A190">
        <v>43299</v>
      </c>
      <c r="B190" t="s">
        <v>44</v>
      </c>
      <c r="C190" t="s">
        <v>49</v>
      </c>
      <c r="D190">
        <v>2</v>
      </c>
      <c r="E190">
        <v>80</v>
      </c>
      <c r="F190">
        <v>0.04</v>
      </c>
      <c r="G190" t="s">
        <v>46</v>
      </c>
    </row>
    <row r="191" spans="1:7">
      <c r="A191">
        <v>43299</v>
      </c>
      <c r="B191" t="s">
        <v>48</v>
      </c>
      <c r="C191" t="s">
        <v>60</v>
      </c>
      <c r="D191">
        <v>6</v>
      </c>
      <c r="E191">
        <v>40</v>
      </c>
      <c r="F191">
        <v>0.07</v>
      </c>
      <c r="G191" t="s">
        <v>50</v>
      </c>
    </row>
    <row r="192" spans="1:7">
      <c r="A192">
        <v>43299</v>
      </c>
      <c r="B192" t="s">
        <v>63</v>
      </c>
      <c r="C192" t="s">
        <v>57</v>
      </c>
      <c r="D192">
        <v>6</v>
      </c>
      <c r="E192">
        <v>16</v>
      </c>
      <c r="F192">
        <v>0.06</v>
      </c>
      <c r="G192" t="s">
        <v>53</v>
      </c>
    </row>
    <row r="193" spans="1:7">
      <c r="A193">
        <v>43299</v>
      </c>
      <c r="B193" t="s">
        <v>63</v>
      </c>
      <c r="C193" t="s">
        <v>45</v>
      </c>
      <c r="D193">
        <v>7</v>
      </c>
      <c r="E193">
        <v>16</v>
      </c>
      <c r="F193">
        <v>0.02</v>
      </c>
      <c r="G193" t="s">
        <v>55</v>
      </c>
    </row>
    <row r="194" spans="1:7">
      <c r="A194">
        <v>43299</v>
      </c>
      <c r="B194" t="s">
        <v>63</v>
      </c>
      <c r="C194" t="s">
        <v>49</v>
      </c>
      <c r="D194">
        <v>20</v>
      </c>
      <c r="E194">
        <v>16</v>
      </c>
      <c r="F194">
        <v>0.06</v>
      </c>
      <c r="G194" t="s">
        <v>58</v>
      </c>
    </row>
    <row r="195" spans="1:7">
      <c r="A195">
        <v>43299</v>
      </c>
      <c r="B195" t="s">
        <v>63</v>
      </c>
      <c r="C195" t="s">
        <v>49</v>
      </c>
      <c r="D195">
        <v>21</v>
      </c>
      <c r="E195">
        <v>16</v>
      </c>
      <c r="F195">
        <v>0.02</v>
      </c>
      <c r="G195" t="s">
        <v>61</v>
      </c>
    </row>
    <row r="196" spans="1:7">
      <c r="A196">
        <v>43299</v>
      </c>
      <c r="B196" t="s">
        <v>44</v>
      </c>
      <c r="C196" t="s">
        <v>60</v>
      </c>
      <c r="D196">
        <v>21</v>
      </c>
      <c r="E196">
        <v>80</v>
      </c>
      <c r="F196">
        <v>0.05</v>
      </c>
      <c r="G196" t="s">
        <v>65</v>
      </c>
    </row>
    <row r="197" spans="1:7">
      <c r="A197">
        <v>43299</v>
      </c>
      <c r="B197" t="s">
        <v>63</v>
      </c>
      <c r="C197" t="s">
        <v>60</v>
      </c>
      <c r="D197">
        <v>10</v>
      </c>
      <c r="E197">
        <v>16</v>
      </c>
      <c r="F197">
        <v>0.01</v>
      </c>
      <c r="G197" t="s">
        <v>68</v>
      </c>
    </row>
    <row r="198" spans="1:7">
      <c r="A198">
        <v>43300</v>
      </c>
      <c r="B198" t="s">
        <v>52</v>
      </c>
      <c r="C198" t="s">
        <v>60</v>
      </c>
      <c r="D198">
        <v>2</v>
      </c>
      <c r="E198">
        <v>230</v>
      </c>
      <c r="F198">
        <v>0.09</v>
      </c>
      <c r="G198" t="s">
        <v>70</v>
      </c>
    </row>
    <row r="199" spans="1:7">
      <c r="A199">
        <v>43300</v>
      </c>
      <c r="B199" t="s">
        <v>67</v>
      </c>
      <c r="C199" t="s">
        <v>45</v>
      </c>
      <c r="D199">
        <v>20</v>
      </c>
      <c r="E199">
        <v>150</v>
      </c>
      <c r="F199">
        <v>0.03</v>
      </c>
      <c r="G199" t="s">
        <v>72</v>
      </c>
    </row>
    <row r="200" spans="1:7">
      <c r="A200">
        <v>43300</v>
      </c>
      <c r="B200" t="s">
        <v>48</v>
      </c>
      <c r="C200" t="s">
        <v>45</v>
      </c>
      <c r="D200">
        <v>23</v>
      </c>
      <c r="E200">
        <v>40</v>
      </c>
      <c r="F200">
        <v>0.03</v>
      </c>
      <c r="G200" t="s">
        <v>74</v>
      </c>
    </row>
    <row r="201" spans="1:7">
      <c r="A201">
        <v>43300</v>
      </c>
      <c r="B201" t="s">
        <v>44</v>
      </c>
      <c r="C201" t="s">
        <v>60</v>
      </c>
      <c r="D201">
        <v>17</v>
      </c>
      <c r="E201">
        <v>80</v>
      </c>
      <c r="F201">
        <v>0.05</v>
      </c>
      <c r="G201" t="s">
        <v>76</v>
      </c>
    </row>
    <row r="202" spans="1:7">
      <c r="A202">
        <v>43300</v>
      </c>
      <c r="B202" t="s">
        <v>52</v>
      </c>
      <c r="C202" t="s">
        <v>60</v>
      </c>
      <c r="D202">
        <v>11</v>
      </c>
      <c r="E202">
        <v>230</v>
      </c>
      <c r="F202">
        <v>0.12</v>
      </c>
      <c r="G202" t="s">
        <v>46</v>
      </c>
    </row>
    <row r="203" spans="1:7">
      <c r="A203">
        <v>43300</v>
      </c>
      <c r="B203" t="s">
        <v>67</v>
      </c>
      <c r="C203" t="s">
        <v>49</v>
      </c>
      <c r="D203">
        <v>10</v>
      </c>
      <c r="E203">
        <v>150</v>
      </c>
      <c r="F203">
        <v>0.01</v>
      </c>
      <c r="G203" t="s">
        <v>50</v>
      </c>
    </row>
    <row r="204" spans="1:7">
      <c r="A204">
        <v>43300</v>
      </c>
      <c r="B204" t="s">
        <v>44</v>
      </c>
      <c r="C204" t="s">
        <v>49</v>
      </c>
      <c r="D204">
        <v>17</v>
      </c>
      <c r="E204">
        <v>80</v>
      </c>
      <c r="F204">
        <v>0.03</v>
      </c>
      <c r="G204" t="s">
        <v>53</v>
      </c>
    </row>
    <row r="205" spans="1:7">
      <c r="A205">
        <v>43301</v>
      </c>
      <c r="B205" t="s">
        <v>52</v>
      </c>
      <c r="C205" t="s">
        <v>45</v>
      </c>
      <c r="D205">
        <v>9</v>
      </c>
      <c r="E205">
        <v>230</v>
      </c>
      <c r="F205">
        <v>0.07</v>
      </c>
      <c r="G205" t="s">
        <v>55</v>
      </c>
    </row>
    <row r="206" spans="1:7">
      <c r="A206">
        <v>43301</v>
      </c>
      <c r="B206" t="s">
        <v>52</v>
      </c>
      <c r="C206" t="s">
        <v>45</v>
      </c>
      <c r="D206">
        <v>11</v>
      </c>
      <c r="E206">
        <v>230</v>
      </c>
      <c r="F206">
        <v>0.02</v>
      </c>
      <c r="G206" t="s">
        <v>58</v>
      </c>
    </row>
    <row r="207" spans="1:7">
      <c r="A207">
        <v>43301</v>
      </c>
      <c r="B207" t="s">
        <v>48</v>
      </c>
      <c r="C207" t="s">
        <v>57</v>
      </c>
      <c r="D207">
        <v>2</v>
      </c>
      <c r="E207">
        <v>40</v>
      </c>
      <c r="F207">
        <v>0.02</v>
      </c>
      <c r="G207" t="s">
        <v>61</v>
      </c>
    </row>
    <row r="208" spans="1:7">
      <c r="A208">
        <v>43301</v>
      </c>
      <c r="B208" t="s">
        <v>52</v>
      </c>
      <c r="C208" t="s">
        <v>64</v>
      </c>
      <c r="D208">
        <v>3</v>
      </c>
      <c r="E208">
        <v>230</v>
      </c>
      <c r="F208">
        <v>0.1</v>
      </c>
      <c r="G208" t="s">
        <v>65</v>
      </c>
    </row>
    <row r="209" spans="1:7">
      <c r="A209">
        <v>43301</v>
      </c>
      <c r="B209" t="s">
        <v>48</v>
      </c>
      <c r="C209" t="s">
        <v>64</v>
      </c>
      <c r="D209">
        <v>7</v>
      </c>
      <c r="E209">
        <v>40</v>
      </c>
      <c r="F209">
        <v>0.05</v>
      </c>
      <c r="G209" t="s">
        <v>68</v>
      </c>
    </row>
    <row r="210" spans="1:7">
      <c r="A210">
        <v>43301</v>
      </c>
      <c r="B210" t="s">
        <v>67</v>
      </c>
      <c r="C210" t="s">
        <v>49</v>
      </c>
      <c r="D210">
        <v>20</v>
      </c>
      <c r="E210">
        <v>150</v>
      </c>
      <c r="F210">
        <v>0.09</v>
      </c>
      <c r="G210" t="s">
        <v>70</v>
      </c>
    </row>
    <row r="211" spans="1:7">
      <c r="A211">
        <v>43301</v>
      </c>
      <c r="B211" t="s">
        <v>48</v>
      </c>
      <c r="C211" t="s">
        <v>57</v>
      </c>
      <c r="D211">
        <v>4</v>
      </c>
      <c r="E211">
        <v>40</v>
      </c>
      <c r="F211">
        <v>0.11</v>
      </c>
      <c r="G211" t="s">
        <v>72</v>
      </c>
    </row>
    <row r="212" spans="1:7">
      <c r="A212">
        <v>43302</v>
      </c>
      <c r="B212" t="s">
        <v>52</v>
      </c>
      <c r="C212" t="s">
        <v>57</v>
      </c>
      <c r="D212">
        <v>2</v>
      </c>
      <c r="E212">
        <v>230</v>
      </c>
      <c r="F212">
        <v>0.09</v>
      </c>
      <c r="G212" t="s">
        <v>46</v>
      </c>
    </row>
    <row r="213" spans="1:7">
      <c r="A213">
        <v>43302</v>
      </c>
      <c r="B213" t="s">
        <v>48</v>
      </c>
      <c r="C213" t="s">
        <v>49</v>
      </c>
      <c r="D213">
        <v>7</v>
      </c>
      <c r="E213">
        <v>40</v>
      </c>
      <c r="F213">
        <v>0.01</v>
      </c>
      <c r="G213" t="s">
        <v>50</v>
      </c>
    </row>
    <row r="214" spans="1:7">
      <c r="A214">
        <v>43302</v>
      </c>
      <c r="B214" t="s">
        <v>48</v>
      </c>
      <c r="C214" t="s">
        <v>45</v>
      </c>
      <c r="D214">
        <v>2</v>
      </c>
      <c r="E214">
        <v>40</v>
      </c>
      <c r="F214">
        <v>0.12</v>
      </c>
      <c r="G214" t="s">
        <v>53</v>
      </c>
    </row>
    <row r="215" spans="1:7">
      <c r="A215">
        <v>43302</v>
      </c>
      <c r="B215" t="s">
        <v>44</v>
      </c>
      <c r="C215" t="s">
        <v>49</v>
      </c>
      <c r="D215">
        <v>3</v>
      </c>
      <c r="E215">
        <v>80</v>
      </c>
      <c r="F215">
        <v>0.02</v>
      </c>
      <c r="G215" t="s">
        <v>55</v>
      </c>
    </row>
    <row r="216" spans="1:7">
      <c r="A216">
        <v>43302</v>
      </c>
      <c r="B216" t="s">
        <v>63</v>
      </c>
      <c r="C216" t="s">
        <v>45</v>
      </c>
      <c r="D216">
        <v>18</v>
      </c>
      <c r="E216">
        <v>16</v>
      </c>
      <c r="F216">
        <v>0.11</v>
      </c>
      <c r="G216" t="s">
        <v>58</v>
      </c>
    </row>
    <row r="217" spans="1:7">
      <c r="A217">
        <v>43302</v>
      </c>
      <c r="B217" t="s">
        <v>44</v>
      </c>
      <c r="C217" t="s">
        <v>49</v>
      </c>
      <c r="D217">
        <v>5</v>
      </c>
      <c r="E217">
        <v>80</v>
      </c>
      <c r="F217">
        <v>0.07</v>
      </c>
      <c r="G217" t="s">
        <v>61</v>
      </c>
    </row>
    <row r="218" spans="1:7">
      <c r="A218">
        <v>43302</v>
      </c>
      <c r="B218" t="s">
        <v>63</v>
      </c>
      <c r="C218" t="s">
        <v>57</v>
      </c>
      <c r="D218">
        <v>3</v>
      </c>
      <c r="E218">
        <v>16</v>
      </c>
      <c r="F218">
        <v>0.05</v>
      </c>
      <c r="G218" t="s">
        <v>65</v>
      </c>
    </row>
    <row r="219" spans="1:7">
      <c r="A219">
        <v>43302</v>
      </c>
      <c r="B219" t="s">
        <v>44</v>
      </c>
      <c r="C219" t="s">
        <v>60</v>
      </c>
      <c r="D219">
        <v>7</v>
      </c>
      <c r="E219">
        <v>80</v>
      </c>
      <c r="F219">
        <v>0.02</v>
      </c>
      <c r="G219" t="s">
        <v>68</v>
      </c>
    </row>
    <row r="220" spans="1:7">
      <c r="A220">
        <v>43302</v>
      </c>
      <c r="B220" t="s">
        <v>67</v>
      </c>
      <c r="C220" t="s">
        <v>60</v>
      </c>
      <c r="D220">
        <v>15</v>
      </c>
      <c r="E220">
        <v>150</v>
      </c>
      <c r="F220">
        <v>0.08</v>
      </c>
      <c r="G220" t="s">
        <v>70</v>
      </c>
    </row>
    <row r="221" spans="1:7">
      <c r="A221">
        <v>43302</v>
      </c>
      <c r="B221" t="s">
        <v>44</v>
      </c>
      <c r="C221" t="s">
        <v>57</v>
      </c>
      <c r="D221">
        <v>10</v>
      </c>
      <c r="E221">
        <v>80</v>
      </c>
      <c r="F221">
        <v>0.11</v>
      </c>
      <c r="G221" t="s">
        <v>72</v>
      </c>
    </row>
    <row r="222" spans="1:7">
      <c r="A222">
        <v>43302</v>
      </c>
      <c r="B222" t="s">
        <v>52</v>
      </c>
      <c r="C222" t="s">
        <v>64</v>
      </c>
      <c r="D222">
        <v>13</v>
      </c>
      <c r="E222">
        <v>230</v>
      </c>
      <c r="F222">
        <v>0.06</v>
      </c>
      <c r="G222" t="s">
        <v>74</v>
      </c>
    </row>
    <row r="223" spans="1:7">
      <c r="A223">
        <v>43302</v>
      </c>
      <c r="B223" t="s">
        <v>48</v>
      </c>
      <c r="C223" t="s">
        <v>45</v>
      </c>
      <c r="D223">
        <v>7</v>
      </c>
      <c r="E223">
        <v>40</v>
      </c>
      <c r="F223">
        <v>0.1</v>
      </c>
      <c r="G223" t="s">
        <v>76</v>
      </c>
    </row>
    <row r="224" spans="1:7">
      <c r="A224">
        <v>43302</v>
      </c>
      <c r="B224" t="s">
        <v>63</v>
      </c>
      <c r="C224" t="s">
        <v>57</v>
      </c>
      <c r="D224">
        <v>6</v>
      </c>
      <c r="E224">
        <v>16</v>
      </c>
      <c r="F224">
        <v>0.01</v>
      </c>
      <c r="G224" t="s">
        <v>46</v>
      </c>
    </row>
    <row r="225" spans="1:7">
      <c r="A225">
        <v>43303</v>
      </c>
      <c r="B225" t="s">
        <v>48</v>
      </c>
      <c r="C225" t="s">
        <v>57</v>
      </c>
      <c r="D225">
        <v>11</v>
      </c>
      <c r="E225">
        <v>40</v>
      </c>
      <c r="F225">
        <v>0.05</v>
      </c>
      <c r="G225" t="s">
        <v>50</v>
      </c>
    </row>
    <row r="226" spans="1:7">
      <c r="A226">
        <v>43303</v>
      </c>
      <c r="B226" t="s">
        <v>44</v>
      </c>
      <c r="C226" t="s">
        <v>60</v>
      </c>
      <c r="D226">
        <v>8</v>
      </c>
      <c r="E226">
        <v>80</v>
      </c>
      <c r="F226">
        <v>0.06</v>
      </c>
      <c r="G226" t="s">
        <v>53</v>
      </c>
    </row>
    <row r="227" spans="1:7">
      <c r="A227">
        <v>43303</v>
      </c>
      <c r="B227" t="s">
        <v>44</v>
      </c>
      <c r="C227" t="s">
        <v>45</v>
      </c>
      <c r="D227">
        <v>9</v>
      </c>
      <c r="E227">
        <v>80</v>
      </c>
      <c r="F227">
        <v>0.04</v>
      </c>
      <c r="G227" t="s">
        <v>55</v>
      </c>
    </row>
    <row r="228" spans="1:7">
      <c r="A228">
        <v>43303</v>
      </c>
      <c r="B228" t="s">
        <v>48</v>
      </c>
      <c r="C228" t="s">
        <v>64</v>
      </c>
      <c r="D228">
        <v>4</v>
      </c>
      <c r="E228">
        <v>40</v>
      </c>
      <c r="F228">
        <v>0.09</v>
      </c>
      <c r="G228" t="s">
        <v>58</v>
      </c>
    </row>
    <row r="229" spans="1:7">
      <c r="A229">
        <v>43303</v>
      </c>
      <c r="B229" t="s">
        <v>44</v>
      </c>
      <c r="C229" t="s">
        <v>49</v>
      </c>
      <c r="D229">
        <v>13</v>
      </c>
      <c r="E229">
        <v>80</v>
      </c>
      <c r="F229">
        <v>0.06</v>
      </c>
      <c r="G229" t="s">
        <v>61</v>
      </c>
    </row>
    <row r="230" spans="1:7">
      <c r="A230">
        <v>43303</v>
      </c>
      <c r="B230" t="s">
        <v>67</v>
      </c>
      <c r="C230" t="s">
        <v>64</v>
      </c>
      <c r="D230">
        <v>4</v>
      </c>
      <c r="E230">
        <v>150</v>
      </c>
      <c r="F230">
        <v>0.05</v>
      </c>
      <c r="G230" t="s">
        <v>65</v>
      </c>
    </row>
    <row r="231" spans="1:7">
      <c r="A231">
        <v>43303</v>
      </c>
      <c r="B231" t="s">
        <v>52</v>
      </c>
      <c r="C231" t="s">
        <v>57</v>
      </c>
      <c r="D231">
        <v>14</v>
      </c>
      <c r="E231">
        <v>230</v>
      </c>
      <c r="F231">
        <v>0.12</v>
      </c>
      <c r="G231" t="s">
        <v>68</v>
      </c>
    </row>
    <row r="232" spans="1:7">
      <c r="A232">
        <v>43303</v>
      </c>
      <c r="B232" t="s">
        <v>67</v>
      </c>
      <c r="C232" t="s">
        <v>64</v>
      </c>
      <c r="D232">
        <v>13</v>
      </c>
      <c r="E232">
        <v>150</v>
      </c>
      <c r="F232">
        <v>0.11</v>
      </c>
      <c r="G232" t="s">
        <v>70</v>
      </c>
    </row>
    <row r="233" spans="1:7">
      <c r="A233">
        <v>43303</v>
      </c>
      <c r="B233" t="s">
        <v>67</v>
      </c>
      <c r="C233" t="s">
        <v>49</v>
      </c>
      <c r="D233">
        <v>16</v>
      </c>
      <c r="E233">
        <v>150</v>
      </c>
      <c r="F233">
        <v>0.03</v>
      </c>
      <c r="G233" t="s">
        <v>72</v>
      </c>
    </row>
    <row r="234" spans="1:7">
      <c r="A234">
        <v>43303</v>
      </c>
      <c r="B234" t="s">
        <v>63</v>
      </c>
      <c r="C234" t="s">
        <v>45</v>
      </c>
      <c r="D234">
        <v>7</v>
      </c>
      <c r="E234">
        <v>16</v>
      </c>
      <c r="F234">
        <v>0.12</v>
      </c>
      <c r="G234" t="s">
        <v>74</v>
      </c>
    </row>
    <row r="235" spans="1:7">
      <c r="A235">
        <v>43303</v>
      </c>
      <c r="B235" t="s">
        <v>67</v>
      </c>
      <c r="C235" t="s">
        <v>60</v>
      </c>
      <c r="D235">
        <v>9</v>
      </c>
      <c r="E235">
        <v>150</v>
      </c>
      <c r="F235">
        <v>0.02</v>
      </c>
      <c r="G235" t="s">
        <v>76</v>
      </c>
    </row>
    <row r="236" spans="1:7">
      <c r="A236">
        <v>43303</v>
      </c>
      <c r="B236" t="s">
        <v>63</v>
      </c>
      <c r="C236" t="s">
        <v>45</v>
      </c>
      <c r="D236">
        <v>10</v>
      </c>
      <c r="E236">
        <v>16</v>
      </c>
      <c r="F236">
        <v>0.08</v>
      </c>
      <c r="G236" t="s">
        <v>46</v>
      </c>
    </row>
    <row r="237" spans="1:7">
      <c r="A237">
        <v>43303</v>
      </c>
      <c r="B237" t="s">
        <v>44</v>
      </c>
      <c r="C237" t="s">
        <v>60</v>
      </c>
      <c r="D237">
        <v>15</v>
      </c>
      <c r="E237">
        <v>80</v>
      </c>
      <c r="F237">
        <v>0.08</v>
      </c>
      <c r="G237" t="s">
        <v>50</v>
      </c>
    </row>
    <row r="238" spans="1:7">
      <c r="A238">
        <v>43303</v>
      </c>
      <c r="B238" t="s">
        <v>44</v>
      </c>
      <c r="C238" t="s">
        <v>64</v>
      </c>
      <c r="D238">
        <v>9</v>
      </c>
      <c r="E238">
        <v>80</v>
      </c>
      <c r="F238">
        <v>0.06</v>
      </c>
      <c r="G238" t="s">
        <v>53</v>
      </c>
    </row>
    <row r="239" spans="1:7">
      <c r="A239">
        <v>43304</v>
      </c>
      <c r="B239" t="s">
        <v>63</v>
      </c>
      <c r="C239" t="s">
        <v>60</v>
      </c>
      <c r="D239">
        <v>7</v>
      </c>
      <c r="E239">
        <v>16</v>
      </c>
      <c r="F239">
        <v>0.08</v>
      </c>
      <c r="G239" t="s">
        <v>55</v>
      </c>
    </row>
    <row r="240" spans="1:7">
      <c r="A240">
        <v>43304</v>
      </c>
      <c r="B240" t="s">
        <v>67</v>
      </c>
      <c r="C240" t="s">
        <v>64</v>
      </c>
      <c r="D240">
        <v>7</v>
      </c>
      <c r="E240">
        <v>150</v>
      </c>
      <c r="F240">
        <v>0.03</v>
      </c>
      <c r="G240" t="s">
        <v>58</v>
      </c>
    </row>
    <row r="241" spans="1:7">
      <c r="A241">
        <v>43304</v>
      </c>
      <c r="B241" t="s">
        <v>52</v>
      </c>
      <c r="C241" t="s">
        <v>60</v>
      </c>
      <c r="D241">
        <v>16</v>
      </c>
      <c r="E241">
        <v>230</v>
      </c>
      <c r="F241">
        <v>0.11</v>
      </c>
      <c r="G241" t="s">
        <v>61</v>
      </c>
    </row>
    <row r="242" spans="1:7">
      <c r="A242">
        <v>43304</v>
      </c>
      <c r="B242" t="s">
        <v>63</v>
      </c>
      <c r="C242" t="s">
        <v>60</v>
      </c>
      <c r="D242">
        <v>18</v>
      </c>
      <c r="E242">
        <v>16</v>
      </c>
      <c r="F242">
        <v>0.04</v>
      </c>
      <c r="G242" t="s">
        <v>65</v>
      </c>
    </row>
    <row r="243" spans="1:7">
      <c r="A243">
        <v>43304</v>
      </c>
      <c r="B243" t="s">
        <v>52</v>
      </c>
      <c r="C243" t="s">
        <v>64</v>
      </c>
      <c r="D243">
        <v>20</v>
      </c>
      <c r="E243">
        <v>230</v>
      </c>
      <c r="F243">
        <v>0.11</v>
      </c>
      <c r="G243" t="s">
        <v>68</v>
      </c>
    </row>
    <row r="244" spans="1:7">
      <c r="A244">
        <v>43304</v>
      </c>
      <c r="B244" t="s">
        <v>67</v>
      </c>
      <c r="C244" t="s">
        <v>45</v>
      </c>
      <c r="D244">
        <v>7</v>
      </c>
      <c r="E244">
        <v>150</v>
      </c>
      <c r="F244">
        <v>0.02</v>
      </c>
      <c r="G244" t="s">
        <v>70</v>
      </c>
    </row>
    <row r="245" spans="1:7">
      <c r="A245">
        <v>43304</v>
      </c>
      <c r="B245" t="s">
        <v>63</v>
      </c>
      <c r="C245" t="s">
        <v>57</v>
      </c>
      <c r="D245">
        <v>11</v>
      </c>
      <c r="E245">
        <v>16</v>
      </c>
      <c r="F245">
        <v>0.12</v>
      </c>
      <c r="G245" t="s">
        <v>72</v>
      </c>
    </row>
    <row r="246" spans="1:7">
      <c r="A246">
        <v>43304</v>
      </c>
      <c r="B246" t="s">
        <v>48</v>
      </c>
      <c r="C246" t="s">
        <v>57</v>
      </c>
      <c r="D246">
        <v>12</v>
      </c>
      <c r="E246">
        <v>40</v>
      </c>
      <c r="F246">
        <v>0.02</v>
      </c>
      <c r="G246" t="s">
        <v>74</v>
      </c>
    </row>
    <row r="247" spans="1:7">
      <c r="A247">
        <v>43304</v>
      </c>
      <c r="B247" t="s">
        <v>67</v>
      </c>
      <c r="C247" t="s">
        <v>64</v>
      </c>
      <c r="D247">
        <v>7</v>
      </c>
      <c r="E247">
        <v>150</v>
      </c>
      <c r="F247">
        <v>0.02</v>
      </c>
      <c r="G247" t="s">
        <v>76</v>
      </c>
    </row>
    <row r="248" spans="1:7">
      <c r="A248">
        <v>43304</v>
      </c>
      <c r="B248" t="s">
        <v>44</v>
      </c>
      <c r="C248" t="s">
        <v>57</v>
      </c>
      <c r="D248">
        <v>14</v>
      </c>
      <c r="E248">
        <v>80</v>
      </c>
      <c r="F248">
        <v>0.1</v>
      </c>
      <c r="G248" t="s">
        <v>46</v>
      </c>
    </row>
    <row r="249" spans="1:7">
      <c r="A249">
        <v>43304</v>
      </c>
      <c r="B249" t="s">
        <v>52</v>
      </c>
      <c r="C249" t="s">
        <v>57</v>
      </c>
      <c r="D249">
        <v>12</v>
      </c>
      <c r="E249">
        <v>230</v>
      </c>
      <c r="F249">
        <v>0.06</v>
      </c>
      <c r="G249" t="s">
        <v>50</v>
      </c>
    </row>
    <row r="250" spans="1:7">
      <c r="A250">
        <v>43305</v>
      </c>
      <c r="B250" t="s">
        <v>44</v>
      </c>
      <c r="C250" t="s">
        <v>49</v>
      </c>
      <c r="D250">
        <v>21</v>
      </c>
      <c r="E250">
        <v>80</v>
      </c>
      <c r="F250">
        <v>0.04</v>
      </c>
      <c r="G250" t="s">
        <v>53</v>
      </c>
    </row>
    <row r="251" spans="1:7">
      <c r="A251">
        <v>43305</v>
      </c>
      <c r="B251" t="s">
        <v>67</v>
      </c>
      <c r="C251" t="s">
        <v>45</v>
      </c>
      <c r="D251">
        <v>8</v>
      </c>
      <c r="E251">
        <v>150</v>
      </c>
      <c r="F251">
        <v>0.09</v>
      </c>
      <c r="G251" t="s">
        <v>55</v>
      </c>
    </row>
    <row r="252" spans="1:7">
      <c r="A252">
        <v>43305</v>
      </c>
      <c r="B252" t="s">
        <v>44</v>
      </c>
      <c r="C252" t="s">
        <v>49</v>
      </c>
      <c r="D252">
        <v>16</v>
      </c>
      <c r="E252">
        <v>80</v>
      </c>
      <c r="F252">
        <v>0.04</v>
      </c>
      <c r="G252" t="s">
        <v>58</v>
      </c>
    </row>
    <row r="253" spans="1:7">
      <c r="A253">
        <v>43305</v>
      </c>
      <c r="B253" t="s">
        <v>52</v>
      </c>
      <c r="C253" t="s">
        <v>49</v>
      </c>
      <c r="D253">
        <v>14</v>
      </c>
      <c r="E253">
        <v>230</v>
      </c>
      <c r="F253">
        <v>0.05</v>
      </c>
      <c r="G253" t="s">
        <v>61</v>
      </c>
    </row>
    <row r="254" spans="1:7">
      <c r="A254">
        <v>43305</v>
      </c>
      <c r="B254" t="s">
        <v>48</v>
      </c>
      <c r="C254" t="s">
        <v>57</v>
      </c>
      <c r="D254">
        <v>2</v>
      </c>
      <c r="E254">
        <v>40</v>
      </c>
      <c r="F254">
        <v>0.03</v>
      </c>
      <c r="G254" t="s">
        <v>65</v>
      </c>
    </row>
    <row r="255" spans="1:7">
      <c r="A255">
        <v>43305</v>
      </c>
      <c r="B255" t="s">
        <v>67</v>
      </c>
      <c r="C255" t="s">
        <v>45</v>
      </c>
      <c r="D255">
        <v>4</v>
      </c>
      <c r="E255">
        <v>150</v>
      </c>
      <c r="F255">
        <v>0.1</v>
      </c>
      <c r="G255" t="s">
        <v>68</v>
      </c>
    </row>
    <row r="256" spans="1:7">
      <c r="A256">
        <v>43305</v>
      </c>
      <c r="B256" t="s">
        <v>44</v>
      </c>
      <c r="C256" t="s">
        <v>57</v>
      </c>
      <c r="D256">
        <v>6</v>
      </c>
      <c r="E256">
        <v>80</v>
      </c>
      <c r="F256">
        <v>0.01</v>
      </c>
      <c r="G256" t="s">
        <v>70</v>
      </c>
    </row>
    <row r="257" spans="1:7">
      <c r="A257">
        <v>43305</v>
      </c>
      <c r="B257" t="s">
        <v>48</v>
      </c>
      <c r="C257" t="s">
        <v>57</v>
      </c>
      <c r="D257">
        <v>6</v>
      </c>
      <c r="E257">
        <v>40</v>
      </c>
      <c r="F257">
        <v>0.06</v>
      </c>
      <c r="G257" t="s">
        <v>72</v>
      </c>
    </row>
    <row r="258" spans="1:7">
      <c r="A258">
        <v>43305</v>
      </c>
      <c r="B258" t="s">
        <v>67</v>
      </c>
      <c r="C258" t="s">
        <v>45</v>
      </c>
      <c r="D258">
        <v>20</v>
      </c>
      <c r="E258">
        <v>150</v>
      </c>
      <c r="F258">
        <v>0.04</v>
      </c>
      <c r="G258" t="s">
        <v>74</v>
      </c>
    </row>
    <row r="259" spans="1:7">
      <c r="A259">
        <v>43305</v>
      </c>
      <c r="B259" t="s">
        <v>48</v>
      </c>
      <c r="C259" t="s">
        <v>57</v>
      </c>
      <c r="D259">
        <v>18</v>
      </c>
      <c r="E259">
        <v>40</v>
      </c>
      <c r="F259">
        <v>0.03</v>
      </c>
      <c r="G259" t="s">
        <v>76</v>
      </c>
    </row>
    <row r="260" spans="1:7">
      <c r="A260">
        <v>43305</v>
      </c>
      <c r="B260" t="s">
        <v>52</v>
      </c>
      <c r="C260" t="s">
        <v>60</v>
      </c>
      <c r="D260">
        <v>18</v>
      </c>
      <c r="E260">
        <v>230</v>
      </c>
      <c r="F260">
        <v>0.01</v>
      </c>
      <c r="G260" t="s">
        <v>46</v>
      </c>
    </row>
    <row r="261" spans="1:7">
      <c r="A261">
        <v>43305</v>
      </c>
      <c r="B261" t="s">
        <v>52</v>
      </c>
      <c r="C261" t="s">
        <v>57</v>
      </c>
      <c r="D261">
        <v>15</v>
      </c>
      <c r="E261">
        <v>230</v>
      </c>
      <c r="F261">
        <v>0.04</v>
      </c>
      <c r="G261" t="s">
        <v>50</v>
      </c>
    </row>
    <row r="262" spans="1:7">
      <c r="A262">
        <v>43305</v>
      </c>
      <c r="B262" t="s">
        <v>63</v>
      </c>
      <c r="C262" t="s">
        <v>49</v>
      </c>
      <c r="D262">
        <v>22</v>
      </c>
      <c r="E262">
        <v>16</v>
      </c>
      <c r="F262">
        <v>0.01</v>
      </c>
      <c r="G262" t="s">
        <v>53</v>
      </c>
    </row>
    <row r="263" spans="1:7">
      <c r="A263">
        <v>43305</v>
      </c>
      <c r="B263" t="s">
        <v>67</v>
      </c>
      <c r="C263" t="s">
        <v>45</v>
      </c>
      <c r="D263">
        <v>17</v>
      </c>
      <c r="E263">
        <v>150</v>
      </c>
      <c r="F263">
        <v>0.12</v>
      </c>
      <c r="G263" t="s">
        <v>55</v>
      </c>
    </row>
    <row r="264" spans="1:7">
      <c r="A264">
        <v>43306</v>
      </c>
      <c r="B264" t="s">
        <v>63</v>
      </c>
      <c r="C264" t="s">
        <v>49</v>
      </c>
      <c r="D264">
        <v>5</v>
      </c>
      <c r="E264">
        <v>16</v>
      </c>
      <c r="F264">
        <v>0.11</v>
      </c>
      <c r="G264" t="s">
        <v>58</v>
      </c>
    </row>
    <row r="265" spans="1:7">
      <c r="A265">
        <v>43306</v>
      </c>
      <c r="B265" t="s">
        <v>67</v>
      </c>
      <c r="C265" t="s">
        <v>45</v>
      </c>
      <c r="D265">
        <v>23</v>
      </c>
      <c r="E265">
        <v>150</v>
      </c>
      <c r="F265">
        <v>0.1</v>
      </c>
      <c r="G265" t="s">
        <v>61</v>
      </c>
    </row>
    <row r="266" spans="1:7">
      <c r="A266">
        <v>43306</v>
      </c>
      <c r="B266" t="s">
        <v>67</v>
      </c>
      <c r="C266" t="s">
        <v>60</v>
      </c>
      <c r="D266">
        <v>22</v>
      </c>
      <c r="E266">
        <v>150</v>
      </c>
      <c r="F266">
        <v>0.05</v>
      </c>
      <c r="G266" t="s">
        <v>65</v>
      </c>
    </row>
    <row r="267" spans="1:7">
      <c r="A267">
        <v>43306</v>
      </c>
      <c r="B267" t="s">
        <v>63</v>
      </c>
      <c r="C267" t="s">
        <v>64</v>
      </c>
      <c r="D267">
        <v>15</v>
      </c>
      <c r="E267">
        <v>16</v>
      </c>
      <c r="F267">
        <v>0.01</v>
      </c>
      <c r="G267" t="s">
        <v>68</v>
      </c>
    </row>
    <row r="268" spans="1:7">
      <c r="A268">
        <v>43306</v>
      </c>
      <c r="B268" t="s">
        <v>48</v>
      </c>
      <c r="C268" t="s">
        <v>60</v>
      </c>
      <c r="D268">
        <v>7</v>
      </c>
      <c r="E268">
        <v>40</v>
      </c>
      <c r="F268">
        <v>0.07</v>
      </c>
      <c r="G268" t="s">
        <v>70</v>
      </c>
    </row>
    <row r="269" spans="1:7">
      <c r="A269">
        <v>43306</v>
      </c>
      <c r="B269" t="s">
        <v>44</v>
      </c>
      <c r="C269" t="s">
        <v>64</v>
      </c>
      <c r="D269">
        <v>22</v>
      </c>
      <c r="E269">
        <v>80</v>
      </c>
      <c r="F269">
        <v>0.11</v>
      </c>
      <c r="G269" t="s">
        <v>72</v>
      </c>
    </row>
    <row r="270" spans="1:7">
      <c r="A270">
        <v>43306</v>
      </c>
      <c r="B270" t="s">
        <v>67</v>
      </c>
      <c r="C270" t="s">
        <v>57</v>
      </c>
      <c r="D270">
        <v>11</v>
      </c>
      <c r="E270">
        <v>150</v>
      </c>
      <c r="F270">
        <v>0.05</v>
      </c>
      <c r="G270" t="s">
        <v>74</v>
      </c>
    </row>
    <row r="271" spans="1:7">
      <c r="A271">
        <v>43306</v>
      </c>
      <c r="B271" t="s">
        <v>48</v>
      </c>
      <c r="C271" t="s">
        <v>49</v>
      </c>
      <c r="D271">
        <v>21</v>
      </c>
      <c r="E271">
        <v>40</v>
      </c>
      <c r="F271">
        <v>0.03</v>
      </c>
      <c r="G271" t="s">
        <v>76</v>
      </c>
    </row>
    <row r="272" spans="1:7">
      <c r="A272">
        <v>43306</v>
      </c>
      <c r="B272" t="s">
        <v>44</v>
      </c>
      <c r="C272" t="s">
        <v>60</v>
      </c>
      <c r="D272">
        <v>23</v>
      </c>
      <c r="E272">
        <v>80</v>
      </c>
      <c r="F272">
        <v>0.11</v>
      </c>
      <c r="G272" t="s">
        <v>46</v>
      </c>
    </row>
    <row r="273" spans="1:7">
      <c r="A273">
        <v>43306</v>
      </c>
      <c r="B273" t="s">
        <v>52</v>
      </c>
      <c r="C273" t="s">
        <v>57</v>
      </c>
      <c r="D273">
        <v>7</v>
      </c>
      <c r="E273">
        <v>230</v>
      </c>
      <c r="F273">
        <v>0.01</v>
      </c>
      <c r="G273" t="s">
        <v>50</v>
      </c>
    </row>
    <row r="274" spans="1:7">
      <c r="A274">
        <v>43306</v>
      </c>
      <c r="B274" t="s">
        <v>52</v>
      </c>
      <c r="C274" t="s">
        <v>45</v>
      </c>
      <c r="D274">
        <v>16</v>
      </c>
      <c r="E274">
        <v>230</v>
      </c>
      <c r="F274">
        <v>0.07</v>
      </c>
      <c r="G274" t="s">
        <v>53</v>
      </c>
    </row>
    <row r="275" spans="1:7">
      <c r="A275">
        <v>43306</v>
      </c>
      <c r="B275" t="s">
        <v>44</v>
      </c>
      <c r="C275" t="s">
        <v>49</v>
      </c>
      <c r="D275">
        <v>14</v>
      </c>
      <c r="E275">
        <v>80</v>
      </c>
      <c r="F275">
        <v>0.11</v>
      </c>
      <c r="G275" t="s">
        <v>55</v>
      </c>
    </row>
    <row r="276" spans="1:7">
      <c r="A276">
        <v>43306</v>
      </c>
      <c r="B276" t="s">
        <v>67</v>
      </c>
      <c r="C276" t="s">
        <v>57</v>
      </c>
      <c r="D276">
        <v>22</v>
      </c>
      <c r="E276">
        <v>150</v>
      </c>
      <c r="F276">
        <v>0.09</v>
      </c>
      <c r="G276" t="s">
        <v>58</v>
      </c>
    </row>
    <row r="277" spans="1:7">
      <c r="A277">
        <v>43306</v>
      </c>
      <c r="B277" t="s">
        <v>67</v>
      </c>
      <c r="C277" t="s">
        <v>60</v>
      </c>
      <c r="D277">
        <v>4</v>
      </c>
      <c r="E277">
        <v>150</v>
      </c>
      <c r="F277">
        <v>0.12</v>
      </c>
      <c r="G277" t="s">
        <v>61</v>
      </c>
    </row>
    <row r="278" spans="1:7">
      <c r="A278">
        <v>43306</v>
      </c>
      <c r="B278" t="s">
        <v>67</v>
      </c>
      <c r="C278" t="s">
        <v>45</v>
      </c>
      <c r="D278">
        <v>3</v>
      </c>
      <c r="E278">
        <v>150</v>
      </c>
      <c r="F278">
        <v>0.03</v>
      </c>
      <c r="G278" t="s">
        <v>65</v>
      </c>
    </row>
    <row r="279" spans="1:7">
      <c r="A279">
        <v>43306</v>
      </c>
      <c r="B279" t="s">
        <v>48</v>
      </c>
      <c r="C279" t="s">
        <v>64</v>
      </c>
      <c r="D279">
        <v>17</v>
      </c>
      <c r="E279">
        <v>40</v>
      </c>
      <c r="F279">
        <v>0.02</v>
      </c>
      <c r="G279" t="s">
        <v>68</v>
      </c>
    </row>
    <row r="280" spans="1:7">
      <c r="A280">
        <v>43306</v>
      </c>
      <c r="B280" t="s">
        <v>44</v>
      </c>
      <c r="C280" t="s">
        <v>64</v>
      </c>
      <c r="D280">
        <v>22</v>
      </c>
      <c r="E280">
        <v>80</v>
      </c>
      <c r="F280">
        <v>0.1</v>
      </c>
      <c r="G280" t="s">
        <v>70</v>
      </c>
    </row>
    <row r="281" spans="1:7">
      <c r="A281">
        <v>43306</v>
      </c>
      <c r="B281" t="s">
        <v>67</v>
      </c>
      <c r="C281" t="s">
        <v>64</v>
      </c>
      <c r="D281">
        <v>18</v>
      </c>
      <c r="E281">
        <v>150</v>
      </c>
      <c r="F281">
        <v>0.12</v>
      </c>
      <c r="G281" t="s">
        <v>72</v>
      </c>
    </row>
    <row r="282" spans="1:7">
      <c r="A282">
        <v>43307</v>
      </c>
      <c r="B282" t="s">
        <v>67</v>
      </c>
      <c r="C282" t="s">
        <v>45</v>
      </c>
      <c r="D282">
        <v>4</v>
      </c>
      <c r="E282">
        <v>150</v>
      </c>
      <c r="F282">
        <v>0.06</v>
      </c>
      <c r="G282" t="s">
        <v>46</v>
      </c>
    </row>
    <row r="283" spans="1:7">
      <c r="A283">
        <v>43307</v>
      </c>
      <c r="B283" t="s">
        <v>52</v>
      </c>
      <c r="C283" t="s">
        <v>49</v>
      </c>
      <c r="D283">
        <v>22</v>
      </c>
      <c r="E283">
        <v>230</v>
      </c>
      <c r="F283">
        <v>0.04</v>
      </c>
      <c r="G283" t="s">
        <v>50</v>
      </c>
    </row>
    <row r="284" spans="1:7">
      <c r="A284">
        <v>43307</v>
      </c>
      <c r="B284" t="s">
        <v>67</v>
      </c>
      <c r="C284" t="s">
        <v>49</v>
      </c>
      <c r="D284">
        <v>15</v>
      </c>
      <c r="E284">
        <v>150</v>
      </c>
      <c r="F284">
        <v>0.12</v>
      </c>
      <c r="G284" t="s">
        <v>53</v>
      </c>
    </row>
    <row r="285" spans="1:7">
      <c r="A285">
        <v>43307</v>
      </c>
      <c r="B285" t="s">
        <v>44</v>
      </c>
      <c r="C285" t="s">
        <v>45</v>
      </c>
      <c r="D285">
        <v>17</v>
      </c>
      <c r="E285">
        <v>80</v>
      </c>
      <c r="F285">
        <v>0.07</v>
      </c>
      <c r="G285" t="s">
        <v>55</v>
      </c>
    </row>
    <row r="286" spans="1:7">
      <c r="A286">
        <v>43307</v>
      </c>
      <c r="B286" t="s">
        <v>48</v>
      </c>
      <c r="C286" t="s">
        <v>64</v>
      </c>
      <c r="D286">
        <v>10</v>
      </c>
      <c r="E286">
        <v>40</v>
      </c>
      <c r="F286">
        <v>0.03</v>
      </c>
      <c r="G286" t="s">
        <v>58</v>
      </c>
    </row>
    <row r="287" spans="1:7">
      <c r="A287">
        <v>43307</v>
      </c>
      <c r="B287" t="s">
        <v>48</v>
      </c>
      <c r="C287" t="s">
        <v>45</v>
      </c>
      <c r="D287">
        <v>23</v>
      </c>
      <c r="E287">
        <v>40</v>
      </c>
      <c r="F287">
        <v>0.07</v>
      </c>
      <c r="G287" t="s">
        <v>61</v>
      </c>
    </row>
    <row r="288" spans="1:7">
      <c r="A288">
        <v>43307</v>
      </c>
      <c r="B288" t="s">
        <v>63</v>
      </c>
      <c r="C288" t="s">
        <v>49</v>
      </c>
      <c r="D288">
        <v>22</v>
      </c>
      <c r="E288">
        <v>16</v>
      </c>
      <c r="F288">
        <v>0.04</v>
      </c>
      <c r="G288" t="s">
        <v>65</v>
      </c>
    </row>
    <row r="289" spans="1:7">
      <c r="A289">
        <v>43307</v>
      </c>
      <c r="B289" t="s">
        <v>44</v>
      </c>
      <c r="C289" t="s">
        <v>57</v>
      </c>
      <c r="D289">
        <v>8</v>
      </c>
      <c r="E289">
        <v>80</v>
      </c>
      <c r="F289">
        <v>0.02</v>
      </c>
      <c r="G289" t="s">
        <v>68</v>
      </c>
    </row>
    <row r="290" spans="1:7">
      <c r="A290">
        <v>43307</v>
      </c>
      <c r="B290" t="s">
        <v>63</v>
      </c>
      <c r="C290" t="s">
        <v>49</v>
      </c>
      <c r="D290">
        <v>4</v>
      </c>
      <c r="E290">
        <v>16</v>
      </c>
      <c r="F290">
        <v>0.09</v>
      </c>
      <c r="G290" t="s">
        <v>70</v>
      </c>
    </row>
    <row r="291" spans="1:7">
      <c r="A291">
        <v>43307</v>
      </c>
      <c r="B291" t="s">
        <v>48</v>
      </c>
      <c r="C291" t="s">
        <v>60</v>
      </c>
      <c r="D291">
        <v>11</v>
      </c>
      <c r="E291">
        <v>40</v>
      </c>
      <c r="F291">
        <v>0.09</v>
      </c>
      <c r="G291" t="s">
        <v>72</v>
      </c>
    </row>
    <row r="292" spans="1:7">
      <c r="A292">
        <v>43307</v>
      </c>
      <c r="B292" t="s">
        <v>52</v>
      </c>
      <c r="C292" t="s">
        <v>57</v>
      </c>
      <c r="D292">
        <v>18</v>
      </c>
      <c r="E292">
        <v>230</v>
      </c>
      <c r="F292">
        <v>0.01</v>
      </c>
      <c r="G292" t="s">
        <v>74</v>
      </c>
    </row>
    <row r="293" spans="1:7">
      <c r="A293">
        <v>43308</v>
      </c>
      <c r="B293" t="s">
        <v>52</v>
      </c>
      <c r="C293" t="s">
        <v>49</v>
      </c>
      <c r="D293">
        <v>11</v>
      </c>
      <c r="E293">
        <v>230</v>
      </c>
      <c r="F293">
        <v>0.1</v>
      </c>
      <c r="G293" t="s">
        <v>76</v>
      </c>
    </row>
    <row r="294" spans="1:7">
      <c r="A294">
        <v>43308</v>
      </c>
      <c r="B294" t="s">
        <v>52</v>
      </c>
      <c r="C294" t="s">
        <v>45</v>
      </c>
      <c r="D294">
        <v>15</v>
      </c>
      <c r="E294">
        <v>230</v>
      </c>
      <c r="F294">
        <v>0.05</v>
      </c>
      <c r="G294" t="s">
        <v>46</v>
      </c>
    </row>
    <row r="295" spans="1:7">
      <c r="A295">
        <v>43308</v>
      </c>
      <c r="B295" t="s">
        <v>48</v>
      </c>
      <c r="C295" t="s">
        <v>64</v>
      </c>
      <c r="D295">
        <v>7</v>
      </c>
      <c r="E295">
        <v>40</v>
      </c>
      <c r="F295">
        <v>0.04</v>
      </c>
      <c r="G295" t="s">
        <v>50</v>
      </c>
    </row>
    <row r="296" spans="1:7">
      <c r="A296">
        <v>43308</v>
      </c>
      <c r="B296" t="s">
        <v>67</v>
      </c>
      <c r="C296" t="s">
        <v>57</v>
      </c>
      <c r="D296">
        <v>20</v>
      </c>
      <c r="E296">
        <v>150</v>
      </c>
      <c r="F296">
        <v>0.12</v>
      </c>
      <c r="G296" t="s">
        <v>53</v>
      </c>
    </row>
    <row r="297" spans="1:7">
      <c r="A297">
        <v>43308</v>
      </c>
      <c r="B297" t="s">
        <v>44</v>
      </c>
      <c r="C297" t="s">
        <v>57</v>
      </c>
      <c r="D297">
        <v>5</v>
      </c>
      <c r="E297">
        <v>80</v>
      </c>
      <c r="F297">
        <v>0.09</v>
      </c>
      <c r="G297" t="s">
        <v>55</v>
      </c>
    </row>
    <row r="298" spans="1:7">
      <c r="A298">
        <v>43308</v>
      </c>
      <c r="B298" t="s">
        <v>44</v>
      </c>
      <c r="C298" t="s">
        <v>60</v>
      </c>
      <c r="D298">
        <v>14</v>
      </c>
      <c r="E298">
        <v>80</v>
      </c>
      <c r="F298">
        <v>0.05</v>
      </c>
      <c r="G298" t="s">
        <v>58</v>
      </c>
    </row>
    <row r="299" spans="1:7">
      <c r="A299">
        <v>43308</v>
      </c>
      <c r="B299" t="s">
        <v>52</v>
      </c>
      <c r="C299" t="s">
        <v>60</v>
      </c>
      <c r="D299">
        <v>7</v>
      </c>
      <c r="E299">
        <v>230</v>
      </c>
      <c r="F299">
        <v>0.06</v>
      </c>
      <c r="G299" t="s">
        <v>61</v>
      </c>
    </row>
    <row r="300" spans="1:7">
      <c r="A300">
        <v>43308</v>
      </c>
      <c r="B300" t="s">
        <v>48</v>
      </c>
      <c r="C300" t="s">
        <v>60</v>
      </c>
      <c r="D300">
        <v>13</v>
      </c>
      <c r="E300">
        <v>40</v>
      </c>
      <c r="F300">
        <v>0.06</v>
      </c>
      <c r="G300" t="s">
        <v>65</v>
      </c>
    </row>
    <row r="301" spans="1:7">
      <c r="A301">
        <v>43309</v>
      </c>
      <c r="B301" t="s">
        <v>63</v>
      </c>
      <c r="C301" t="s">
        <v>49</v>
      </c>
      <c r="D301">
        <v>15</v>
      </c>
      <c r="E301">
        <v>16</v>
      </c>
      <c r="F301">
        <v>0.02</v>
      </c>
      <c r="G301" t="s">
        <v>68</v>
      </c>
    </row>
    <row r="302" spans="1:7">
      <c r="A302">
        <v>43309</v>
      </c>
      <c r="B302" t="s">
        <v>63</v>
      </c>
      <c r="C302" t="s">
        <v>60</v>
      </c>
      <c r="D302">
        <v>5</v>
      </c>
      <c r="E302">
        <v>16</v>
      </c>
      <c r="F302">
        <v>0.09</v>
      </c>
      <c r="G302" t="s">
        <v>70</v>
      </c>
    </row>
    <row r="303" spans="1:7">
      <c r="A303">
        <v>43309</v>
      </c>
      <c r="B303" t="s">
        <v>63</v>
      </c>
      <c r="C303" t="s">
        <v>45</v>
      </c>
      <c r="D303">
        <v>22</v>
      </c>
      <c r="E303">
        <v>16</v>
      </c>
      <c r="F303">
        <v>0.06</v>
      </c>
      <c r="G303" t="s">
        <v>72</v>
      </c>
    </row>
    <row r="304" spans="1:7">
      <c r="A304">
        <v>43309</v>
      </c>
      <c r="B304" t="s">
        <v>67</v>
      </c>
      <c r="C304" t="s">
        <v>57</v>
      </c>
      <c r="D304">
        <v>15</v>
      </c>
      <c r="E304">
        <v>150</v>
      </c>
      <c r="F304">
        <v>0.05</v>
      </c>
      <c r="G304" t="s">
        <v>74</v>
      </c>
    </row>
    <row r="305" spans="1:7">
      <c r="A305">
        <v>43309</v>
      </c>
      <c r="B305" t="s">
        <v>52</v>
      </c>
      <c r="C305" t="s">
        <v>57</v>
      </c>
      <c r="D305">
        <v>5</v>
      </c>
      <c r="E305">
        <v>230</v>
      </c>
      <c r="F305">
        <v>0.01</v>
      </c>
      <c r="G305" t="s">
        <v>76</v>
      </c>
    </row>
    <row r="306" spans="1:7">
      <c r="A306">
        <v>43309</v>
      </c>
      <c r="B306" t="s">
        <v>48</v>
      </c>
      <c r="C306" t="s">
        <v>45</v>
      </c>
      <c r="D306">
        <v>11</v>
      </c>
      <c r="E306">
        <v>40</v>
      </c>
      <c r="F306">
        <v>0.04</v>
      </c>
      <c r="G306" t="s">
        <v>46</v>
      </c>
    </row>
    <row r="307" spans="1:7">
      <c r="A307">
        <v>43309</v>
      </c>
      <c r="B307" t="s">
        <v>67</v>
      </c>
      <c r="C307" t="s">
        <v>49</v>
      </c>
      <c r="D307">
        <v>13</v>
      </c>
      <c r="E307">
        <v>150</v>
      </c>
      <c r="F307">
        <v>0.08</v>
      </c>
      <c r="G307" t="s">
        <v>50</v>
      </c>
    </row>
    <row r="308" spans="1:7">
      <c r="A308">
        <v>43309</v>
      </c>
      <c r="B308" t="s">
        <v>63</v>
      </c>
      <c r="C308" t="s">
        <v>64</v>
      </c>
      <c r="D308">
        <v>13</v>
      </c>
      <c r="E308">
        <v>16</v>
      </c>
      <c r="F308">
        <v>0.07</v>
      </c>
      <c r="G308" t="s">
        <v>53</v>
      </c>
    </row>
    <row r="309" spans="1:7">
      <c r="A309">
        <v>43309</v>
      </c>
      <c r="B309" t="s">
        <v>63</v>
      </c>
      <c r="C309" t="s">
        <v>64</v>
      </c>
      <c r="D309">
        <v>3</v>
      </c>
      <c r="E309">
        <v>16</v>
      </c>
      <c r="F309">
        <v>0.03</v>
      </c>
      <c r="G309" t="s">
        <v>55</v>
      </c>
    </row>
    <row r="310" spans="1:7">
      <c r="A310">
        <v>43310</v>
      </c>
      <c r="B310" t="s">
        <v>67</v>
      </c>
      <c r="C310" t="s">
        <v>49</v>
      </c>
      <c r="D310">
        <v>2</v>
      </c>
      <c r="E310">
        <v>150</v>
      </c>
      <c r="F310">
        <v>0.09</v>
      </c>
      <c r="G310" t="s">
        <v>58</v>
      </c>
    </row>
    <row r="311" spans="1:7">
      <c r="A311">
        <v>43310</v>
      </c>
      <c r="B311" t="s">
        <v>52</v>
      </c>
      <c r="C311" t="s">
        <v>57</v>
      </c>
      <c r="D311">
        <v>14</v>
      </c>
      <c r="E311">
        <v>230</v>
      </c>
      <c r="F311">
        <v>0.03</v>
      </c>
      <c r="G311" t="s">
        <v>61</v>
      </c>
    </row>
    <row r="312" spans="1:7">
      <c r="A312">
        <v>43310</v>
      </c>
      <c r="B312" t="s">
        <v>48</v>
      </c>
      <c r="C312" t="s">
        <v>57</v>
      </c>
      <c r="D312">
        <v>11</v>
      </c>
      <c r="E312">
        <v>40</v>
      </c>
      <c r="F312">
        <v>0.12</v>
      </c>
      <c r="G312" t="s">
        <v>65</v>
      </c>
    </row>
    <row r="313" spans="1:7">
      <c r="A313">
        <v>43310</v>
      </c>
      <c r="B313" t="s">
        <v>63</v>
      </c>
      <c r="C313" t="s">
        <v>64</v>
      </c>
      <c r="D313">
        <v>3</v>
      </c>
      <c r="E313">
        <v>16</v>
      </c>
      <c r="F313">
        <v>0.06</v>
      </c>
      <c r="G313" t="s">
        <v>68</v>
      </c>
    </row>
    <row r="314" spans="1:7">
      <c r="A314">
        <v>43310</v>
      </c>
      <c r="B314" t="s">
        <v>48</v>
      </c>
      <c r="C314" t="s">
        <v>64</v>
      </c>
      <c r="D314">
        <v>18</v>
      </c>
      <c r="E314">
        <v>40</v>
      </c>
      <c r="F314">
        <v>0.06</v>
      </c>
      <c r="G314" t="s">
        <v>70</v>
      </c>
    </row>
    <row r="315" spans="1:7">
      <c r="A315">
        <v>43310</v>
      </c>
      <c r="B315" t="s">
        <v>52</v>
      </c>
      <c r="C315" t="s">
        <v>64</v>
      </c>
      <c r="D315">
        <v>7</v>
      </c>
      <c r="E315">
        <v>230</v>
      </c>
      <c r="F315">
        <v>0.05</v>
      </c>
      <c r="G315" t="s">
        <v>72</v>
      </c>
    </row>
    <row r="316" spans="1:7">
      <c r="A316">
        <v>43310</v>
      </c>
      <c r="B316" t="s">
        <v>48</v>
      </c>
      <c r="C316" t="s">
        <v>64</v>
      </c>
      <c r="D316">
        <v>23</v>
      </c>
      <c r="E316">
        <v>40</v>
      </c>
      <c r="F316">
        <v>0.05</v>
      </c>
      <c r="G316" t="s">
        <v>74</v>
      </c>
    </row>
    <row r="317" spans="1:7">
      <c r="A317">
        <v>43311</v>
      </c>
      <c r="B317" t="s">
        <v>52</v>
      </c>
      <c r="C317" t="s">
        <v>64</v>
      </c>
      <c r="D317">
        <v>2</v>
      </c>
      <c r="E317">
        <v>230</v>
      </c>
      <c r="F317">
        <v>0.08</v>
      </c>
      <c r="G317" t="s">
        <v>76</v>
      </c>
    </row>
    <row r="318" spans="1:7">
      <c r="A318">
        <v>43311</v>
      </c>
      <c r="B318" t="s">
        <v>48</v>
      </c>
      <c r="C318" t="s">
        <v>60</v>
      </c>
      <c r="D318">
        <v>18</v>
      </c>
      <c r="E318">
        <v>40</v>
      </c>
      <c r="F318">
        <v>0.04</v>
      </c>
      <c r="G318" t="s">
        <v>46</v>
      </c>
    </row>
    <row r="319" spans="1:7">
      <c r="A319">
        <v>43311</v>
      </c>
      <c r="B319" t="s">
        <v>52</v>
      </c>
      <c r="C319" t="s">
        <v>49</v>
      </c>
      <c r="D319">
        <v>7</v>
      </c>
      <c r="E319">
        <v>230</v>
      </c>
      <c r="F319">
        <v>0.05</v>
      </c>
      <c r="G319" t="s">
        <v>50</v>
      </c>
    </row>
    <row r="320" spans="1:7">
      <c r="A320">
        <v>43311</v>
      </c>
      <c r="B320" t="s">
        <v>48</v>
      </c>
      <c r="C320" t="s">
        <v>64</v>
      </c>
      <c r="D320">
        <v>14</v>
      </c>
      <c r="E320">
        <v>40</v>
      </c>
      <c r="F320">
        <v>0.11</v>
      </c>
      <c r="G320" t="s">
        <v>53</v>
      </c>
    </row>
    <row r="321" spans="1:7">
      <c r="A321">
        <v>43311</v>
      </c>
      <c r="B321" t="s">
        <v>67</v>
      </c>
      <c r="C321" t="s">
        <v>49</v>
      </c>
      <c r="D321">
        <v>13</v>
      </c>
      <c r="E321">
        <v>150</v>
      </c>
      <c r="F321">
        <v>0.02</v>
      </c>
      <c r="G321" t="s">
        <v>55</v>
      </c>
    </row>
    <row r="322" spans="1:7">
      <c r="A322">
        <v>43311</v>
      </c>
      <c r="B322" t="s">
        <v>44</v>
      </c>
      <c r="C322" t="s">
        <v>45</v>
      </c>
      <c r="D322">
        <v>12</v>
      </c>
      <c r="E322">
        <v>80</v>
      </c>
      <c r="F322">
        <v>0.04</v>
      </c>
      <c r="G322" t="s">
        <v>58</v>
      </c>
    </row>
    <row r="323" spans="1:7">
      <c r="A323">
        <v>43311</v>
      </c>
      <c r="B323" t="s">
        <v>52</v>
      </c>
      <c r="C323" t="s">
        <v>64</v>
      </c>
      <c r="D323">
        <v>20</v>
      </c>
      <c r="E323">
        <v>230</v>
      </c>
      <c r="F323">
        <v>0.09</v>
      </c>
      <c r="G323" t="s">
        <v>61</v>
      </c>
    </row>
    <row r="324" spans="1:7">
      <c r="A324">
        <v>43311</v>
      </c>
      <c r="B324" t="s">
        <v>48</v>
      </c>
      <c r="C324" t="s">
        <v>64</v>
      </c>
      <c r="D324">
        <v>5</v>
      </c>
      <c r="E324">
        <v>40</v>
      </c>
      <c r="F324">
        <v>0.03</v>
      </c>
      <c r="G324" t="s">
        <v>65</v>
      </c>
    </row>
    <row r="325" spans="1:7">
      <c r="A325">
        <v>43311</v>
      </c>
      <c r="B325" t="s">
        <v>63</v>
      </c>
      <c r="C325" t="s">
        <v>64</v>
      </c>
      <c r="D325">
        <v>2</v>
      </c>
      <c r="E325">
        <v>16</v>
      </c>
      <c r="F325">
        <v>0.04</v>
      </c>
      <c r="G325" t="s">
        <v>68</v>
      </c>
    </row>
    <row r="326" spans="1:7">
      <c r="A326">
        <v>43282</v>
      </c>
      <c r="B326" t="s">
        <v>44</v>
      </c>
      <c r="C326" t="s">
        <v>57</v>
      </c>
      <c r="D326">
        <v>10</v>
      </c>
      <c r="E326">
        <v>80</v>
      </c>
      <c r="F326">
        <v>0.08</v>
      </c>
      <c r="G326" t="s">
        <v>70</v>
      </c>
    </row>
    <row r="327" spans="1:7">
      <c r="A327">
        <v>43282</v>
      </c>
      <c r="B327" t="s">
        <v>48</v>
      </c>
      <c r="C327" t="s">
        <v>60</v>
      </c>
      <c r="D327">
        <v>18</v>
      </c>
      <c r="E327">
        <v>40</v>
      </c>
      <c r="F327">
        <v>0.06</v>
      </c>
      <c r="G327" t="s">
        <v>72</v>
      </c>
    </row>
    <row r="328" spans="1:7">
      <c r="A328">
        <v>43282</v>
      </c>
      <c r="B328" t="s">
        <v>52</v>
      </c>
      <c r="C328" t="s">
        <v>49</v>
      </c>
      <c r="D328">
        <v>7</v>
      </c>
      <c r="E328">
        <v>230</v>
      </c>
      <c r="F328">
        <v>0.08</v>
      </c>
      <c r="G328" t="s">
        <v>74</v>
      </c>
    </row>
    <row r="329" spans="1:7">
      <c r="A329">
        <v>43282</v>
      </c>
      <c r="B329" t="s">
        <v>48</v>
      </c>
      <c r="C329" t="s">
        <v>60</v>
      </c>
      <c r="D329">
        <v>15</v>
      </c>
      <c r="E329">
        <v>40</v>
      </c>
      <c r="F329">
        <v>0.03</v>
      </c>
      <c r="G329" t="s">
        <v>76</v>
      </c>
    </row>
    <row r="330" spans="1:7">
      <c r="A330">
        <v>43282</v>
      </c>
      <c r="B330" t="s">
        <v>63</v>
      </c>
      <c r="C330" t="s">
        <v>57</v>
      </c>
      <c r="D330">
        <v>6</v>
      </c>
      <c r="E330">
        <v>16</v>
      </c>
      <c r="F330">
        <v>0.01</v>
      </c>
      <c r="G330" t="s">
        <v>46</v>
      </c>
    </row>
    <row r="331" spans="1:7">
      <c r="A331">
        <v>43282</v>
      </c>
      <c r="B331" t="s">
        <v>67</v>
      </c>
      <c r="C331" t="s">
        <v>60</v>
      </c>
      <c r="D331">
        <v>9</v>
      </c>
      <c r="E331">
        <v>150</v>
      </c>
      <c r="F331">
        <v>0.02</v>
      </c>
      <c r="G331" t="s">
        <v>50</v>
      </c>
    </row>
    <row r="332" spans="1:7">
      <c r="A332">
        <v>43282</v>
      </c>
      <c r="B332" t="s">
        <v>63</v>
      </c>
      <c r="C332" t="s">
        <v>64</v>
      </c>
      <c r="D332">
        <v>15</v>
      </c>
      <c r="E332">
        <v>16</v>
      </c>
      <c r="F332">
        <v>0.01</v>
      </c>
      <c r="G332" t="s">
        <v>53</v>
      </c>
    </row>
    <row r="333" spans="1:7">
      <c r="A333">
        <v>43282</v>
      </c>
      <c r="B333" t="s">
        <v>44</v>
      </c>
      <c r="C333" t="s">
        <v>64</v>
      </c>
      <c r="D333">
        <v>22</v>
      </c>
      <c r="E333">
        <v>80</v>
      </c>
      <c r="F333">
        <v>0.11</v>
      </c>
      <c r="G333" t="s">
        <v>55</v>
      </c>
    </row>
    <row r="334" spans="1:7">
      <c r="A334">
        <v>43282</v>
      </c>
      <c r="B334" t="s">
        <v>67</v>
      </c>
      <c r="C334" t="s">
        <v>49</v>
      </c>
      <c r="D334">
        <v>13</v>
      </c>
      <c r="E334">
        <v>150</v>
      </c>
      <c r="F334">
        <v>0.02</v>
      </c>
      <c r="G334" t="s">
        <v>58</v>
      </c>
    </row>
    <row r="335" spans="1:7">
      <c r="A335">
        <v>43283</v>
      </c>
      <c r="B335" t="s">
        <v>63</v>
      </c>
      <c r="C335" t="s">
        <v>57</v>
      </c>
      <c r="D335">
        <v>12</v>
      </c>
      <c r="E335">
        <v>16</v>
      </c>
      <c r="F335">
        <v>0.03</v>
      </c>
      <c r="G335" t="s">
        <v>61</v>
      </c>
    </row>
    <row r="336" spans="1:7">
      <c r="A336">
        <v>43283</v>
      </c>
      <c r="B336" t="s">
        <v>48</v>
      </c>
      <c r="C336" t="s">
        <v>60</v>
      </c>
      <c r="D336">
        <v>4</v>
      </c>
      <c r="E336">
        <v>40</v>
      </c>
      <c r="F336">
        <v>0.05</v>
      </c>
      <c r="G336" t="s">
        <v>65</v>
      </c>
    </row>
    <row r="337" spans="1:7">
      <c r="A337">
        <v>43283</v>
      </c>
      <c r="B337" t="s">
        <v>52</v>
      </c>
      <c r="C337" t="s">
        <v>49</v>
      </c>
      <c r="D337">
        <v>19</v>
      </c>
      <c r="E337">
        <v>230</v>
      </c>
      <c r="F337">
        <v>0.11</v>
      </c>
      <c r="G337" t="s">
        <v>68</v>
      </c>
    </row>
    <row r="338" spans="1:7">
      <c r="A338">
        <v>43283</v>
      </c>
      <c r="B338" t="s">
        <v>48</v>
      </c>
      <c r="C338" t="s">
        <v>49</v>
      </c>
      <c r="D338">
        <v>4</v>
      </c>
      <c r="E338">
        <v>40</v>
      </c>
      <c r="F338">
        <v>0.06</v>
      </c>
      <c r="G338" t="s">
        <v>70</v>
      </c>
    </row>
    <row r="339" spans="1:7">
      <c r="A339">
        <v>43283</v>
      </c>
      <c r="B339" t="s">
        <v>63</v>
      </c>
      <c r="C339" t="s">
        <v>57</v>
      </c>
      <c r="D339">
        <v>6</v>
      </c>
      <c r="E339">
        <v>16</v>
      </c>
      <c r="F339">
        <v>0.07</v>
      </c>
      <c r="G339" t="s">
        <v>72</v>
      </c>
    </row>
    <row r="340" spans="1:7">
      <c r="A340">
        <v>43283</v>
      </c>
      <c r="B340" t="s">
        <v>52</v>
      </c>
      <c r="C340" t="s">
        <v>57</v>
      </c>
      <c r="D340">
        <v>15</v>
      </c>
      <c r="E340">
        <v>230</v>
      </c>
      <c r="F340">
        <v>0.11</v>
      </c>
      <c r="G340" t="s">
        <v>74</v>
      </c>
    </row>
    <row r="341" spans="1:7">
      <c r="A341">
        <v>43283</v>
      </c>
      <c r="B341" t="s">
        <v>44</v>
      </c>
      <c r="C341" t="s">
        <v>57</v>
      </c>
      <c r="D341">
        <v>16</v>
      </c>
      <c r="E341">
        <v>80</v>
      </c>
      <c r="F341">
        <v>0.04</v>
      </c>
      <c r="G341" t="s">
        <v>76</v>
      </c>
    </row>
    <row r="342" spans="1:7">
      <c r="A342">
        <v>43283</v>
      </c>
      <c r="B342" t="s">
        <v>48</v>
      </c>
      <c r="C342" t="s">
        <v>45</v>
      </c>
      <c r="D342">
        <v>7</v>
      </c>
      <c r="E342">
        <v>40</v>
      </c>
      <c r="F342">
        <v>0.1</v>
      </c>
      <c r="G342" t="s">
        <v>46</v>
      </c>
    </row>
    <row r="343" spans="1:7">
      <c r="A343">
        <v>43283</v>
      </c>
      <c r="B343" t="s">
        <v>48</v>
      </c>
      <c r="C343" t="s">
        <v>57</v>
      </c>
      <c r="D343">
        <v>11</v>
      </c>
      <c r="E343">
        <v>40</v>
      </c>
      <c r="F343">
        <v>0.05</v>
      </c>
      <c r="G343" t="s">
        <v>50</v>
      </c>
    </row>
    <row r="344" spans="1:7">
      <c r="A344">
        <v>43283</v>
      </c>
      <c r="B344" t="s">
        <v>44</v>
      </c>
      <c r="C344" t="s">
        <v>64</v>
      </c>
      <c r="D344">
        <v>9</v>
      </c>
      <c r="E344">
        <v>80</v>
      </c>
      <c r="F344">
        <v>0.06</v>
      </c>
      <c r="G344" t="s">
        <v>53</v>
      </c>
    </row>
    <row r="345" spans="1:7">
      <c r="A345">
        <v>43283</v>
      </c>
      <c r="B345" t="s">
        <v>44</v>
      </c>
      <c r="C345" t="s">
        <v>49</v>
      </c>
      <c r="D345">
        <v>21</v>
      </c>
      <c r="E345">
        <v>80</v>
      </c>
      <c r="F345">
        <v>0.04</v>
      </c>
      <c r="G345" t="s">
        <v>55</v>
      </c>
    </row>
    <row r="346" spans="1:7">
      <c r="A346">
        <v>43283</v>
      </c>
      <c r="B346" t="s">
        <v>48</v>
      </c>
      <c r="C346" t="s">
        <v>57</v>
      </c>
      <c r="D346">
        <v>2</v>
      </c>
      <c r="E346">
        <v>40</v>
      </c>
      <c r="F346">
        <v>0.03</v>
      </c>
      <c r="G346" t="s">
        <v>58</v>
      </c>
    </row>
    <row r="347" spans="1:7">
      <c r="A347">
        <v>43284</v>
      </c>
      <c r="B347" t="s">
        <v>63</v>
      </c>
      <c r="C347" t="s">
        <v>57</v>
      </c>
      <c r="D347">
        <v>17</v>
      </c>
      <c r="E347">
        <v>16</v>
      </c>
      <c r="F347">
        <v>0.05</v>
      </c>
      <c r="G347" t="s">
        <v>61</v>
      </c>
    </row>
    <row r="348" spans="1:7">
      <c r="A348">
        <v>43284</v>
      </c>
      <c r="B348" t="s">
        <v>48</v>
      </c>
      <c r="C348" t="s">
        <v>45</v>
      </c>
      <c r="D348">
        <v>18</v>
      </c>
      <c r="E348">
        <v>40</v>
      </c>
      <c r="F348">
        <v>0.06</v>
      </c>
      <c r="G348" t="s">
        <v>65</v>
      </c>
    </row>
    <row r="349" spans="1:7">
      <c r="A349">
        <v>43284</v>
      </c>
      <c r="B349" t="s">
        <v>48</v>
      </c>
      <c r="C349" t="s">
        <v>45</v>
      </c>
      <c r="D349">
        <v>9</v>
      </c>
      <c r="E349">
        <v>40</v>
      </c>
      <c r="F349">
        <v>0.01</v>
      </c>
      <c r="G349" t="s">
        <v>68</v>
      </c>
    </row>
    <row r="350" spans="1:7">
      <c r="A350">
        <v>43284</v>
      </c>
      <c r="B350" t="s">
        <v>48</v>
      </c>
      <c r="C350" t="s">
        <v>49</v>
      </c>
      <c r="D350">
        <v>7</v>
      </c>
      <c r="E350">
        <v>40</v>
      </c>
      <c r="F350">
        <v>0.01</v>
      </c>
      <c r="G350" t="s">
        <v>70</v>
      </c>
    </row>
    <row r="351" spans="1:7">
      <c r="A351">
        <v>43284</v>
      </c>
      <c r="B351" t="s">
        <v>52</v>
      </c>
      <c r="C351" t="s">
        <v>57</v>
      </c>
      <c r="D351">
        <v>12</v>
      </c>
      <c r="E351">
        <v>230</v>
      </c>
      <c r="F351">
        <v>0.06</v>
      </c>
      <c r="G351" t="s">
        <v>72</v>
      </c>
    </row>
    <row r="352" spans="1:7">
      <c r="A352">
        <v>43284</v>
      </c>
      <c r="B352" t="s">
        <v>63</v>
      </c>
      <c r="C352" t="s">
        <v>49</v>
      </c>
      <c r="D352">
        <v>22</v>
      </c>
      <c r="E352">
        <v>16</v>
      </c>
      <c r="F352">
        <v>0.04</v>
      </c>
      <c r="G352" t="s">
        <v>46</v>
      </c>
    </row>
    <row r="353" spans="1:7">
      <c r="A353">
        <v>43285</v>
      </c>
      <c r="B353" t="s">
        <v>67</v>
      </c>
      <c r="C353" t="s">
        <v>45</v>
      </c>
      <c r="D353">
        <v>5</v>
      </c>
      <c r="E353">
        <v>150</v>
      </c>
      <c r="F353">
        <v>0.11</v>
      </c>
      <c r="G353" t="s">
        <v>50</v>
      </c>
    </row>
    <row r="354" spans="1:7">
      <c r="A354">
        <v>43285</v>
      </c>
      <c r="B354" t="s">
        <v>44</v>
      </c>
      <c r="C354" t="s">
        <v>49</v>
      </c>
      <c r="D354">
        <v>14</v>
      </c>
      <c r="E354">
        <v>80</v>
      </c>
      <c r="F354">
        <v>0.11</v>
      </c>
      <c r="G354" t="s">
        <v>53</v>
      </c>
    </row>
    <row r="355" spans="1:7">
      <c r="A355">
        <v>43285</v>
      </c>
      <c r="B355" t="s">
        <v>63</v>
      </c>
      <c r="C355" t="s">
        <v>57</v>
      </c>
      <c r="D355">
        <v>8</v>
      </c>
      <c r="E355">
        <v>16</v>
      </c>
      <c r="F355">
        <v>0.03</v>
      </c>
      <c r="G355" t="s">
        <v>55</v>
      </c>
    </row>
    <row r="356" spans="1:7">
      <c r="A356">
        <v>43285</v>
      </c>
      <c r="B356" t="s">
        <v>52</v>
      </c>
      <c r="C356" t="s">
        <v>57</v>
      </c>
      <c r="D356">
        <v>6</v>
      </c>
      <c r="E356">
        <v>230</v>
      </c>
      <c r="F356">
        <v>0.05</v>
      </c>
      <c r="G356" t="s">
        <v>58</v>
      </c>
    </row>
    <row r="357" spans="1:7">
      <c r="A357">
        <v>43285</v>
      </c>
      <c r="B357" t="s">
        <v>63</v>
      </c>
      <c r="C357" t="s">
        <v>60</v>
      </c>
      <c r="D357">
        <v>7</v>
      </c>
      <c r="E357">
        <v>16</v>
      </c>
      <c r="F357">
        <v>0.08</v>
      </c>
      <c r="G357" t="s">
        <v>61</v>
      </c>
    </row>
    <row r="358" spans="1:7">
      <c r="A358">
        <v>43285</v>
      </c>
      <c r="B358" t="s">
        <v>44</v>
      </c>
      <c r="C358" t="s">
        <v>49</v>
      </c>
      <c r="D358">
        <v>16</v>
      </c>
      <c r="E358">
        <v>80</v>
      </c>
      <c r="F358">
        <v>0.04</v>
      </c>
      <c r="G358" t="s">
        <v>65</v>
      </c>
    </row>
    <row r="359" spans="1:7">
      <c r="A359">
        <v>43285</v>
      </c>
      <c r="B359" t="s">
        <v>67</v>
      </c>
      <c r="C359" t="s">
        <v>45</v>
      </c>
      <c r="D359">
        <v>17</v>
      </c>
      <c r="E359">
        <v>150</v>
      </c>
      <c r="F359">
        <v>0.12</v>
      </c>
      <c r="G359" t="s">
        <v>68</v>
      </c>
    </row>
    <row r="360" spans="1:7">
      <c r="A360">
        <v>43285</v>
      </c>
      <c r="B360" t="s">
        <v>63</v>
      </c>
      <c r="C360" t="s">
        <v>49</v>
      </c>
      <c r="D360">
        <v>7</v>
      </c>
      <c r="E360">
        <v>16</v>
      </c>
      <c r="F360">
        <v>0.08</v>
      </c>
      <c r="G360" t="s">
        <v>70</v>
      </c>
    </row>
    <row r="361" spans="1:7">
      <c r="A361">
        <v>43286</v>
      </c>
      <c r="B361" t="s">
        <v>63</v>
      </c>
      <c r="C361" t="s">
        <v>45</v>
      </c>
      <c r="D361">
        <v>21</v>
      </c>
      <c r="E361">
        <v>16</v>
      </c>
      <c r="F361">
        <v>0.09</v>
      </c>
      <c r="G361" t="s">
        <v>72</v>
      </c>
    </row>
    <row r="362" spans="1:7">
      <c r="A362">
        <v>43286</v>
      </c>
      <c r="B362" t="s">
        <v>63</v>
      </c>
      <c r="C362" t="s">
        <v>57</v>
      </c>
      <c r="D362">
        <v>23</v>
      </c>
      <c r="E362">
        <v>16</v>
      </c>
      <c r="F362">
        <v>0.11</v>
      </c>
      <c r="G362" t="s">
        <v>74</v>
      </c>
    </row>
    <row r="363" spans="1:7">
      <c r="A363">
        <v>43286</v>
      </c>
      <c r="B363" t="s">
        <v>67</v>
      </c>
      <c r="C363" t="s">
        <v>57</v>
      </c>
      <c r="D363">
        <v>2</v>
      </c>
      <c r="E363">
        <v>150</v>
      </c>
      <c r="F363">
        <v>0.02</v>
      </c>
      <c r="G363" t="s">
        <v>76</v>
      </c>
    </row>
    <row r="364" spans="1:7">
      <c r="A364">
        <v>43286</v>
      </c>
      <c r="B364" t="s">
        <v>67</v>
      </c>
      <c r="C364" t="s">
        <v>45</v>
      </c>
      <c r="D364">
        <v>22</v>
      </c>
      <c r="E364">
        <v>150</v>
      </c>
      <c r="F364">
        <v>0.07</v>
      </c>
      <c r="G364" t="s">
        <v>46</v>
      </c>
    </row>
    <row r="365" spans="1:7">
      <c r="A365">
        <v>43286</v>
      </c>
      <c r="B365" t="s">
        <v>48</v>
      </c>
      <c r="C365" t="s">
        <v>60</v>
      </c>
      <c r="D365">
        <v>22</v>
      </c>
      <c r="E365">
        <v>40</v>
      </c>
      <c r="F365">
        <v>0.01</v>
      </c>
      <c r="G365" t="s">
        <v>50</v>
      </c>
    </row>
    <row r="366" spans="1:7">
      <c r="A366">
        <v>43286</v>
      </c>
      <c r="B366" t="s">
        <v>44</v>
      </c>
      <c r="C366" t="s">
        <v>49</v>
      </c>
      <c r="D366">
        <v>10</v>
      </c>
      <c r="E366">
        <v>80</v>
      </c>
      <c r="F366">
        <v>0.11</v>
      </c>
      <c r="G366" t="s">
        <v>53</v>
      </c>
    </row>
    <row r="367" spans="1:7">
      <c r="A367">
        <v>43286</v>
      </c>
      <c r="B367" t="s">
        <v>44</v>
      </c>
      <c r="C367" t="s">
        <v>64</v>
      </c>
      <c r="D367">
        <v>13</v>
      </c>
      <c r="E367">
        <v>80</v>
      </c>
      <c r="F367">
        <v>0.05</v>
      </c>
      <c r="G367" t="s">
        <v>55</v>
      </c>
    </row>
    <row r="368" spans="1:7">
      <c r="A368">
        <v>43286</v>
      </c>
      <c r="B368" t="s">
        <v>52</v>
      </c>
      <c r="C368" t="s">
        <v>60</v>
      </c>
      <c r="D368">
        <v>11</v>
      </c>
      <c r="E368">
        <v>230</v>
      </c>
      <c r="F368">
        <v>0.12</v>
      </c>
      <c r="G368" t="s">
        <v>58</v>
      </c>
    </row>
    <row r="369" spans="1:7">
      <c r="A369">
        <v>43286</v>
      </c>
      <c r="B369" t="s">
        <v>52</v>
      </c>
      <c r="C369" t="s">
        <v>45</v>
      </c>
      <c r="D369">
        <v>9</v>
      </c>
      <c r="E369">
        <v>230</v>
      </c>
      <c r="F369">
        <v>0.07</v>
      </c>
      <c r="G369" t="s">
        <v>61</v>
      </c>
    </row>
    <row r="370" spans="1:7">
      <c r="A370">
        <v>43286</v>
      </c>
      <c r="B370" t="s">
        <v>52</v>
      </c>
      <c r="C370" t="s">
        <v>60</v>
      </c>
      <c r="D370">
        <v>16</v>
      </c>
      <c r="E370">
        <v>230</v>
      </c>
      <c r="F370">
        <v>0.11</v>
      </c>
      <c r="G370" t="s">
        <v>65</v>
      </c>
    </row>
    <row r="371" spans="1:7">
      <c r="A371">
        <v>43286</v>
      </c>
      <c r="B371" t="s">
        <v>52</v>
      </c>
      <c r="C371" t="s">
        <v>60</v>
      </c>
      <c r="D371">
        <v>18</v>
      </c>
      <c r="E371">
        <v>230</v>
      </c>
      <c r="F371">
        <v>0.01</v>
      </c>
      <c r="G371" t="s">
        <v>68</v>
      </c>
    </row>
    <row r="372" spans="1:7">
      <c r="A372">
        <v>43286</v>
      </c>
      <c r="B372" t="s">
        <v>63</v>
      </c>
      <c r="C372" t="s">
        <v>49</v>
      </c>
      <c r="D372">
        <v>15</v>
      </c>
      <c r="E372">
        <v>16</v>
      </c>
      <c r="F372">
        <v>0.02</v>
      </c>
      <c r="G372" t="s">
        <v>70</v>
      </c>
    </row>
    <row r="373" spans="1:7">
      <c r="A373">
        <v>43286</v>
      </c>
      <c r="B373" t="s">
        <v>48</v>
      </c>
      <c r="C373" t="s">
        <v>64</v>
      </c>
      <c r="D373">
        <v>18</v>
      </c>
      <c r="E373">
        <v>40</v>
      </c>
      <c r="F373">
        <v>0.06</v>
      </c>
      <c r="G373" t="s">
        <v>72</v>
      </c>
    </row>
    <row r="374" spans="1:7">
      <c r="A374">
        <v>43286</v>
      </c>
      <c r="B374" t="s">
        <v>48</v>
      </c>
      <c r="C374" t="s">
        <v>60</v>
      </c>
      <c r="D374">
        <v>18</v>
      </c>
      <c r="E374">
        <v>40</v>
      </c>
      <c r="F374">
        <v>0.04</v>
      </c>
      <c r="G374" t="s">
        <v>74</v>
      </c>
    </row>
    <row r="375" spans="1:7">
      <c r="A375">
        <v>43286</v>
      </c>
      <c r="B375" t="s">
        <v>63</v>
      </c>
      <c r="C375" t="s">
        <v>60</v>
      </c>
      <c r="D375">
        <v>22</v>
      </c>
      <c r="E375">
        <v>16</v>
      </c>
      <c r="F375">
        <v>0.03</v>
      </c>
      <c r="G375" t="s">
        <v>76</v>
      </c>
    </row>
    <row r="376" spans="1:7">
      <c r="A376">
        <v>43286</v>
      </c>
      <c r="B376" t="s">
        <v>63</v>
      </c>
      <c r="C376" t="s">
        <v>57</v>
      </c>
      <c r="D376">
        <v>12</v>
      </c>
      <c r="E376">
        <v>16</v>
      </c>
      <c r="F376">
        <v>0.11</v>
      </c>
      <c r="G376" t="s">
        <v>46</v>
      </c>
    </row>
    <row r="377" spans="1:7">
      <c r="A377">
        <v>43287</v>
      </c>
      <c r="B377" t="s">
        <v>44</v>
      </c>
      <c r="C377" t="s">
        <v>45</v>
      </c>
      <c r="D377">
        <v>20</v>
      </c>
      <c r="E377">
        <v>80</v>
      </c>
      <c r="F377">
        <v>0.01</v>
      </c>
      <c r="G377" t="s">
        <v>50</v>
      </c>
    </row>
    <row r="378" spans="1:7">
      <c r="A378">
        <v>43287</v>
      </c>
      <c r="B378" t="s">
        <v>52</v>
      </c>
      <c r="C378" t="s">
        <v>57</v>
      </c>
      <c r="D378">
        <v>10</v>
      </c>
      <c r="E378">
        <v>230</v>
      </c>
      <c r="F378">
        <v>0.02</v>
      </c>
      <c r="G378" t="s">
        <v>53</v>
      </c>
    </row>
    <row r="379" spans="1:7">
      <c r="A379">
        <v>43287</v>
      </c>
      <c r="B379" t="s">
        <v>52</v>
      </c>
      <c r="C379" t="s">
        <v>49</v>
      </c>
      <c r="D379">
        <v>9</v>
      </c>
      <c r="E379">
        <v>230</v>
      </c>
      <c r="F379">
        <v>0.03</v>
      </c>
      <c r="G379" t="s">
        <v>55</v>
      </c>
    </row>
    <row r="380" spans="1:7">
      <c r="A380">
        <v>43287</v>
      </c>
      <c r="B380" t="s">
        <v>44</v>
      </c>
      <c r="C380" t="s">
        <v>49</v>
      </c>
      <c r="D380">
        <v>17</v>
      </c>
      <c r="E380">
        <v>80</v>
      </c>
      <c r="F380">
        <v>0.03</v>
      </c>
      <c r="G380" t="s">
        <v>58</v>
      </c>
    </row>
    <row r="381" spans="1:7">
      <c r="A381">
        <v>43287</v>
      </c>
      <c r="B381" t="s">
        <v>48</v>
      </c>
      <c r="C381" t="s">
        <v>64</v>
      </c>
      <c r="D381">
        <v>4</v>
      </c>
      <c r="E381">
        <v>40</v>
      </c>
      <c r="F381">
        <v>0.09</v>
      </c>
      <c r="G381" t="s">
        <v>61</v>
      </c>
    </row>
    <row r="382" spans="1:7">
      <c r="A382">
        <v>43287</v>
      </c>
      <c r="B382" t="s">
        <v>67</v>
      </c>
      <c r="C382" t="s">
        <v>49</v>
      </c>
      <c r="D382">
        <v>16</v>
      </c>
      <c r="E382">
        <v>150</v>
      </c>
      <c r="F382">
        <v>0.03</v>
      </c>
      <c r="G382" t="s">
        <v>65</v>
      </c>
    </row>
    <row r="383" spans="1:7">
      <c r="A383">
        <v>43287</v>
      </c>
      <c r="B383" t="s">
        <v>44</v>
      </c>
      <c r="C383" t="s">
        <v>57</v>
      </c>
      <c r="D383">
        <v>8</v>
      </c>
      <c r="E383">
        <v>80</v>
      </c>
      <c r="F383">
        <v>0.02</v>
      </c>
      <c r="G383" t="s">
        <v>68</v>
      </c>
    </row>
    <row r="384" spans="1:7">
      <c r="A384">
        <v>43287</v>
      </c>
      <c r="B384" t="s">
        <v>48</v>
      </c>
      <c r="C384" t="s">
        <v>60</v>
      </c>
      <c r="D384">
        <v>23</v>
      </c>
      <c r="E384">
        <v>40</v>
      </c>
      <c r="F384">
        <v>0.06</v>
      </c>
      <c r="G384" t="s">
        <v>70</v>
      </c>
    </row>
    <row r="385" spans="1:7">
      <c r="A385">
        <v>43288</v>
      </c>
      <c r="B385" t="s">
        <v>67</v>
      </c>
      <c r="C385" t="s">
        <v>60</v>
      </c>
      <c r="D385">
        <v>20</v>
      </c>
      <c r="E385">
        <v>150</v>
      </c>
      <c r="F385">
        <v>0.1</v>
      </c>
      <c r="G385" t="s">
        <v>72</v>
      </c>
    </row>
    <row r="386" spans="1:7">
      <c r="A386">
        <v>43288</v>
      </c>
      <c r="B386" t="s">
        <v>52</v>
      </c>
      <c r="C386" t="s">
        <v>64</v>
      </c>
      <c r="D386">
        <v>22</v>
      </c>
      <c r="E386">
        <v>230</v>
      </c>
      <c r="F386">
        <v>0.1</v>
      </c>
      <c r="G386" t="s">
        <v>74</v>
      </c>
    </row>
    <row r="387" spans="1:7">
      <c r="A387">
        <v>43288</v>
      </c>
      <c r="B387" t="s">
        <v>52</v>
      </c>
      <c r="C387" t="s">
        <v>49</v>
      </c>
      <c r="D387">
        <v>6</v>
      </c>
      <c r="E387">
        <v>230</v>
      </c>
      <c r="F387">
        <v>0.1</v>
      </c>
      <c r="G387" t="s">
        <v>76</v>
      </c>
    </row>
    <row r="388" spans="1:7">
      <c r="A388">
        <v>43288</v>
      </c>
      <c r="B388" t="s">
        <v>44</v>
      </c>
      <c r="C388" t="s">
        <v>60</v>
      </c>
      <c r="D388">
        <v>10</v>
      </c>
      <c r="E388">
        <v>80</v>
      </c>
      <c r="F388">
        <v>0.1</v>
      </c>
      <c r="G388" t="s">
        <v>46</v>
      </c>
    </row>
    <row r="389" spans="1:7">
      <c r="A389">
        <v>43288</v>
      </c>
      <c r="B389" t="s">
        <v>52</v>
      </c>
      <c r="C389" t="s">
        <v>64</v>
      </c>
      <c r="D389">
        <v>21</v>
      </c>
      <c r="E389">
        <v>230</v>
      </c>
      <c r="F389">
        <v>0.05</v>
      </c>
      <c r="G389" t="s">
        <v>50</v>
      </c>
    </row>
    <row r="390" spans="1:7">
      <c r="A390">
        <v>43288</v>
      </c>
      <c r="B390" t="s">
        <v>52</v>
      </c>
      <c r="C390" t="s">
        <v>45</v>
      </c>
      <c r="D390">
        <v>20</v>
      </c>
      <c r="E390">
        <v>230</v>
      </c>
      <c r="F390">
        <v>0.04</v>
      </c>
      <c r="G390" t="s">
        <v>53</v>
      </c>
    </row>
    <row r="391" spans="1:7">
      <c r="A391">
        <v>43288</v>
      </c>
      <c r="B391" t="s">
        <v>44</v>
      </c>
      <c r="C391" t="s">
        <v>57</v>
      </c>
      <c r="D391">
        <v>20</v>
      </c>
      <c r="E391">
        <v>80</v>
      </c>
      <c r="F391">
        <v>0.07</v>
      </c>
      <c r="G391" t="s">
        <v>55</v>
      </c>
    </row>
    <row r="392" spans="1:7">
      <c r="A392">
        <v>43288</v>
      </c>
      <c r="B392" t="s">
        <v>44</v>
      </c>
      <c r="C392" t="s">
        <v>57</v>
      </c>
      <c r="D392">
        <v>7</v>
      </c>
      <c r="E392">
        <v>80</v>
      </c>
      <c r="F392">
        <v>0.05</v>
      </c>
      <c r="G392" t="s">
        <v>58</v>
      </c>
    </row>
    <row r="393" spans="1:7">
      <c r="A393">
        <v>43288</v>
      </c>
      <c r="B393" t="s">
        <v>44</v>
      </c>
      <c r="C393" t="s">
        <v>45</v>
      </c>
      <c r="D393">
        <v>8</v>
      </c>
      <c r="E393">
        <v>80</v>
      </c>
      <c r="F393">
        <v>0.09</v>
      </c>
      <c r="G393" t="s">
        <v>61</v>
      </c>
    </row>
    <row r="394" spans="1:7">
      <c r="A394">
        <v>43288</v>
      </c>
      <c r="B394" t="s">
        <v>44</v>
      </c>
      <c r="C394" t="s">
        <v>49</v>
      </c>
      <c r="D394">
        <v>3</v>
      </c>
      <c r="E394">
        <v>80</v>
      </c>
      <c r="F394">
        <v>0.02</v>
      </c>
      <c r="G394" t="s">
        <v>65</v>
      </c>
    </row>
    <row r="395" spans="1:7">
      <c r="A395">
        <v>43288</v>
      </c>
      <c r="B395" t="s">
        <v>44</v>
      </c>
      <c r="C395" t="s">
        <v>60</v>
      </c>
      <c r="D395">
        <v>8</v>
      </c>
      <c r="E395">
        <v>80</v>
      </c>
      <c r="F395">
        <v>0.06</v>
      </c>
      <c r="G395" t="s">
        <v>68</v>
      </c>
    </row>
    <row r="396" spans="1:7">
      <c r="A396">
        <v>43288</v>
      </c>
      <c r="B396" t="s">
        <v>67</v>
      </c>
      <c r="C396" t="s">
        <v>64</v>
      </c>
      <c r="D396">
        <v>13</v>
      </c>
      <c r="E396">
        <v>150</v>
      </c>
      <c r="F396">
        <v>0.11</v>
      </c>
      <c r="G396" t="s">
        <v>70</v>
      </c>
    </row>
    <row r="397" spans="1:7">
      <c r="A397">
        <v>43288</v>
      </c>
      <c r="B397" t="s">
        <v>44</v>
      </c>
      <c r="C397" t="s">
        <v>60</v>
      </c>
      <c r="D397">
        <v>15</v>
      </c>
      <c r="E397">
        <v>80</v>
      </c>
      <c r="F397">
        <v>0.08</v>
      </c>
      <c r="G397" t="s">
        <v>72</v>
      </c>
    </row>
    <row r="398" spans="1:7">
      <c r="A398">
        <v>43288</v>
      </c>
      <c r="B398" t="s">
        <v>67</v>
      </c>
      <c r="C398" t="s">
        <v>64</v>
      </c>
      <c r="D398">
        <v>7</v>
      </c>
      <c r="E398">
        <v>150</v>
      </c>
      <c r="F398">
        <v>0.02</v>
      </c>
      <c r="G398" t="s">
        <v>74</v>
      </c>
    </row>
    <row r="399" spans="1:7">
      <c r="A399">
        <v>43288</v>
      </c>
      <c r="B399" t="s">
        <v>48</v>
      </c>
      <c r="C399" t="s">
        <v>57</v>
      </c>
      <c r="D399">
        <v>6</v>
      </c>
      <c r="E399">
        <v>40</v>
      </c>
      <c r="F399">
        <v>0.06</v>
      </c>
      <c r="G399" t="s">
        <v>76</v>
      </c>
    </row>
    <row r="400" spans="1:7">
      <c r="A400">
        <v>43288</v>
      </c>
      <c r="B400" t="s">
        <v>44</v>
      </c>
      <c r="C400" t="s">
        <v>60</v>
      </c>
      <c r="D400">
        <v>23</v>
      </c>
      <c r="E400">
        <v>80</v>
      </c>
      <c r="F400">
        <v>0.11</v>
      </c>
      <c r="G400" t="s">
        <v>46</v>
      </c>
    </row>
    <row r="401" spans="1:7">
      <c r="A401">
        <v>43288</v>
      </c>
      <c r="B401" t="s">
        <v>52</v>
      </c>
      <c r="C401" t="s">
        <v>57</v>
      </c>
      <c r="D401">
        <v>18</v>
      </c>
      <c r="E401">
        <v>230</v>
      </c>
      <c r="F401">
        <v>0.01</v>
      </c>
      <c r="G401" t="s">
        <v>50</v>
      </c>
    </row>
    <row r="402" spans="1:7">
      <c r="A402">
        <v>43289</v>
      </c>
      <c r="B402" t="s">
        <v>44</v>
      </c>
      <c r="C402" t="s">
        <v>64</v>
      </c>
      <c r="D402">
        <v>21</v>
      </c>
      <c r="E402">
        <v>80</v>
      </c>
      <c r="F402">
        <v>0.09</v>
      </c>
      <c r="G402" t="s">
        <v>53</v>
      </c>
    </row>
    <row r="403" spans="1:7">
      <c r="A403">
        <v>43289</v>
      </c>
      <c r="B403" t="s">
        <v>48</v>
      </c>
      <c r="C403" t="s">
        <v>57</v>
      </c>
      <c r="D403">
        <v>13</v>
      </c>
      <c r="E403">
        <v>40</v>
      </c>
      <c r="F403">
        <v>0.02</v>
      </c>
      <c r="G403" t="s">
        <v>55</v>
      </c>
    </row>
    <row r="404" spans="1:7">
      <c r="A404">
        <v>43289</v>
      </c>
      <c r="B404" t="s">
        <v>44</v>
      </c>
      <c r="C404" t="s">
        <v>57</v>
      </c>
      <c r="D404">
        <v>23</v>
      </c>
      <c r="E404">
        <v>80</v>
      </c>
      <c r="F404">
        <v>0.05</v>
      </c>
      <c r="G404" t="s">
        <v>58</v>
      </c>
    </row>
    <row r="405" spans="1:7">
      <c r="A405">
        <v>43289</v>
      </c>
      <c r="B405" t="s">
        <v>67</v>
      </c>
      <c r="C405" t="s">
        <v>60</v>
      </c>
      <c r="D405">
        <v>15</v>
      </c>
      <c r="E405">
        <v>150</v>
      </c>
      <c r="F405">
        <v>0.05</v>
      </c>
      <c r="G405" t="s">
        <v>61</v>
      </c>
    </row>
    <row r="406" spans="1:7">
      <c r="A406">
        <v>43289</v>
      </c>
      <c r="B406" t="s">
        <v>48</v>
      </c>
      <c r="C406" t="s">
        <v>45</v>
      </c>
      <c r="D406">
        <v>5</v>
      </c>
      <c r="E406">
        <v>40</v>
      </c>
      <c r="F406">
        <v>0.09</v>
      </c>
      <c r="G406" t="s">
        <v>65</v>
      </c>
    </row>
    <row r="407" spans="1:7">
      <c r="A407">
        <v>43289</v>
      </c>
      <c r="B407" t="s">
        <v>63</v>
      </c>
      <c r="C407" t="s">
        <v>60</v>
      </c>
      <c r="D407">
        <v>10</v>
      </c>
      <c r="E407">
        <v>16</v>
      </c>
      <c r="F407">
        <v>0.01</v>
      </c>
      <c r="G407" t="s">
        <v>68</v>
      </c>
    </row>
    <row r="408" spans="1:7">
      <c r="A408">
        <v>43289</v>
      </c>
      <c r="B408" t="s">
        <v>52</v>
      </c>
      <c r="C408" t="s">
        <v>57</v>
      </c>
      <c r="D408">
        <v>2</v>
      </c>
      <c r="E408">
        <v>230</v>
      </c>
      <c r="F408">
        <v>0.09</v>
      </c>
      <c r="G408" t="s">
        <v>70</v>
      </c>
    </row>
    <row r="409" spans="1:7">
      <c r="A409">
        <v>43289</v>
      </c>
      <c r="B409" t="s">
        <v>44</v>
      </c>
      <c r="C409" t="s">
        <v>60</v>
      </c>
      <c r="D409">
        <v>7</v>
      </c>
      <c r="E409">
        <v>80</v>
      </c>
      <c r="F409">
        <v>0.02</v>
      </c>
      <c r="G409" t="s">
        <v>72</v>
      </c>
    </row>
    <row r="410" spans="1:7">
      <c r="A410">
        <v>43289</v>
      </c>
      <c r="B410" t="s">
        <v>67</v>
      </c>
      <c r="C410" t="s">
        <v>60</v>
      </c>
      <c r="D410">
        <v>22</v>
      </c>
      <c r="E410">
        <v>150</v>
      </c>
      <c r="F410">
        <v>0.05</v>
      </c>
      <c r="G410" t="s">
        <v>74</v>
      </c>
    </row>
    <row r="411" spans="1:7">
      <c r="A411">
        <v>43289</v>
      </c>
      <c r="B411" t="s">
        <v>48</v>
      </c>
      <c r="C411" t="s">
        <v>64</v>
      </c>
      <c r="D411">
        <v>17</v>
      </c>
      <c r="E411">
        <v>40</v>
      </c>
      <c r="F411">
        <v>0.02</v>
      </c>
      <c r="G411" t="s">
        <v>76</v>
      </c>
    </row>
    <row r="412" spans="1:7">
      <c r="A412">
        <v>43289</v>
      </c>
      <c r="B412" t="s">
        <v>63</v>
      </c>
      <c r="C412" t="s">
        <v>45</v>
      </c>
      <c r="D412">
        <v>22</v>
      </c>
      <c r="E412">
        <v>16</v>
      </c>
      <c r="F412">
        <v>0.06</v>
      </c>
      <c r="G412" t="s">
        <v>46</v>
      </c>
    </row>
    <row r="413" spans="1:7">
      <c r="A413">
        <v>43289</v>
      </c>
      <c r="B413" t="s">
        <v>63</v>
      </c>
      <c r="C413" t="s">
        <v>64</v>
      </c>
      <c r="D413">
        <v>3</v>
      </c>
      <c r="E413">
        <v>16</v>
      </c>
      <c r="F413">
        <v>0.03</v>
      </c>
      <c r="G413" t="s">
        <v>50</v>
      </c>
    </row>
    <row r="414" spans="1:7">
      <c r="A414">
        <v>43289</v>
      </c>
      <c r="B414" t="s">
        <v>52</v>
      </c>
      <c r="C414" t="s">
        <v>64</v>
      </c>
      <c r="D414">
        <v>2</v>
      </c>
      <c r="E414">
        <v>230</v>
      </c>
      <c r="F414">
        <v>0.08</v>
      </c>
      <c r="G414" t="s">
        <v>53</v>
      </c>
    </row>
    <row r="415" spans="1:7">
      <c r="A415">
        <v>43289</v>
      </c>
      <c r="B415" t="s">
        <v>63</v>
      </c>
      <c r="C415" t="s">
        <v>45</v>
      </c>
      <c r="D415">
        <v>21</v>
      </c>
      <c r="E415">
        <v>16</v>
      </c>
      <c r="F415">
        <v>0.09</v>
      </c>
      <c r="G415" t="s">
        <v>55</v>
      </c>
    </row>
    <row r="416" spans="1:7">
      <c r="A416">
        <v>43289</v>
      </c>
      <c r="B416" t="s">
        <v>44</v>
      </c>
      <c r="C416" t="s">
        <v>60</v>
      </c>
      <c r="D416">
        <v>7</v>
      </c>
      <c r="E416">
        <v>80</v>
      </c>
      <c r="F416">
        <v>0.07</v>
      </c>
      <c r="G416" t="s">
        <v>58</v>
      </c>
    </row>
    <row r="417" spans="1:7">
      <c r="A417">
        <v>43289</v>
      </c>
      <c r="B417" t="s">
        <v>67</v>
      </c>
      <c r="C417" t="s">
        <v>49</v>
      </c>
      <c r="D417">
        <v>23</v>
      </c>
      <c r="E417">
        <v>150</v>
      </c>
      <c r="F417">
        <v>0.11</v>
      </c>
      <c r="G417" t="s">
        <v>61</v>
      </c>
    </row>
    <row r="418" spans="1:7">
      <c r="A418">
        <v>43290</v>
      </c>
      <c r="B418" t="s">
        <v>67</v>
      </c>
      <c r="C418" t="s">
        <v>45</v>
      </c>
      <c r="D418">
        <v>11</v>
      </c>
      <c r="E418">
        <v>150</v>
      </c>
      <c r="F418">
        <v>0.05</v>
      </c>
      <c r="G418" t="s">
        <v>65</v>
      </c>
    </row>
    <row r="419" spans="1:7">
      <c r="A419">
        <v>43290</v>
      </c>
      <c r="B419" t="s">
        <v>44</v>
      </c>
      <c r="C419" t="s">
        <v>64</v>
      </c>
      <c r="D419">
        <v>16</v>
      </c>
      <c r="E419">
        <v>80</v>
      </c>
      <c r="F419">
        <v>0.05</v>
      </c>
      <c r="G419" t="s">
        <v>68</v>
      </c>
    </row>
    <row r="420" spans="1:7">
      <c r="A420">
        <v>43290</v>
      </c>
      <c r="B420" t="s">
        <v>52</v>
      </c>
      <c r="C420" t="s">
        <v>57</v>
      </c>
      <c r="D420">
        <v>5</v>
      </c>
      <c r="E420">
        <v>230</v>
      </c>
      <c r="F420">
        <v>0.1</v>
      </c>
      <c r="G420" t="s">
        <v>70</v>
      </c>
    </row>
    <row r="421" spans="1:7">
      <c r="A421">
        <v>43290</v>
      </c>
      <c r="B421" t="s">
        <v>63</v>
      </c>
      <c r="C421" t="s">
        <v>45</v>
      </c>
      <c r="D421">
        <v>22</v>
      </c>
      <c r="E421">
        <v>16</v>
      </c>
      <c r="F421">
        <v>0.01</v>
      </c>
      <c r="G421" t="s">
        <v>72</v>
      </c>
    </row>
    <row r="422" spans="1:7">
      <c r="A422">
        <v>43290</v>
      </c>
      <c r="B422" t="s">
        <v>48</v>
      </c>
      <c r="C422" t="s">
        <v>64</v>
      </c>
      <c r="D422">
        <v>7</v>
      </c>
      <c r="E422">
        <v>40</v>
      </c>
      <c r="F422">
        <v>0.12</v>
      </c>
      <c r="G422" t="s">
        <v>46</v>
      </c>
    </row>
    <row r="423" spans="1:7">
      <c r="A423">
        <v>43290</v>
      </c>
      <c r="B423" t="s">
        <v>44</v>
      </c>
      <c r="C423" t="s">
        <v>49</v>
      </c>
      <c r="D423">
        <v>2</v>
      </c>
      <c r="E423">
        <v>80</v>
      </c>
      <c r="F423">
        <v>0.04</v>
      </c>
      <c r="G423" t="s">
        <v>50</v>
      </c>
    </row>
    <row r="424" spans="1:7">
      <c r="A424">
        <v>43290</v>
      </c>
      <c r="B424" t="s">
        <v>48</v>
      </c>
      <c r="C424" t="s">
        <v>60</v>
      </c>
      <c r="D424">
        <v>6</v>
      </c>
      <c r="E424">
        <v>40</v>
      </c>
      <c r="F424">
        <v>0.07</v>
      </c>
      <c r="G424" t="s">
        <v>53</v>
      </c>
    </row>
    <row r="425" spans="1:7">
      <c r="A425">
        <v>43290</v>
      </c>
      <c r="B425" t="s">
        <v>44</v>
      </c>
      <c r="C425" t="s">
        <v>57</v>
      </c>
      <c r="D425">
        <v>6</v>
      </c>
      <c r="E425">
        <v>80</v>
      </c>
      <c r="F425">
        <v>0.01</v>
      </c>
      <c r="G425" t="s">
        <v>55</v>
      </c>
    </row>
    <row r="426" spans="1:7">
      <c r="A426">
        <v>43290</v>
      </c>
      <c r="B426" t="s">
        <v>63</v>
      </c>
      <c r="C426" t="s">
        <v>49</v>
      </c>
      <c r="D426">
        <v>22</v>
      </c>
      <c r="E426">
        <v>16</v>
      </c>
      <c r="F426">
        <v>0.01</v>
      </c>
      <c r="G426" t="s">
        <v>58</v>
      </c>
    </row>
    <row r="427" spans="1:7">
      <c r="A427">
        <v>43290</v>
      </c>
      <c r="B427" t="s">
        <v>52</v>
      </c>
      <c r="C427" t="s">
        <v>60</v>
      </c>
      <c r="D427">
        <v>7</v>
      </c>
      <c r="E427">
        <v>230</v>
      </c>
      <c r="F427">
        <v>0.06</v>
      </c>
      <c r="G427" t="s">
        <v>61</v>
      </c>
    </row>
    <row r="428" spans="1:7">
      <c r="A428">
        <v>43291</v>
      </c>
      <c r="B428" t="s">
        <v>63</v>
      </c>
      <c r="C428" t="s">
        <v>60</v>
      </c>
      <c r="D428">
        <v>22</v>
      </c>
      <c r="E428">
        <v>16</v>
      </c>
      <c r="F428">
        <v>0.03</v>
      </c>
      <c r="G428" t="s">
        <v>65</v>
      </c>
    </row>
    <row r="429" spans="1:7">
      <c r="A429">
        <v>43291</v>
      </c>
      <c r="B429" t="s">
        <v>48</v>
      </c>
      <c r="C429" t="s">
        <v>64</v>
      </c>
      <c r="D429">
        <v>20</v>
      </c>
      <c r="E429">
        <v>40</v>
      </c>
      <c r="F429">
        <v>0.05</v>
      </c>
      <c r="G429" t="s">
        <v>68</v>
      </c>
    </row>
    <row r="430" spans="1:7">
      <c r="A430">
        <v>43291</v>
      </c>
      <c r="B430" t="s">
        <v>48</v>
      </c>
      <c r="C430" t="s">
        <v>49</v>
      </c>
      <c r="D430">
        <v>19</v>
      </c>
      <c r="E430">
        <v>40</v>
      </c>
      <c r="F430">
        <v>0.1</v>
      </c>
      <c r="G430" t="s">
        <v>70</v>
      </c>
    </row>
    <row r="431" spans="1:7">
      <c r="A431">
        <v>43291</v>
      </c>
      <c r="B431" t="s">
        <v>63</v>
      </c>
      <c r="C431" t="s">
        <v>45</v>
      </c>
      <c r="D431">
        <v>18</v>
      </c>
      <c r="E431">
        <v>16</v>
      </c>
      <c r="F431">
        <v>0.05</v>
      </c>
      <c r="G431" t="s">
        <v>72</v>
      </c>
    </row>
    <row r="432" spans="1:7">
      <c r="A432">
        <v>43291</v>
      </c>
      <c r="B432" t="s">
        <v>48</v>
      </c>
      <c r="C432" t="s">
        <v>57</v>
      </c>
      <c r="D432">
        <v>2</v>
      </c>
      <c r="E432">
        <v>40</v>
      </c>
      <c r="F432">
        <v>0.02</v>
      </c>
      <c r="G432" t="s">
        <v>74</v>
      </c>
    </row>
    <row r="433" spans="1:7">
      <c r="A433">
        <v>43291</v>
      </c>
      <c r="B433" t="s">
        <v>48</v>
      </c>
      <c r="C433" t="s">
        <v>60</v>
      </c>
      <c r="D433">
        <v>7</v>
      </c>
      <c r="E433">
        <v>40</v>
      </c>
      <c r="F433">
        <v>0.07</v>
      </c>
      <c r="G433" t="s">
        <v>76</v>
      </c>
    </row>
    <row r="434" spans="1:7">
      <c r="A434">
        <v>43291</v>
      </c>
      <c r="B434" t="s">
        <v>67</v>
      </c>
      <c r="C434" t="s">
        <v>57</v>
      </c>
      <c r="D434">
        <v>11</v>
      </c>
      <c r="E434">
        <v>150</v>
      </c>
      <c r="F434">
        <v>0.05</v>
      </c>
      <c r="G434" t="s">
        <v>46</v>
      </c>
    </row>
    <row r="435" spans="1:7">
      <c r="A435">
        <v>43291</v>
      </c>
      <c r="B435" t="s">
        <v>44</v>
      </c>
      <c r="C435" t="s">
        <v>49</v>
      </c>
      <c r="D435">
        <v>14</v>
      </c>
      <c r="E435">
        <v>80</v>
      </c>
      <c r="F435">
        <v>0.11</v>
      </c>
      <c r="G435" t="s">
        <v>50</v>
      </c>
    </row>
    <row r="436" spans="1:7">
      <c r="A436">
        <v>43291</v>
      </c>
      <c r="B436" t="s">
        <v>48</v>
      </c>
      <c r="C436" t="s">
        <v>64</v>
      </c>
      <c r="D436">
        <v>7</v>
      </c>
      <c r="E436">
        <v>40</v>
      </c>
      <c r="F436">
        <v>0.04</v>
      </c>
      <c r="G436" t="s">
        <v>53</v>
      </c>
    </row>
    <row r="437" spans="1:7">
      <c r="A437">
        <v>43291</v>
      </c>
      <c r="B437" t="s">
        <v>44</v>
      </c>
      <c r="C437" t="s">
        <v>60</v>
      </c>
      <c r="D437">
        <v>14</v>
      </c>
      <c r="E437">
        <v>80</v>
      </c>
      <c r="F437">
        <v>0.05</v>
      </c>
      <c r="G437" t="s">
        <v>55</v>
      </c>
    </row>
    <row r="438" spans="1:7">
      <c r="A438">
        <v>43292</v>
      </c>
      <c r="B438" t="s">
        <v>63</v>
      </c>
      <c r="C438" t="s">
        <v>57</v>
      </c>
      <c r="D438">
        <v>12</v>
      </c>
      <c r="E438">
        <v>16</v>
      </c>
      <c r="F438">
        <v>0.11</v>
      </c>
      <c r="G438" t="s">
        <v>58</v>
      </c>
    </row>
    <row r="439" spans="1:7">
      <c r="A439">
        <v>43292</v>
      </c>
      <c r="B439" t="s">
        <v>48</v>
      </c>
      <c r="C439" t="s">
        <v>64</v>
      </c>
      <c r="D439">
        <v>11</v>
      </c>
      <c r="E439">
        <v>40</v>
      </c>
      <c r="F439">
        <v>0.05</v>
      </c>
      <c r="G439" t="s">
        <v>61</v>
      </c>
    </row>
    <row r="440" spans="1:7">
      <c r="A440">
        <v>43292</v>
      </c>
      <c r="B440" t="s">
        <v>63</v>
      </c>
      <c r="C440" t="s">
        <v>57</v>
      </c>
      <c r="D440">
        <v>14</v>
      </c>
      <c r="E440">
        <v>16</v>
      </c>
      <c r="F440">
        <v>0.01</v>
      </c>
      <c r="G440" t="s">
        <v>65</v>
      </c>
    </row>
    <row r="441" spans="1:7">
      <c r="A441">
        <v>43292</v>
      </c>
      <c r="B441" t="s">
        <v>52</v>
      </c>
      <c r="C441" t="s">
        <v>60</v>
      </c>
      <c r="D441">
        <v>2</v>
      </c>
      <c r="E441">
        <v>230</v>
      </c>
      <c r="F441">
        <v>0.08</v>
      </c>
      <c r="G441" t="s">
        <v>68</v>
      </c>
    </row>
    <row r="442" spans="1:7">
      <c r="A442">
        <v>43292</v>
      </c>
      <c r="B442" t="s">
        <v>63</v>
      </c>
      <c r="C442" t="s">
        <v>45</v>
      </c>
      <c r="D442">
        <v>20</v>
      </c>
      <c r="E442">
        <v>16</v>
      </c>
      <c r="F442">
        <v>0.11</v>
      </c>
      <c r="G442" t="s">
        <v>70</v>
      </c>
    </row>
    <row r="443" spans="1:7">
      <c r="A443">
        <v>43292</v>
      </c>
      <c r="B443" t="s">
        <v>63</v>
      </c>
      <c r="C443" t="s">
        <v>57</v>
      </c>
      <c r="D443">
        <v>6</v>
      </c>
      <c r="E443">
        <v>16</v>
      </c>
      <c r="F443">
        <v>0.06</v>
      </c>
      <c r="G443" t="s">
        <v>72</v>
      </c>
    </row>
    <row r="444" spans="1:7">
      <c r="A444">
        <v>43292</v>
      </c>
      <c r="B444" t="s">
        <v>44</v>
      </c>
      <c r="C444" t="s">
        <v>60</v>
      </c>
      <c r="D444">
        <v>17</v>
      </c>
      <c r="E444">
        <v>80</v>
      </c>
      <c r="F444">
        <v>0.05</v>
      </c>
      <c r="G444" t="s">
        <v>74</v>
      </c>
    </row>
    <row r="445" spans="1:7">
      <c r="A445">
        <v>43292</v>
      </c>
      <c r="B445" t="s">
        <v>48</v>
      </c>
      <c r="C445" t="s">
        <v>45</v>
      </c>
      <c r="D445">
        <v>2</v>
      </c>
      <c r="E445">
        <v>40</v>
      </c>
      <c r="F445">
        <v>0.12</v>
      </c>
      <c r="G445" t="s">
        <v>76</v>
      </c>
    </row>
    <row r="446" spans="1:7">
      <c r="A446">
        <v>43292</v>
      </c>
      <c r="B446" t="s">
        <v>63</v>
      </c>
      <c r="C446" t="s">
        <v>45</v>
      </c>
      <c r="D446">
        <v>7</v>
      </c>
      <c r="E446">
        <v>16</v>
      </c>
      <c r="F446">
        <v>0.12</v>
      </c>
      <c r="G446" t="s">
        <v>46</v>
      </c>
    </row>
    <row r="447" spans="1:7">
      <c r="A447">
        <v>43292</v>
      </c>
      <c r="B447" t="s">
        <v>67</v>
      </c>
      <c r="C447" t="s">
        <v>45</v>
      </c>
      <c r="D447">
        <v>7</v>
      </c>
      <c r="E447">
        <v>150</v>
      </c>
      <c r="F447">
        <v>0.02</v>
      </c>
      <c r="G447" t="s">
        <v>50</v>
      </c>
    </row>
    <row r="448" spans="1:7">
      <c r="A448">
        <v>43292</v>
      </c>
      <c r="B448" t="s">
        <v>44</v>
      </c>
      <c r="C448" t="s">
        <v>45</v>
      </c>
      <c r="D448">
        <v>20</v>
      </c>
      <c r="E448">
        <v>80</v>
      </c>
      <c r="F448">
        <v>0.01</v>
      </c>
      <c r="G448" t="s">
        <v>53</v>
      </c>
    </row>
    <row r="449" spans="1:7">
      <c r="A449">
        <v>43292</v>
      </c>
      <c r="B449" t="s">
        <v>44</v>
      </c>
      <c r="C449" t="s">
        <v>60</v>
      </c>
      <c r="D449">
        <v>11</v>
      </c>
      <c r="E449">
        <v>80</v>
      </c>
      <c r="F449">
        <v>0.01</v>
      </c>
      <c r="G449" t="s">
        <v>55</v>
      </c>
    </row>
    <row r="450" spans="1:7">
      <c r="A450">
        <v>43292</v>
      </c>
      <c r="B450" t="s">
        <v>44</v>
      </c>
      <c r="C450" t="s">
        <v>57</v>
      </c>
      <c r="D450">
        <v>10</v>
      </c>
      <c r="E450">
        <v>80</v>
      </c>
      <c r="F450">
        <v>0.08</v>
      </c>
      <c r="G450" t="s">
        <v>58</v>
      </c>
    </row>
    <row r="451" spans="1:7">
      <c r="A451">
        <v>43293</v>
      </c>
      <c r="B451" t="s">
        <v>44</v>
      </c>
      <c r="C451" t="s">
        <v>49</v>
      </c>
      <c r="D451">
        <v>5</v>
      </c>
      <c r="E451">
        <v>80</v>
      </c>
      <c r="F451">
        <v>0.04</v>
      </c>
      <c r="G451" t="s">
        <v>61</v>
      </c>
    </row>
    <row r="452" spans="1:7">
      <c r="A452">
        <v>43293</v>
      </c>
      <c r="B452" t="s">
        <v>44</v>
      </c>
      <c r="C452" t="s">
        <v>60</v>
      </c>
      <c r="D452">
        <v>4</v>
      </c>
      <c r="E452">
        <v>80</v>
      </c>
      <c r="F452">
        <v>0.11</v>
      </c>
      <c r="G452" t="s">
        <v>65</v>
      </c>
    </row>
    <row r="453" spans="1:7">
      <c r="A453">
        <v>43293</v>
      </c>
      <c r="B453" t="s">
        <v>63</v>
      </c>
      <c r="C453" t="s">
        <v>57</v>
      </c>
      <c r="D453">
        <v>3</v>
      </c>
      <c r="E453">
        <v>16</v>
      </c>
      <c r="F453">
        <v>0.05</v>
      </c>
      <c r="G453" t="s">
        <v>68</v>
      </c>
    </row>
    <row r="454" spans="1:7">
      <c r="A454">
        <v>43293</v>
      </c>
      <c r="B454" t="s">
        <v>44</v>
      </c>
      <c r="C454" t="s">
        <v>45</v>
      </c>
      <c r="D454">
        <v>9</v>
      </c>
      <c r="E454">
        <v>80</v>
      </c>
      <c r="F454">
        <v>0.04</v>
      </c>
      <c r="G454" t="s">
        <v>70</v>
      </c>
    </row>
    <row r="455" spans="1:7">
      <c r="A455">
        <v>43293</v>
      </c>
      <c r="B455" t="s">
        <v>44</v>
      </c>
      <c r="C455" t="s">
        <v>64</v>
      </c>
      <c r="D455">
        <v>16</v>
      </c>
      <c r="E455">
        <v>80</v>
      </c>
      <c r="F455">
        <v>0.09</v>
      </c>
      <c r="G455" t="s">
        <v>72</v>
      </c>
    </row>
    <row r="456" spans="1:7">
      <c r="A456">
        <v>43294</v>
      </c>
      <c r="B456" t="s">
        <v>63</v>
      </c>
      <c r="C456" t="s">
        <v>49</v>
      </c>
      <c r="D456">
        <v>7</v>
      </c>
      <c r="E456">
        <v>16</v>
      </c>
      <c r="F456">
        <v>0.08</v>
      </c>
      <c r="G456" t="s">
        <v>74</v>
      </c>
    </row>
    <row r="457" spans="1:7">
      <c r="A457">
        <v>43294</v>
      </c>
      <c r="B457" t="s">
        <v>67</v>
      </c>
      <c r="C457" t="s">
        <v>49</v>
      </c>
      <c r="D457">
        <v>16</v>
      </c>
      <c r="E457">
        <v>150</v>
      </c>
      <c r="F457">
        <v>0.05</v>
      </c>
      <c r="G457" t="s">
        <v>76</v>
      </c>
    </row>
    <row r="458" spans="1:7">
      <c r="A458">
        <v>43294</v>
      </c>
      <c r="B458" t="s">
        <v>63</v>
      </c>
      <c r="C458" t="s">
        <v>60</v>
      </c>
      <c r="D458">
        <v>10</v>
      </c>
      <c r="E458">
        <v>16</v>
      </c>
      <c r="F458">
        <v>0.04</v>
      </c>
      <c r="G458" t="s">
        <v>46</v>
      </c>
    </row>
    <row r="459" spans="1:7">
      <c r="A459">
        <v>43294</v>
      </c>
      <c r="B459" t="s">
        <v>48</v>
      </c>
      <c r="C459" t="s">
        <v>49</v>
      </c>
      <c r="D459">
        <v>4</v>
      </c>
      <c r="E459">
        <v>40</v>
      </c>
      <c r="F459">
        <v>0.03</v>
      </c>
      <c r="G459" t="s">
        <v>50</v>
      </c>
    </row>
    <row r="460" spans="1:7">
      <c r="A460">
        <v>43294</v>
      </c>
      <c r="B460" t="s">
        <v>48</v>
      </c>
      <c r="C460" t="s">
        <v>49</v>
      </c>
      <c r="D460">
        <v>15</v>
      </c>
      <c r="E460">
        <v>40</v>
      </c>
      <c r="F460">
        <v>0.02</v>
      </c>
      <c r="G460" t="s">
        <v>53</v>
      </c>
    </row>
    <row r="461" spans="1:7">
      <c r="A461">
        <v>43294</v>
      </c>
      <c r="B461" t="s">
        <v>44</v>
      </c>
      <c r="C461" t="s">
        <v>57</v>
      </c>
      <c r="D461">
        <v>6</v>
      </c>
      <c r="E461">
        <v>80</v>
      </c>
      <c r="F461">
        <v>0.09</v>
      </c>
      <c r="G461" t="s">
        <v>55</v>
      </c>
    </row>
    <row r="462" spans="1:7">
      <c r="A462">
        <v>43294</v>
      </c>
      <c r="B462" t="s">
        <v>67</v>
      </c>
      <c r="C462" t="s">
        <v>45</v>
      </c>
      <c r="D462">
        <v>20</v>
      </c>
      <c r="E462">
        <v>150</v>
      </c>
      <c r="F462">
        <v>0.01</v>
      </c>
      <c r="G462" t="s">
        <v>58</v>
      </c>
    </row>
    <row r="463" spans="1:7">
      <c r="A463">
        <v>43294</v>
      </c>
      <c r="B463" t="s">
        <v>63</v>
      </c>
      <c r="C463" t="s">
        <v>45</v>
      </c>
      <c r="D463">
        <v>7</v>
      </c>
      <c r="E463">
        <v>16</v>
      </c>
      <c r="F463">
        <v>0.08</v>
      </c>
      <c r="G463" t="s">
        <v>61</v>
      </c>
    </row>
    <row r="464" spans="1:7">
      <c r="A464">
        <v>43294</v>
      </c>
      <c r="B464" t="s">
        <v>44</v>
      </c>
      <c r="C464" t="s">
        <v>49</v>
      </c>
      <c r="D464">
        <v>2</v>
      </c>
      <c r="E464">
        <v>80</v>
      </c>
      <c r="F464">
        <v>0.07</v>
      </c>
      <c r="G464" t="s">
        <v>65</v>
      </c>
    </row>
    <row r="465" spans="1:7">
      <c r="A465">
        <v>43294</v>
      </c>
      <c r="B465" t="s">
        <v>48</v>
      </c>
      <c r="C465" t="s">
        <v>49</v>
      </c>
      <c r="D465">
        <v>23</v>
      </c>
      <c r="E465">
        <v>40</v>
      </c>
      <c r="F465">
        <v>0.06</v>
      </c>
      <c r="G465" t="s">
        <v>68</v>
      </c>
    </row>
    <row r="466" spans="1:7">
      <c r="A466">
        <v>43294</v>
      </c>
      <c r="B466" t="s">
        <v>63</v>
      </c>
      <c r="C466" t="s">
        <v>45</v>
      </c>
      <c r="D466">
        <v>12</v>
      </c>
      <c r="E466">
        <v>16</v>
      </c>
      <c r="F466">
        <v>0.11</v>
      </c>
      <c r="G466" t="s">
        <v>70</v>
      </c>
    </row>
    <row r="467" spans="1:7">
      <c r="A467">
        <v>43294</v>
      </c>
      <c r="B467" t="s">
        <v>52</v>
      </c>
      <c r="C467" t="s">
        <v>60</v>
      </c>
      <c r="D467">
        <v>2</v>
      </c>
      <c r="E467">
        <v>230</v>
      </c>
      <c r="F467">
        <v>0.09</v>
      </c>
      <c r="G467" t="s">
        <v>72</v>
      </c>
    </row>
    <row r="468" spans="1:7">
      <c r="A468">
        <v>43294</v>
      </c>
      <c r="B468" t="s">
        <v>67</v>
      </c>
      <c r="C468" t="s">
        <v>45</v>
      </c>
      <c r="D468">
        <v>4</v>
      </c>
      <c r="E468">
        <v>150</v>
      </c>
      <c r="F468">
        <v>0.06</v>
      </c>
      <c r="G468" t="s">
        <v>74</v>
      </c>
    </row>
    <row r="469" spans="1:7">
      <c r="A469">
        <v>43294</v>
      </c>
      <c r="B469" t="s">
        <v>48</v>
      </c>
      <c r="C469" t="s">
        <v>45</v>
      </c>
      <c r="D469">
        <v>23</v>
      </c>
      <c r="E469">
        <v>40</v>
      </c>
      <c r="F469">
        <v>0.07</v>
      </c>
      <c r="G469" t="s">
        <v>76</v>
      </c>
    </row>
    <row r="470" spans="1:7">
      <c r="A470">
        <v>43294</v>
      </c>
      <c r="B470" t="s">
        <v>63</v>
      </c>
      <c r="C470" t="s">
        <v>64</v>
      </c>
      <c r="D470">
        <v>2</v>
      </c>
      <c r="E470">
        <v>16</v>
      </c>
      <c r="F470">
        <v>0.04</v>
      </c>
      <c r="G470" t="s">
        <v>46</v>
      </c>
    </row>
    <row r="471" spans="1:7">
      <c r="A471">
        <v>43294</v>
      </c>
      <c r="B471" t="s">
        <v>67</v>
      </c>
      <c r="C471" t="s">
        <v>60</v>
      </c>
      <c r="D471">
        <v>7</v>
      </c>
      <c r="E471">
        <v>150</v>
      </c>
      <c r="F471">
        <v>0.05</v>
      </c>
      <c r="G471" t="s">
        <v>50</v>
      </c>
    </row>
    <row r="472" spans="1:7">
      <c r="A472">
        <v>43295</v>
      </c>
      <c r="B472" t="s">
        <v>48</v>
      </c>
      <c r="C472" t="s">
        <v>45</v>
      </c>
      <c r="D472">
        <v>15</v>
      </c>
      <c r="E472">
        <v>40</v>
      </c>
      <c r="F472">
        <v>0.06</v>
      </c>
      <c r="G472" t="s">
        <v>53</v>
      </c>
    </row>
    <row r="473" spans="1:7">
      <c r="A473">
        <v>43295</v>
      </c>
      <c r="B473" t="s">
        <v>44</v>
      </c>
      <c r="C473" t="s">
        <v>60</v>
      </c>
      <c r="D473">
        <v>16</v>
      </c>
      <c r="E473">
        <v>80</v>
      </c>
      <c r="F473">
        <v>0.05</v>
      </c>
      <c r="G473" t="s">
        <v>55</v>
      </c>
    </row>
    <row r="474" spans="1:7">
      <c r="A474">
        <v>43295</v>
      </c>
      <c r="B474" t="s">
        <v>48</v>
      </c>
      <c r="C474" t="s">
        <v>64</v>
      </c>
      <c r="D474">
        <v>16</v>
      </c>
      <c r="E474">
        <v>40</v>
      </c>
      <c r="F474">
        <v>0.11</v>
      </c>
      <c r="G474" t="s">
        <v>58</v>
      </c>
    </row>
    <row r="475" spans="1:7">
      <c r="A475">
        <v>43295</v>
      </c>
      <c r="B475" t="s">
        <v>63</v>
      </c>
      <c r="C475" t="s">
        <v>64</v>
      </c>
      <c r="D475">
        <v>23</v>
      </c>
      <c r="E475">
        <v>16</v>
      </c>
      <c r="F475">
        <v>0.01</v>
      </c>
      <c r="G475" t="s">
        <v>61</v>
      </c>
    </row>
    <row r="476" spans="1:7">
      <c r="A476">
        <v>43295</v>
      </c>
      <c r="B476" t="s">
        <v>52</v>
      </c>
      <c r="C476" t="s">
        <v>49</v>
      </c>
      <c r="D476">
        <v>12</v>
      </c>
      <c r="E476">
        <v>230</v>
      </c>
      <c r="F476">
        <v>0.03</v>
      </c>
      <c r="G476" t="s">
        <v>65</v>
      </c>
    </row>
    <row r="477" spans="1:7">
      <c r="A477">
        <v>43295</v>
      </c>
      <c r="B477" t="s">
        <v>63</v>
      </c>
      <c r="C477" t="s">
        <v>45</v>
      </c>
      <c r="D477">
        <v>4</v>
      </c>
      <c r="E477">
        <v>16</v>
      </c>
      <c r="F477">
        <v>0.12</v>
      </c>
      <c r="G477" t="s">
        <v>68</v>
      </c>
    </row>
    <row r="478" spans="1:7">
      <c r="A478">
        <v>43295</v>
      </c>
      <c r="B478" t="s">
        <v>67</v>
      </c>
      <c r="C478" t="s">
        <v>60</v>
      </c>
      <c r="D478">
        <v>3</v>
      </c>
      <c r="E478">
        <v>150</v>
      </c>
      <c r="F478">
        <v>0.01</v>
      </c>
      <c r="G478" t="s">
        <v>70</v>
      </c>
    </row>
    <row r="479" spans="1:7">
      <c r="A479">
        <v>43295</v>
      </c>
      <c r="B479" t="s">
        <v>67</v>
      </c>
      <c r="C479" t="s">
        <v>49</v>
      </c>
      <c r="D479">
        <v>10</v>
      </c>
      <c r="E479">
        <v>150</v>
      </c>
      <c r="F479">
        <v>0.01</v>
      </c>
      <c r="G479" t="s">
        <v>72</v>
      </c>
    </row>
    <row r="480" spans="1:7">
      <c r="A480">
        <v>43295</v>
      </c>
      <c r="B480" t="s">
        <v>44</v>
      </c>
      <c r="C480" t="s">
        <v>49</v>
      </c>
      <c r="D480">
        <v>13</v>
      </c>
      <c r="E480">
        <v>80</v>
      </c>
      <c r="F480">
        <v>0.06</v>
      </c>
      <c r="G480" t="s">
        <v>74</v>
      </c>
    </row>
    <row r="481" spans="1:7">
      <c r="A481">
        <v>43295</v>
      </c>
      <c r="B481" t="s">
        <v>52</v>
      </c>
      <c r="C481" t="s">
        <v>57</v>
      </c>
      <c r="D481">
        <v>15</v>
      </c>
      <c r="E481">
        <v>230</v>
      </c>
      <c r="F481">
        <v>0.04</v>
      </c>
      <c r="G481" t="s">
        <v>76</v>
      </c>
    </row>
    <row r="482" spans="1:7">
      <c r="A482">
        <v>43295</v>
      </c>
      <c r="B482" t="s">
        <v>67</v>
      </c>
      <c r="C482" t="s">
        <v>45</v>
      </c>
      <c r="D482">
        <v>23</v>
      </c>
      <c r="E482">
        <v>150</v>
      </c>
      <c r="F482">
        <v>0.1</v>
      </c>
      <c r="G482" t="s">
        <v>46</v>
      </c>
    </row>
    <row r="483" spans="1:7">
      <c r="A483">
        <v>43295</v>
      </c>
      <c r="B483" t="s">
        <v>67</v>
      </c>
      <c r="C483" t="s">
        <v>49</v>
      </c>
      <c r="D483">
        <v>15</v>
      </c>
      <c r="E483">
        <v>150</v>
      </c>
      <c r="F483">
        <v>0.12</v>
      </c>
      <c r="G483" t="s">
        <v>50</v>
      </c>
    </row>
    <row r="484" spans="1:7">
      <c r="A484">
        <v>43295</v>
      </c>
      <c r="B484" t="s">
        <v>67</v>
      </c>
      <c r="C484" t="s">
        <v>57</v>
      </c>
      <c r="D484">
        <v>20</v>
      </c>
      <c r="E484">
        <v>150</v>
      </c>
      <c r="F484">
        <v>0.12</v>
      </c>
      <c r="G484" t="s">
        <v>53</v>
      </c>
    </row>
    <row r="485" spans="1:7">
      <c r="A485">
        <v>43295</v>
      </c>
      <c r="B485" t="s">
        <v>48</v>
      </c>
      <c r="C485" t="s">
        <v>60</v>
      </c>
      <c r="D485">
        <v>13</v>
      </c>
      <c r="E485">
        <v>40</v>
      </c>
      <c r="F485">
        <v>0.09</v>
      </c>
      <c r="G485" t="s">
        <v>55</v>
      </c>
    </row>
    <row r="486" spans="1:7">
      <c r="A486">
        <v>43296</v>
      </c>
      <c r="B486" t="s">
        <v>63</v>
      </c>
      <c r="C486" t="s">
        <v>57</v>
      </c>
      <c r="D486">
        <v>11</v>
      </c>
      <c r="E486">
        <v>16</v>
      </c>
      <c r="F486">
        <v>0.04</v>
      </c>
      <c r="G486" t="s">
        <v>58</v>
      </c>
    </row>
    <row r="487" spans="1:7">
      <c r="A487">
        <v>43296</v>
      </c>
      <c r="B487" t="s">
        <v>67</v>
      </c>
      <c r="C487" t="s">
        <v>57</v>
      </c>
      <c r="D487">
        <v>20</v>
      </c>
      <c r="E487">
        <v>150</v>
      </c>
      <c r="F487">
        <v>0.04</v>
      </c>
      <c r="G487" t="s">
        <v>61</v>
      </c>
    </row>
    <row r="488" spans="1:7">
      <c r="A488">
        <v>43296</v>
      </c>
      <c r="B488" t="s">
        <v>48</v>
      </c>
      <c r="C488" t="s">
        <v>45</v>
      </c>
      <c r="D488">
        <v>18</v>
      </c>
      <c r="E488">
        <v>40</v>
      </c>
      <c r="F488">
        <v>0.11</v>
      </c>
      <c r="G488" t="s">
        <v>65</v>
      </c>
    </row>
    <row r="489" spans="1:7">
      <c r="A489">
        <v>43296</v>
      </c>
      <c r="B489" t="s">
        <v>48</v>
      </c>
      <c r="C489" t="s">
        <v>57</v>
      </c>
      <c r="D489">
        <v>2</v>
      </c>
      <c r="E489">
        <v>40</v>
      </c>
      <c r="F489">
        <v>0.03</v>
      </c>
      <c r="G489" t="s">
        <v>68</v>
      </c>
    </row>
    <row r="490" spans="1:7">
      <c r="A490">
        <v>43296</v>
      </c>
      <c r="B490" t="s">
        <v>63</v>
      </c>
      <c r="C490" t="s">
        <v>60</v>
      </c>
      <c r="D490">
        <v>15</v>
      </c>
      <c r="E490">
        <v>16</v>
      </c>
      <c r="F490">
        <v>0.12</v>
      </c>
      <c r="G490" t="s">
        <v>70</v>
      </c>
    </row>
    <row r="491" spans="1:7">
      <c r="A491">
        <v>43296</v>
      </c>
      <c r="B491" t="s">
        <v>63</v>
      </c>
      <c r="C491" t="s">
        <v>57</v>
      </c>
      <c r="D491">
        <v>9</v>
      </c>
      <c r="E491">
        <v>16</v>
      </c>
      <c r="F491">
        <v>0.05</v>
      </c>
      <c r="G491" t="s">
        <v>72</v>
      </c>
    </row>
    <row r="492" spans="1:7">
      <c r="A492">
        <v>43296</v>
      </c>
      <c r="B492" t="s">
        <v>48</v>
      </c>
      <c r="C492" t="s">
        <v>64</v>
      </c>
      <c r="D492">
        <v>7</v>
      </c>
      <c r="E492">
        <v>40</v>
      </c>
      <c r="F492">
        <v>0.05</v>
      </c>
      <c r="G492" t="s">
        <v>46</v>
      </c>
    </row>
    <row r="493" spans="1:7">
      <c r="A493">
        <v>43296</v>
      </c>
      <c r="B493" t="s">
        <v>67</v>
      </c>
      <c r="C493" t="s">
        <v>64</v>
      </c>
      <c r="D493">
        <v>4</v>
      </c>
      <c r="E493">
        <v>150</v>
      </c>
      <c r="F493">
        <v>0.05</v>
      </c>
      <c r="G493" t="s">
        <v>50</v>
      </c>
    </row>
    <row r="494" spans="1:7">
      <c r="A494">
        <v>43296</v>
      </c>
      <c r="B494" t="s">
        <v>52</v>
      </c>
      <c r="C494" t="s">
        <v>45</v>
      </c>
      <c r="D494">
        <v>15</v>
      </c>
      <c r="E494">
        <v>230</v>
      </c>
      <c r="F494">
        <v>0.05</v>
      </c>
      <c r="G494" t="s">
        <v>53</v>
      </c>
    </row>
    <row r="495" spans="1:7">
      <c r="A495">
        <v>43297</v>
      </c>
      <c r="B495" t="s">
        <v>48</v>
      </c>
      <c r="C495" t="s">
        <v>49</v>
      </c>
      <c r="D495">
        <v>12</v>
      </c>
      <c r="E495">
        <v>40</v>
      </c>
      <c r="F495">
        <v>0.1</v>
      </c>
      <c r="G495" t="s">
        <v>55</v>
      </c>
    </row>
    <row r="496" spans="1:7">
      <c r="A496">
        <v>43297</v>
      </c>
      <c r="B496" t="s">
        <v>52</v>
      </c>
      <c r="C496" t="s">
        <v>60</v>
      </c>
      <c r="D496">
        <v>23</v>
      </c>
      <c r="E496">
        <v>230</v>
      </c>
      <c r="F496">
        <v>0.06</v>
      </c>
      <c r="G496" t="s">
        <v>58</v>
      </c>
    </row>
    <row r="497" spans="1:7">
      <c r="A497">
        <v>43297</v>
      </c>
      <c r="B497" t="s">
        <v>63</v>
      </c>
      <c r="C497" t="s">
        <v>45</v>
      </c>
      <c r="D497">
        <v>11</v>
      </c>
      <c r="E497">
        <v>16</v>
      </c>
      <c r="F497">
        <v>0.09</v>
      </c>
      <c r="G497" t="s">
        <v>61</v>
      </c>
    </row>
    <row r="498" spans="1:7">
      <c r="A498">
        <v>43297</v>
      </c>
      <c r="B498" t="s">
        <v>67</v>
      </c>
      <c r="C498" t="s">
        <v>45</v>
      </c>
      <c r="D498">
        <v>9</v>
      </c>
      <c r="E498">
        <v>150</v>
      </c>
      <c r="F498">
        <v>0.1</v>
      </c>
      <c r="G498" t="s">
        <v>65</v>
      </c>
    </row>
    <row r="499" spans="1:7">
      <c r="A499">
        <v>43297</v>
      </c>
      <c r="B499" t="s">
        <v>44</v>
      </c>
      <c r="C499" t="s">
        <v>45</v>
      </c>
      <c r="D499">
        <v>18</v>
      </c>
      <c r="E499">
        <v>80</v>
      </c>
      <c r="F499">
        <v>0.02</v>
      </c>
      <c r="G499" t="s">
        <v>68</v>
      </c>
    </row>
    <row r="500" spans="1:7">
      <c r="A500">
        <v>43297</v>
      </c>
      <c r="B500" t="s">
        <v>48</v>
      </c>
      <c r="C500" t="s">
        <v>64</v>
      </c>
      <c r="D500">
        <v>23</v>
      </c>
      <c r="E500">
        <v>40</v>
      </c>
      <c r="F500">
        <v>0.04</v>
      </c>
      <c r="G500" t="s">
        <v>70</v>
      </c>
    </row>
    <row r="501" spans="1:7">
      <c r="A501">
        <v>43297</v>
      </c>
      <c r="B501" t="s">
        <v>63</v>
      </c>
      <c r="C501" t="s">
        <v>64</v>
      </c>
      <c r="D501">
        <v>17</v>
      </c>
      <c r="E501">
        <v>16</v>
      </c>
      <c r="F501">
        <v>0.1</v>
      </c>
      <c r="G501" t="s">
        <v>72</v>
      </c>
    </row>
    <row r="502" spans="1:7">
      <c r="A502">
        <v>43297</v>
      </c>
      <c r="B502" t="s">
        <v>67</v>
      </c>
      <c r="C502" t="s">
        <v>64</v>
      </c>
      <c r="D502">
        <v>17</v>
      </c>
      <c r="E502">
        <v>150</v>
      </c>
      <c r="F502">
        <v>0.02</v>
      </c>
      <c r="G502" t="s">
        <v>74</v>
      </c>
    </row>
    <row r="503" spans="1:7">
      <c r="A503">
        <v>43297</v>
      </c>
      <c r="B503" t="s">
        <v>44</v>
      </c>
      <c r="C503" t="s">
        <v>60</v>
      </c>
      <c r="D503">
        <v>21</v>
      </c>
      <c r="E503">
        <v>80</v>
      </c>
      <c r="F503">
        <v>0.02</v>
      </c>
      <c r="G503" t="s">
        <v>76</v>
      </c>
    </row>
    <row r="504" spans="1:7">
      <c r="A504">
        <v>43297</v>
      </c>
      <c r="B504" t="s">
        <v>48</v>
      </c>
      <c r="C504" t="s">
        <v>60</v>
      </c>
      <c r="D504">
        <v>11</v>
      </c>
      <c r="E504">
        <v>40</v>
      </c>
      <c r="F504">
        <v>0.06</v>
      </c>
      <c r="G504" t="s">
        <v>46</v>
      </c>
    </row>
    <row r="505" spans="1:7">
      <c r="A505">
        <v>43297</v>
      </c>
      <c r="B505" t="s">
        <v>48</v>
      </c>
      <c r="C505" t="s">
        <v>45</v>
      </c>
      <c r="D505">
        <v>19</v>
      </c>
      <c r="E505">
        <v>40</v>
      </c>
      <c r="F505">
        <v>0.04</v>
      </c>
      <c r="G505" t="s">
        <v>50</v>
      </c>
    </row>
    <row r="506" spans="1:7">
      <c r="A506">
        <v>43297</v>
      </c>
      <c r="B506" t="s">
        <v>48</v>
      </c>
      <c r="C506" t="s">
        <v>45</v>
      </c>
      <c r="D506">
        <v>23</v>
      </c>
      <c r="E506">
        <v>40</v>
      </c>
      <c r="F506">
        <v>0.03</v>
      </c>
      <c r="G506" t="s">
        <v>53</v>
      </c>
    </row>
    <row r="507" spans="1:7">
      <c r="A507">
        <v>43297</v>
      </c>
      <c r="B507" t="s">
        <v>52</v>
      </c>
      <c r="C507" t="s">
        <v>49</v>
      </c>
      <c r="D507">
        <v>14</v>
      </c>
      <c r="E507">
        <v>230</v>
      </c>
      <c r="F507">
        <v>0.05</v>
      </c>
      <c r="G507" t="s">
        <v>55</v>
      </c>
    </row>
    <row r="508" spans="1:7">
      <c r="A508">
        <v>43297</v>
      </c>
      <c r="B508" t="s">
        <v>48</v>
      </c>
      <c r="C508" t="s">
        <v>57</v>
      </c>
      <c r="D508">
        <v>18</v>
      </c>
      <c r="E508">
        <v>40</v>
      </c>
      <c r="F508">
        <v>0.03</v>
      </c>
      <c r="G508" t="s">
        <v>58</v>
      </c>
    </row>
    <row r="509" spans="1:7">
      <c r="A509">
        <v>43297</v>
      </c>
      <c r="B509" t="s">
        <v>67</v>
      </c>
      <c r="C509" t="s">
        <v>49</v>
      </c>
      <c r="D509">
        <v>2</v>
      </c>
      <c r="E509">
        <v>150</v>
      </c>
      <c r="F509">
        <v>0.09</v>
      </c>
      <c r="G509" t="s">
        <v>61</v>
      </c>
    </row>
    <row r="510" spans="1:7">
      <c r="A510">
        <v>43297</v>
      </c>
      <c r="B510" t="s">
        <v>52</v>
      </c>
      <c r="C510" t="s">
        <v>49</v>
      </c>
      <c r="D510">
        <v>7</v>
      </c>
      <c r="E510">
        <v>230</v>
      </c>
      <c r="F510">
        <v>0.05</v>
      </c>
      <c r="G510" t="s">
        <v>65</v>
      </c>
    </row>
    <row r="511" spans="1:7">
      <c r="A511">
        <v>43298</v>
      </c>
      <c r="B511" t="s">
        <v>67</v>
      </c>
      <c r="C511" t="s">
        <v>57</v>
      </c>
      <c r="D511">
        <v>9</v>
      </c>
      <c r="E511">
        <v>150</v>
      </c>
      <c r="F511">
        <v>0.02</v>
      </c>
      <c r="G511" t="s">
        <v>68</v>
      </c>
    </row>
    <row r="512" spans="1:7">
      <c r="A512">
        <v>43298</v>
      </c>
      <c r="B512" t="s">
        <v>48</v>
      </c>
      <c r="C512" t="s">
        <v>64</v>
      </c>
      <c r="D512">
        <v>3</v>
      </c>
      <c r="E512">
        <v>40</v>
      </c>
      <c r="F512">
        <v>0.03</v>
      </c>
      <c r="G512" t="s">
        <v>70</v>
      </c>
    </row>
    <row r="513" spans="1:7">
      <c r="A513">
        <v>43298</v>
      </c>
      <c r="B513" t="s">
        <v>44</v>
      </c>
      <c r="C513" t="s">
        <v>60</v>
      </c>
      <c r="D513">
        <v>2</v>
      </c>
      <c r="E513">
        <v>80</v>
      </c>
      <c r="F513">
        <v>0.08</v>
      </c>
      <c r="G513" t="s">
        <v>72</v>
      </c>
    </row>
    <row r="514" spans="1:7">
      <c r="A514">
        <v>43298</v>
      </c>
      <c r="B514" t="s">
        <v>63</v>
      </c>
      <c r="C514" t="s">
        <v>64</v>
      </c>
      <c r="D514">
        <v>19</v>
      </c>
      <c r="E514">
        <v>16</v>
      </c>
      <c r="F514">
        <v>0.02</v>
      </c>
      <c r="G514" t="s">
        <v>74</v>
      </c>
    </row>
    <row r="515" spans="1:7">
      <c r="A515">
        <v>43298</v>
      </c>
      <c r="B515" t="s">
        <v>63</v>
      </c>
      <c r="C515" t="s">
        <v>49</v>
      </c>
      <c r="D515">
        <v>21</v>
      </c>
      <c r="E515">
        <v>16</v>
      </c>
      <c r="F515">
        <v>0.02</v>
      </c>
      <c r="G515" t="s">
        <v>76</v>
      </c>
    </row>
    <row r="516" spans="1:7">
      <c r="A516">
        <v>43298</v>
      </c>
      <c r="B516" t="s">
        <v>44</v>
      </c>
      <c r="C516" t="s">
        <v>60</v>
      </c>
      <c r="D516">
        <v>21</v>
      </c>
      <c r="E516">
        <v>80</v>
      </c>
      <c r="F516">
        <v>0.05</v>
      </c>
      <c r="G516" t="s">
        <v>46</v>
      </c>
    </row>
    <row r="517" spans="1:7">
      <c r="A517">
        <v>43298</v>
      </c>
      <c r="B517" t="s">
        <v>52</v>
      </c>
      <c r="C517" t="s">
        <v>64</v>
      </c>
      <c r="D517">
        <v>3</v>
      </c>
      <c r="E517">
        <v>230</v>
      </c>
      <c r="F517">
        <v>0.1</v>
      </c>
      <c r="G517" t="s">
        <v>50</v>
      </c>
    </row>
    <row r="518" spans="1:7">
      <c r="A518">
        <v>43298</v>
      </c>
      <c r="B518" t="s">
        <v>48</v>
      </c>
      <c r="C518" t="s">
        <v>57</v>
      </c>
      <c r="D518">
        <v>4</v>
      </c>
      <c r="E518">
        <v>40</v>
      </c>
      <c r="F518">
        <v>0.11</v>
      </c>
      <c r="G518" t="s">
        <v>53</v>
      </c>
    </row>
    <row r="519" spans="1:7">
      <c r="A519">
        <v>43298</v>
      </c>
      <c r="B519" t="s">
        <v>67</v>
      </c>
      <c r="C519" t="s">
        <v>64</v>
      </c>
      <c r="D519">
        <v>7</v>
      </c>
      <c r="E519">
        <v>150</v>
      </c>
      <c r="F519">
        <v>0.03</v>
      </c>
      <c r="G519" t="s">
        <v>55</v>
      </c>
    </row>
    <row r="520" spans="1:7">
      <c r="A520">
        <v>43298</v>
      </c>
      <c r="B520" t="s">
        <v>63</v>
      </c>
      <c r="C520" t="s">
        <v>57</v>
      </c>
      <c r="D520">
        <v>11</v>
      </c>
      <c r="E520">
        <v>16</v>
      </c>
      <c r="F520">
        <v>0.12</v>
      </c>
      <c r="G520" t="s">
        <v>58</v>
      </c>
    </row>
    <row r="521" spans="1:7">
      <c r="A521">
        <v>43298</v>
      </c>
      <c r="B521" t="s">
        <v>44</v>
      </c>
      <c r="C521" t="s">
        <v>45</v>
      </c>
      <c r="D521">
        <v>17</v>
      </c>
      <c r="E521">
        <v>80</v>
      </c>
      <c r="F521">
        <v>0.07</v>
      </c>
      <c r="G521" t="s">
        <v>61</v>
      </c>
    </row>
    <row r="522" spans="1:7">
      <c r="A522">
        <v>43298</v>
      </c>
      <c r="B522" t="s">
        <v>63</v>
      </c>
      <c r="C522" t="s">
        <v>60</v>
      </c>
      <c r="D522">
        <v>5</v>
      </c>
      <c r="E522">
        <v>16</v>
      </c>
      <c r="F522">
        <v>0.09</v>
      </c>
      <c r="G522" t="s">
        <v>65</v>
      </c>
    </row>
    <row r="523" spans="1:7">
      <c r="A523">
        <v>43298</v>
      </c>
      <c r="B523" t="s">
        <v>63</v>
      </c>
      <c r="C523" t="s">
        <v>64</v>
      </c>
      <c r="D523">
        <v>13</v>
      </c>
      <c r="E523">
        <v>16</v>
      </c>
      <c r="F523">
        <v>0.07</v>
      </c>
      <c r="G523" t="s">
        <v>68</v>
      </c>
    </row>
    <row r="524" spans="1:7">
      <c r="A524">
        <v>43298</v>
      </c>
      <c r="B524" t="s">
        <v>44</v>
      </c>
      <c r="C524" t="s">
        <v>64</v>
      </c>
      <c r="D524">
        <v>9</v>
      </c>
      <c r="E524">
        <v>80</v>
      </c>
      <c r="F524">
        <v>0.02</v>
      </c>
      <c r="G524" t="s">
        <v>70</v>
      </c>
    </row>
    <row r="525" spans="1:7">
      <c r="A525">
        <v>43299</v>
      </c>
      <c r="B525" t="s">
        <v>44</v>
      </c>
      <c r="C525" t="s">
        <v>64</v>
      </c>
      <c r="D525">
        <v>9</v>
      </c>
      <c r="E525">
        <v>80</v>
      </c>
      <c r="F525">
        <v>0.02</v>
      </c>
      <c r="G525" t="s">
        <v>72</v>
      </c>
    </row>
    <row r="526" spans="1:7">
      <c r="A526">
        <v>43299</v>
      </c>
      <c r="B526" t="s">
        <v>44</v>
      </c>
      <c r="C526" t="s">
        <v>60</v>
      </c>
      <c r="D526">
        <v>22</v>
      </c>
      <c r="E526">
        <v>80</v>
      </c>
      <c r="F526">
        <v>0.03</v>
      </c>
      <c r="G526" t="s">
        <v>74</v>
      </c>
    </row>
    <row r="527" spans="1:7">
      <c r="A527">
        <v>43299</v>
      </c>
      <c r="B527" t="s">
        <v>67</v>
      </c>
      <c r="C527" t="s">
        <v>45</v>
      </c>
      <c r="D527">
        <v>13</v>
      </c>
      <c r="E527">
        <v>150</v>
      </c>
      <c r="F527">
        <v>0.05</v>
      </c>
      <c r="G527" t="s">
        <v>76</v>
      </c>
    </row>
    <row r="528" spans="1:7">
      <c r="A528">
        <v>43299</v>
      </c>
      <c r="B528" t="s">
        <v>44</v>
      </c>
      <c r="C528" t="s">
        <v>45</v>
      </c>
      <c r="D528">
        <v>14</v>
      </c>
      <c r="E528">
        <v>80</v>
      </c>
      <c r="F528">
        <v>0.08</v>
      </c>
      <c r="G528" t="s">
        <v>46</v>
      </c>
    </row>
    <row r="529" spans="1:7">
      <c r="A529">
        <v>43299</v>
      </c>
      <c r="B529" t="s">
        <v>44</v>
      </c>
      <c r="C529" t="s">
        <v>45</v>
      </c>
      <c r="D529">
        <v>6</v>
      </c>
      <c r="E529">
        <v>80</v>
      </c>
      <c r="F529">
        <v>0.07</v>
      </c>
      <c r="G529" t="s">
        <v>50</v>
      </c>
    </row>
    <row r="530" spans="1:7">
      <c r="A530">
        <v>43299</v>
      </c>
      <c r="B530" t="s">
        <v>44</v>
      </c>
      <c r="C530" t="s">
        <v>45</v>
      </c>
      <c r="D530">
        <v>16</v>
      </c>
      <c r="E530">
        <v>80</v>
      </c>
      <c r="F530">
        <v>0.03</v>
      </c>
      <c r="G530" t="s">
        <v>53</v>
      </c>
    </row>
    <row r="531" spans="1:7">
      <c r="A531">
        <v>43299</v>
      </c>
      <c r="B531" t="s">
        <v>67</v>
      </c>
      <c r="C531" t="s">
        <v>57</v>
      </c>
      <c r="D531">
        <v>22</v>
      </c>
      <c r="E531">
        <v>150</v>
      </c>
      <c r="F531">
        <v>0.09</v>
      </c>
      <c r="G531" t="s">
        <v>55</v>
      </c>
    </row>
    <row r="532" spans="1:7">
      <c r="A532">
        <v>43299</v>
      </c>
      <c r="B532" t="s">
        <v>67</v>
      </c>
      <c r="C532" t="s">
        <v>60</v>
      </c>
      <c r="D532">
        <v>4</v>
      </c>
      <c r="E532">
        <v>150</v>
      </c>
      <c r="F532">
        <v>0.12</v>
      </c>
      <c r="G532" t="s">
        <v>58</v>
      </c>
    </row>
    <row r="533" spans="1:7">
      <c r="A533">
        <v>43299</v>
      </c>
      <c r="B533" t="s">
        <v>52</v>
      </c>
      <c r="C533" t="s">
        <v>64</v>
      </c>
      <c r="D533">
        <v>7</v>
      </c>
      <c r="E533">
        <v>230</v>
      </c>
      <c r="F533">
        <v>0.05</v>
      </c>
      <c r="G533" t="s">
        <v>61</v>
      </c>
    </row>
    <row r="534" spans="1:7">
      <c r="A534">
        <v>43299</v>
      </c>
      <c r="B534" t="s">
        <v>67</v>
      </c>
      <c r="C534" t="s">
        <v>60</v>
      </c>
      <c r="D534">
        <v>20</v>
      </c>
      <c r="E534">
        <v>150</v>
      </c>
      <c r="F534">
        <v>0.1</v>
      </c>
      <c r="G534" t="s">
        <v>65</v>
      </c>
    </row>
    <row r="535" spans="1:7">
      <c r="A535">
        <v>43299</v>
      </c>
      <c r="B535" t="s">
        <v>52</v>
      </c>
      <c r="C535" t="s">
        <v>60</v>
      </c>
      <c r="D535">
        <v>8</v>
      </c>
      <c r="E535">
        <v>230</v>
      </c>
      <c r="F535">
        <v>0.05</v>
      </c>
      <c r="G535" t="s">
        <v>68</v>
      </c>
    </row>
    <row r="536" spans="1:7">
      <c r="A536">
        <v>43300</v>
      </c>
      <c r="B536" t="s">
        <v>48</v>
      </c>
      <c r="C536" t="s">
        <v>60</v>
      </c>
      <c r="D536">
        <v>9</v>
      </c>
      <c r="E536">
        <v>40</v>
      </c>
      <c r="F536">
        <v>0.06</v>
      </c>
      <c r="G536" t="s">
        <v>70</v>
      </c>
    </row>
    <row r="537" spans="1:7">
      <c r="A537">
        <v>43300</v>
      </c>
      <c r="B537" t="s">
        <v>52</v>
      </c>
      <c r="C537" t="s">
        <v>60</v>
      </c>
      <c r="D537">
        <v>19</v>
      </c>
      <c r="E537">
        <v>230</v>
      </c>
      <c r="F537">
        <v>0.06</v>
      </c>
      <c r="G537" t="s">
        <v>72</v>
      </c>
    </row>
    <row r="538" spans="1:7">
      <c r="A538">
        <v>43300</v>
      </c>
      <c r="B538" t="s">
        <v>48</v>
      </c>
      <c r="C538" t="s">
        <v>60</v>
      </c>
      <c r="D538">
        <v>22</v>
      </c>
      <c r="E538">
        <v>40</v>
      </c>
      <c r="F538">
        <v>0.01</v>
      </c>
      <c r="G538" t="s">
        <v>74</v>
      </c>
    </row>
    <row r="539" spans="1:7">
      <c r="A539">
        <v>43300</v>
      </c>
      <c r="B539" t="s">
        <v>48</v>
      </c>
      <c r="C539" t="s">
        <v>45</v>
      </c>
      <c r="D539">
        <v>22</v>
      </c>
      <c r="E539">
        <v>40</v>
      </c>
      <c r="F539">
        <v>0.02</v>
      </c>
      <c r="G539" t="s">
        <v>76</v>
      </c>
    </row>
    <row r="540" spans="1:7">
      <c r="A540">
        <v>43300</v>
      </c>
      <c r="B540" t="s">
        <v>44</v>
      </c>
      <c r="C540" t="s">
        <v>64</v>
      </c>
      <c r="D540">
        <v>10</v>
      </c>
      <c r="E540">
        <v>80</v>
      </c>
      <c r="F540">
        <v>0.06</v>
      </c>
      <c r="G540" t="s">
        <v>46</v>
      </c>
    </row>
    <row r="541" spans="1:7">
      <c r="A541">
        <v>43300</v>
      </c>
      <c r="B541" t="s">
        <v>48</v>
      </c>
      <c r="C541" t="s">
        <v>60</v>
      </c>
      <c r="D541">
        <v>7</v>
      </c>
      <c r="E541">
        <v>40</v>
      </c>
      <c r="F541">
        <v>0.11</v>
      </c>
      <c r="G541" t="s">
        <v>50</v>
      </c>
    </row>
    <row r="542" spans="1:7">
      <c r="A542">
        <v>43300</v>
      </c>
      <c r="B542" t="s">
        <v>52</v>
      </c>
      <c r="C542" t="s">
        <v>45</v>
      </c>
      <c r="D542">
        <v>7</v>
      </c>
      <c r="E542">
        <v>230</v>
      </c>
      <c r="F542">
        <v>0.08</v>
      </c>
      <c r="G542" t="s">
        <v>53</v>
      </c>
    </row>
    <row r="543" spans="1:7">
      <c r="A543">
        <v>43300</v>
      </c>
      <c r="B543" t="s">
        <v>63</v>
      </c>
      <c r="C543" t="s">
        <v>45</v>
      </c>
      <c r="D543">
        <v>18</v>
      </c>
      <c r="E543">
        <v>16</v>
      </c>
      <c r="F543">
        <v>0.11</v>
      </c>
      <c r="G543" t="s">
        <v>55</v>
      </c>
    </row>
    <row r="544" spans="1:7">
      <c r="A544">
        <v>43300</v>
      </c>
      <c r="B544" t="s">
        <v>52</v>
      </c>
      <c r="C544" t="s">
        <v>57</v>
      </c>
      <c r="D544">
        <v>14</v>
      </c>
      <c r="E544">
        <v>230</v>
      </c>
      <c r="F544">
        <v>0.12</v>
      </c>
      <c r="G544" t="s">
        <v>58</v>
      </c>
    </row>
    <row r="545" spans="1:7">
      <c r="A545">
        <v>43300</v>
      </c>
      <c r="B545" t="s">
        <v>48</v>
      </c>
      <c r="C545" t="s">
        <v>49</v>
      </c>
      <c r="D545">
        <v>21</v>
      </c>
      <c r="E545">
        <v>40</v>
      </c>
      <c r="F545">
        <v>0.03</v>
      </c>
      <c r="G545" t="s">
        <v>61</v>
      </c>
    </row>
    <row r="546" spans="1:7">
      <c r="A546">
        <v>43300</v>
      </c>
      <c r="B546" t="s">
        <v>67</v>
      </c>
      <c r="C546" t="s">
        <v>45</v>
      </c>
      <c r="D546">
        <v>3</v>
      </c>
      <c r="E546">
        <v>150</v>
      </c>
      <c r="F546">
        <v>0.03</v>
      </c>
      <c r="G546" t="s">
        <v>65</v>
      </c>
    </row>
    <row r="547" spans="1:7">
      <c r="A547">
        <v>43300</v>
      </c>
      <c r="B547" t="s">
        <v>44</v>
      </c>
      <c r="C547" t="s">
        <v>45</v>
      </c>
      <c r="D547">
        <v>12</v>
      </c>
      <c r="E547">
        <v>80</v>
      </c>
      <c r="F547">
        <v>0.04</v>
      </c>
      <c r="G547" t="s">
        <v>68</v>
      </c>
    </row>
    <row r="548" spans="1:7">
      <c r="A548">
        <v>43301</v>
      </c>
      <c r="B548" t="s">
        <v>67</v>
      </c>
      <c r="C548" t="s">
        <v>60</v>
      </c>
      <c r="D548">
        <v>6</v>
      </c>
      <c r="E548">
        <v>150</v>
      </c>
      <c r="F548">
        <v>0.03</v>
      </c>
      <c r="G548" t="s">
        <v>70</v>
      </c>
    </row>
    <row r="549" spans="1:7">
      <c r="A549">
        <v>43301</v>
      </c>
      <c r="B549" t="s">
        <v>48</v>
      </c>
      <c r="C549" t="s">
        <v>57</v>
      </c>
      <c r="D549">
        <v>20</v>
      </c>
      <c r="E549">
        <v>40</v>
      </c>
      <c r="F549">
        <v>0.01</v>
      </c>
      <c r="G549" t="s">
        <v>72</v>
      </c>
    </row>
    <row r="550" spans="1:7">
      <c r="A550">
        <v>43301</v>
      </c>
      <c r="B550" t="s">
        <v>52</v>
      </c>
      <c r="C550" t="s">
        <v>45</v>
      </c>
      <c r="D550">
        <v>3</v>
      </c>
      <c r="E550">
        <v>230</v>
      </c>
      <c r="F550">
        <v>0.06</v>
      </c>
      <c r="G550" t="s">
        <v>65</v>
      </c>
    </row>
    <row r="551" spans="1:7">
      <c r="A551">
        <v>43301</v>
      </c>
      <c r="B551" t="s">
        <v>52</v>
      </c>
      <c r="C551" t="s">
        <v>60</v>
      </c>
      <c r="D551">
        <v>3</v>
      </c>
      <c r="E551">
        <v>230</v>
      </c>
      <c r="F551">
        <v>0.01</v>
      </c>
      <c r="G551" t="s">
        <v>68</v>
      </c>
    </row>
    <row r="552" spans="1:7">
      <c r="A552">
        <v>43301</v>
      </c>
      <c r="B552" t="s">
        <v>48</v>
      </c>
      <c r="C552" t="s">
        <v>45</v>
      </c>
      <c r="D552">
        <v>20</v>
      </c>
      <c r="E552">
        <v>40</v>
      </c>
      <c r="F552">
        <v>0.04</v>
      </c>
      <c r="G552" t="s">
        <v>70</v>
      </c>
    </row>
    <row r="553" spans="1:7">
      <c r="A553">
        <v>43301</v>
      </c>
      <c r="B553" t="s">
        <v>44</v>
      </c>
      <c r="C553" t="s">
        <v>57</v>
      </c>
      <c r="D553">
        <v>16</v>
      </c>
      <c r="E553">
        <v>80</v>
      </c>
      <c r="F553">
        <v>0.02</v>
      </c>
      <c r="G553" t="s">
        <v>72</v>
      </c>
    </row>
    <row r="554" spans="1:7">
      <c r="A554">
        <v>43301</v>
      </c>
      <c r="B554" t="s">
        <v>67</v>
      </c>
      <c r="C554" t="s">
        <v>45</v>
      </c>
      <c r="D554">
        <v>8</v>
      </c>
      <c r="E554">
        <v>150</v>
      </c>
      <c r="F554">
        <v>0.09</v>
      </c>
      <c r="G554" t="s">
        <v>65</v>
      </c>
    </row>
    <row r="555" spans="1:7">
      <c r="A555">
        <v>43302</v>
      </c>
      <c r="B555" t="s">
        <v>52</v>
      </c>
      <c r="C555" t="s">
        <v>49</v>
      </c>
      <c r="D555">
        <v>7</v>
      </c>
      <c r="E555">
        <v>230</v>
      </c>
      <c r="F555">
        <v>0.01</v>
      </c>
      <c r="G555" t="s">
        <v>68</v>
      </c>
    </row>
    <row r="556" spans="1:7">
      <c r="A556">
        <v>43302</v>
      </c>
      <c r="B556" t="s">
        <v>67</v>
      </c>
      <c r="C556" t="s">
        <v>49</v>
      </c>
      <c r="D556">
        <v>23</v>
      </c>
      <c r="E556">
        <v>150</v>
      </c>
      <c r="F556">
        <v>0.11</v>
      </c>
      <c r="G556" t="s">
        <v>70</v>
      </c>
    </row>
    <row r="557" spans="1:7">
      <c r="A557">
        <v>43302</v>
      </c>
      <c r="B557" t="s">
        <v>48</v>
      </c>
      <c r="C557" t="s">
        <v>64</v>
      </c>
      <c r="D557">
        <v>16</v>
      </c>
      <c r="E557">
        <v>40</v>
      </c>
      <c r="F557">
        <v>0.09</v>
      </c>
      <c r="G557" t="s">
        <v>72</v>
      </c>
    </row>
    <row r="558" spans="1:7">
      <c r="A558">
        <v>43302</v>
      </c>
      <c r="B558" t="s">
        <v>48</v>
      </c>
      <c r="C558" t="s">
        <v>64</v>
      </c>
      <c r="D558">
        <v>20</v>
      </c>
      <c r="E558">
        <v>40</v>
      </c>
      <c r="F558">
        <v>0.1</v>
      </c>
      <c r="G558" t="s">
        <v>65</v>
      </c>
    </row>
    <row r="559" spans="1:7">
      <c r="A559">
        <v>43302</v>
      </c>
      <c r="B559" t="s">
        <v>48</v>
      </c>
      <c r="C559" t="s">
        <v>49</v>
      </c>
      <c r="D559">
        <v>18</v>
      </c>
      <c r="E559">
        <v>40</v>
      </c>
      <c r="F559">
        <v>0.08</v>
      </c>
      <c r="G559" t="s">
        <v>68</v>
      </c>
    </row>
    <row r="560" spans="1:7">
      <c r="A560">
        <v>43302</v>
      </c>
      <c r="B560" t="s">
        <v>44</v>
      </c>
      <c r="C560" t="s">
        <v>64</v>
      </c>
      <c r="D560">
        <v>22</v>
      </c>
      <c r="E560">
        <v>80</v>
      </c>
      <c r="F560">
        <v>0.09</v>
      </c>
      <c r="G560" t="s">
        <v>70</v>
      </c>
    </row>
    <row r="561" spans="1:7">
      <c r="A561">
        <v>43302</v>
      </c>
      <c r="B561" t="s">
        <v>67</v>
      </c>
      <c r="C561" t="s">
        <v>49</v>
      </c>
      <c r="D561">
        <v>22</v>
      </c>
      <c r="E561">
        <v>150</v>
      </c>
      <c r="F561">
        <v>0.02</v>
      </c>
      <c r="G561" t="s">
        <v>72</v>
      </c>
    </row>
    <row r="562" spans="1:7">
      <c r="A562">
        <v>43302</v>
      </c>
      <c r="B562" t="s">
        <v>67</v>
      </c>
      <c r="C562" t="s">
        <v>49</v>
      </c>
      <c r="D562">
        <v>20</v>
      </c>
      <c r="E562">
        <v>150</v>
      </c>
      <c r="F562">
        <v>0.09</v>
      </c>
      <c r="G562" t="s">
        <v>65</v>
      </c>
    </row>
    <row r="563" spans="1:7">
      <c r="A563">
        <v>43302</v>
      </c>
      <c r="B563" t="s">
        <v>63</v>
      </c>
      <c r="C563" t="s">
        <v>45</v>
      </c>
      <c r="D563">
        <v>10</v>
      </c>
      <c r="E563">
        <v>16</v>
      </c>
      <c r="F563">
        <v>0.08</v>
      </c>
      <c r="G563" t="s">
        <v>68</v>
      </c>
    </row>
    <row r="564" spans="1:7">
      <c r="A564">
        <v>43302</v>
      </c>
      <c r="B564" t="s">
        <v>48</v>
      </c>
      <c r="C564" t="s">
        <v>57</v>
      </c>
      <c r="D564">
        <v>12</v>
      </c>
      <c r="E564">
        <v>40</v>
      </c>
      <c r="F564">
        <v>0.02</v>
      </c>
      <c r="G564" t="s">
        <v>70</v>
      </c>
    </row>
    <row r="565" spans="1:7">
      <c r="A565">
        <v>43302</v>
      </c>
      <c r="B565" t="s">
        <v>67</v>
      </c>
      <c r="C565" t="s">
        <v>45</v>
      </c>
      <c r="D565">
        <v>4</v>
      </c>
      <c r="E565">
        <v>150</v>
      </c>
      <c r="F565">
        <v>0.1</v>
      </c>
      <c r="G565" t="s">
        <v>72</v>
      </c>
    </row>
    <row r="566" spans="1:7">
      <c r="A566">
        <v>43302</v>
      </c>
      <c r="B566" t="s">
        <v>44</v>
      </c>
      <c r="C566" t="s">
        <v>57</v>
      </c>
      <c r="D566">
        <v>5</v>
      </c>
      <c r="E566">
        <v>80</v>
      </c>
      <c r="F566">
        <v>0.09</v>
      </c>
      <c r="G566" t="s">
        <v>65</v>
      </c>
    </row>
    <row r="567" spans="1:7">
      <c r="A567">
        <v>43302</v>
      </c>
      <c r="B567" t="s">
        <v>48</v>
      </c>
      <c r="C567" t="s">
        <v>45</v>
      </c>
      <c r="D567">
        <v>11</v>
      </c>
      <c r="E567">
        <v>40</v>
      </c>
      <c r="F567">
        <v>0.04</v>
      </c>
      <c r="G567" t="s">
        <v>68</v>
      </c>
    </row>
    <row r="568" spans="1:7">
      <c r="A568">
        <v>43302</v>
      </c>
      <c r="B568" t="s">
        <v>67</v>
      </c>
      <c r="C568" t="s">
        <v>49</v>
      </c>
      <c r="D568">
        <v>13</v>
      </c>
      <c r="E568">
        <v>150</v>
      </c>
      <c r="F568">
        <v>0.08</v>
      </c>
      <c r="G568" t="s">
        <v>70</v>
      </c>
    </row>
    <row r="569" spans="1:7">
      <c r="A569">
        <v>43302</v>
      </c>
      <c r="B569" t="s">
        <v>44</v>
      </c>
      <c r="C569" t="s">
        <v>60</v>
      </c>
      <c r="D569">
        <v>19</v>
      </c>
      <c r="E569">
        <v>80</v>
      </c>
      <c r="F569">
        <v>0.02</v>
      </c>
      <c r="G569" t="s">
        <v>72</v>
      </c>
    </row>
    <row r="570" spans="1:7">
      <c r="A570">
        <v>43302</v>
      </c>
      <c r="B570" t="s">
        <v>52</v>
      </c>
      <c r="C570" t="s">
        <v>49</v>
      </c>
      <c r="D570">
        <v>7</v>
      </c>
      <c r="E570">
        <v>230</v>
      </c>
      <c r="F570">
        <v>0.01</v>
      </c>
      <c r="G570" t="s">
        <v>65</v>
      </c>
    </row>
    <row r="571" spans="1:7">
      <c r="A571">
        <v>43303</v>
      </c>
      <c r="B571" t="s">
        <v>44</v>
      </c>
      <c r="C571" t="s">
        <v>64</v>
      </c>
      <c r="D571">
        <v>16</v>
      </c>
      <c r="E571">
        <v>80</v>
      </c>
      <c r="F571">
        <v>0.09</v>
      </c>
      <c r="G571" t="s">
        <v>68</v>
      </c>
    </row>
    <row r="572" spans="1:7">
      <c r="A572">
        <v>43303</v>
      </c>
      <c r="B572" t="s">
        <v>52</v>
      </c>
      <c r="C572" t="s">
        <v>45</v>
      </c>
      <c r="D572">
        <v>7</v>
      </c>
      <c r="E572">
        <v>230</v>
      </c>
      <c r="F572">
        <v>0.02</v>
      </c>
      <c r="G572" t="s">
        <v>70</v>
      </c>
    </row>
    <row r="573" spans="1:7">
      <c r="A573">
        <v>43303</v>
      </c>
      <c r="B573" t="s">
        <v>48</v>
      </c>
      <c r="C573" t="s">
        <v>45</v>
      </c>
      <c r="D573">
        <v>5</v>
      </c>
      <c r="E573">
        <v>40</v>
      </c>
      <c r="F573">
        <v>0.06</v>
      </c>
      <c r="G573" t="s">
        <v>72</v>
      </c>
    </row>
    <row r="574" spans="1:7">
      <c r="A574">
        <v>43303</v>
      </c>
      <c r="B574" t="s">
        <v>67</v>
      </c>
      <c r="C574" t="s">
        <v>57</v>
      </c>
      <c r="D574">
        <v>9</v>
      </c>
      <c r="E574">
        <v>150</v>
      </c>
      <c r="F574">
        <v>0.06</v>
      </c>
      <c r="G574" t="s">
        <v>65</v>
      </c>
    </row>
    <row r="575" spans="1:7">
      <c r="A575">
        <v>43303</v>
      </c>
      <c r="B575" t="s">
        <v>48</v>
      </c>
      <c r="C575" t="s">
        <v>64</v>
      </c>
      <c r="D575">
        <v>20</v>
      </c>
      <c r="E575">
        <v>40</v>
      </c>
      <c r="F575">
        <v>0.07</v>
      </c>
      <c r="G575" t="s">
        <v>68</v>
      </c>
    </row>
    <row r="576" spans="1:7">
      <c r="A576">
        <v>43303</v>
      </c>
      <c r="B576" t="s">
        <v>63</v>
      </c>
      <c r="C576" t="s">
        <v>49</v>
      </c>
      <c r="D576">
        <v>20</v>
      </c>
      <c r="E576">
        <v>16</v>
      </c>
      <c r="F576">
        <v>0.06</v>
      </c>
      <c r="G576" t="s">
        <v>70</v>
      </c>
    </row>
    <row r="577" spans="1:7">
      <c r="A577">
        <v>43303</v>
      </c>
      <c r="B577" t="s">
        <v>48</v>
      </c>
      <c r="C577" t="s">
        <v>64</v>
      </c>
      <c r="D577">
        <v>5</v>
      </c>
      <c r="E577">
        <v>40</v>
      </c>
      <c r="F577">
        <v>0.03</v>
      </c>
      <c r="G577" t="s">
        <v>72</v>
      </c>
    </row>
    <row r="578" spans="1:7">
      <c r="A578">
        <v>43304</v>
      </c>
      <c r="B578" t="s">
        <v>44</v>
      </c>
      <c r="C578" t="s">
        <v>60</v>
      </c>
      <c r="D578">
        <v>7</v>
      </c>
      <c r="E578">
        <v>80</v>
      </c>
      <c r="F578">
        <v>0.07</v>
      </c>
      <c r="G578" t="s">
        <v>65</v>
      </c>
    </row>
    <row r="579" spans="1:7">
      <c r="A579">
        <v>43304</v>
      </c>
      <c r="B579" t="s">
        <v>63</v>
      </c>
      <c r="C579" t="s">
        <v>64</v>
      </c>
      <c r="D579">
        <v>22</v>
      </c>
      <c r="E579">
        <v>16</v>
      </c>
      <c r="F579">
        <v>0.12</v>
      </c>
      <c r="G579" t="s">
        <v>68</v>
      </c>
    </row>
    <row r="580" spans="1:7">
      <c r="A580">
        <v>43304</v>
      </c>
      <c r="B580" t="s">
        <v>63</v>
      </c>
      <c r="C580" t="s">
        <v>64</v>
      </c>
      <c r="D580">
        <v>11</v>
      </c>
      <c r="E580">
        <v>16</v>
      </c>
      <c r="F580">
        <v>0.12</v>
      </c>
      <c r="G580" t="s">
        <v>70</v>
      </c>
    </row>
    <row r="581" spans="1:7">
      <c r="A581">
        <v>43304</v>
      </c>
      <c r="B581" t="s">
        <v>52</v>
      </c>
      <c r="C581" t="s">
        <v>60</v>
      </c>
      <c r="D581">
        <v>17</v>
      </c>
      <c r="E581">
        <v>230</v>
      </c>
      <c r="F581">
        <v>0.12</v>
      </c>
      <c r="G581" t="s">
        <v>72</v>
      </c>
    </row>
    <row r="582" spans="1:7">
      <c r="A582">
        <v>43304</v>
      </c>
      <c r="B582" t="s">
        <v>44</v>
      </c>
      <c r="C582" t="s">
        <v>45</v>
      </c>
      <c r="D582">
        <v>7</v>
      </c>
      <c r="E582">
        <v>80</v>
      </c>
      <c r="F582">
        <v>0.02</v>
      </c>
      <c r="G582" t="s">
        <v>65</v>
      </c>
    </row>
    <row r="583" spans="1:7">
      <c r="A583">
        <v>43304</v>
      </c>
      <c r="B583" t="s">
        <v>63</v>
      </c>
      <c r="C583" t="s">
        <v>49</v>
      </c>
      <c r="D583">
        <v>5</v>
      </c>
      <c r="E583">
        <v>16</v>
      </c>
      <c r="F583">
        <v>0.11</v>
      </c>
      <c r="G583" t="s">
        <v>68</v>
      </c>
    </row>
    <row r="584" spans="1:7">
      <c r="A584">
        <v>43304</v>
      </c>
      <c r="B584" t="s">
        <v>67</v>
      </c>
      <c r="C584" t="s">
        <v>64</v>
      </c>
      <c r="D584">
        <v>18</v>
      </c>
      <c r="E584">
        <v>150</v>
      </c>
      <c r="F584">
        <v>0.12</v>
      </c>
      <c r="G584" t="s">
        <v>70</v>
      </c>
    </row>
    <row r="585" spans="1:7">
      <c r="A585">
        <v>43304</v>
      </c>
      <c r="B585" t="s">
        <v>48</v>
      </c>
      <c r="C585" t="s">
        <v>64</v>
      </c>
      <c r="D585">
        <v>10</v>
      </c>
      <c r="E585">
        <v>40</v>
      </c>
      <c r="F585">
        <v>0.03</v>
      </c>
      <c r="G585" t="s">
        <v>72</v>
      </c>
    </row>
    <row r="586" spans="1:7">
      <c r="A586">
        <v>43304</v>
      </c>
      <c r="B586" t="s">
        <v>48</v>
      </c>
      <c r="C586" t="s">
        <v>64</v>
      </c>
      <c r="D586">
        <v>14</v>
      </c>
      <c r="E586">
        <v>40</v>
      </c>
      <c r="F586">
        <v>0.11</v>
      </c>
      <c r="G586" t="s">
        <v>65</v>
      </c>
    </row>
    <row r="587" spans="1:7">
      <c r="A587">
        <v>43304</v>
      </c>
      <c r="B587" t="s">
        <v>48</v>
      </c>
      <c r="C587" t="s">
        <v>64</v>
      </c>
      <c r="D587">
        <v>16</v>
      </c>
      <c r="E587">
        <v>40</v>
      </c>
      <c r="F587">
        <v>0.09</v>
      </c>
      <c r="G587" t="s">
        <v>68</v>
      </c>
    </row>
    <row r="588" spans="1:7">
      <c r="A588">
        <v>43305</v>
      </c>
      <c r="B588" t="s">
        <v>48</v>
      </c>
      <c r="C588" t="s">
        <v>60</v>
      </c>
      <c r="D588">
        <v>23</v>
      </c>
      <c r="E588">
        <v>40</v>
      </c>
      <c r="F588">
        <v>0.06</v>
      </c>
      <c r="G588" t="s">
        <v>70</v>
      </c>
    </row>
    <row r="589" spans="1:7">
      <c r="A589">
        <v>43305</v>
      </c>
      <c r="B589" t="s">
        <v>52</v>
      </c>
      <c r="C589" t="s">
        <v>60</v>
      </c>
      <c r="D589">
        <v>8</v>
      </c>
      <c r="E589">
        <v>230</v>
      </c>
      <c r="F589">
        <v>0.05</v>
      </c>
      <c r="G589" t="s">
        <v>72</v>
      </c>
    </row>
    <row r="590" spans="1:7">
      <c r="A590">
        <v>43305</v>
      </c>
      <c r="B590" t="s">
        <v>63</v>
      </c>
      <c r="C590" t="s">
        <v>60</v>
      </c>
      <c r="D590">
        <v>14</v>
      </c>
      <c r="E590">
        <v>16</v>
      </c>
      <c r="F590">
        <v>0.12</v>
      </c>
      <c r="G590" t="s">
        <v>65</v>
      </c>
    </row>
    <row r="591" spans="1:7">
      <c r="A591">
        <v>43305</v>
      </c>
      <c r="B591" t="s">
        <v>44</v>
      </c>
      <c r="C591" t="s">
        <v>45</v>
      </c>
      <c r="D591">
        <v>17</v>
      </c>
      <c r="E591">
        <v>80</v>
      </c>
      <c r="F591">
        <v>0.09</v>
      </c>
      <c r="G591" t="s">
        <v>68</v>
      </c>
    </row>
    <row r="592" spans="1:7">
      <c r="A592">
        <v>43305</v>
      </c>
      <c r="B592" t="s">
        <v>67</v>
      </c>
      <c r="C592" t="s">
        <v>57</v>
      </c>
      <c r="D592">
        <v>11</v>
      </c>
      <c r="E592">
        <v>150</v>
      </c>
      <c r="F592">
        <v>0.11</v>
      </c>
      <c r="G592" t="s">
        <v>70</v>
      </c>
    </row>
    <row r="593" spans="1:7">
      <c r="A593">
        <v>43305</v>
      </c>
      <c r="B593" t="s">
        <v>48</v>
      </c>
      <c r="C593" t="s">
        <v>60</v>
      </c>
      <c r="D593">
        <v>15</v>
      </c>
      <c r="E593">
        <v>40</v>
      </c>
      <c r="F593">
        <v>0.03</v>
      </c>
      <c r="G593" t="s">
        <v>72</v>
      </c>
    </row>
    <row r="594" spans="1:7">
      <c r="A594">
        <v>43305</v>
      </c>
      <c r="B594" t="s">
        <v>44</v>
      </c>
      <c r="C594" t="s">
        <v>64</v>
      </c>
      <c r="D594">
        <v>9</v>
      </c>
      <c r="E594">
        <v>80</v>
      </c>
      <c r="F594">
        <v>0.07</v>
      </c>
      <c r="G594" t="s">
        <v>65</v>
      </c>
    </row>
    <row r="595" spans="1:7">
      <c r="A595">
        <v>43305</v>
      </c>
      <c r="B595" t="s">
        <v>52</v>
      </c>
      <c r="C595" t="s">
        <v>49</v>
      </c>
      <c r="D595">
        <v>22</v>
      </c>
      <c r="E595">
        <v>230</v>
      </c>
      <c r="F595">
        <v>0.04</v>
      </c>
      <c r="G595" t="s">
        <v>68</v>
      </c>
    </row>
    <row r="596" spans="1:7">
      <c r="A596">
        <v>43305</v>
      </c>
      <c r="B596" t="s">
        <v>52</v>
      </c>
      <c r="C596" t="s">
        <v>49</v>
      </c>
      <c r="D596">
        <v>11</v>
      </c>
      <c r="E596">
        <v>230</v>
      </c>
      <c r="F596">
        <v>0.1</v>
      </c>
      <c r="G596" t="s">
        <v>70</v>
      </c>
    </row>
    <row r="597" spans="1:7">
      <c r="A597">
        <v>43305</v>
      </c>
      <c r="B597" t="s">
        <v>48</v>
      </c>
      <c r="C597" t="s">
        <v>57</v>
      </c>
      <c r="D597">
        <v>11</v>
      </c>
      <c r="E597">
        <v>40</v>
      </c>
      <c r="F597">
        <v>0.12</v>
      </c>
      <c r="G597" t="s">
        <v>72</v>
      </c>
    </row>
    <row r="598" spans="1:7">
      <c r="A598">
        <v>43305</v>
      </c>
      <c r="B598" t="s">
        <v>48</v>
      </c>
      <c r="C598" t="s">
        <v>60</v>
      </c>
      <c r="D598">
        <v>9</v>
      </c>
      <c r="E598">
        <v>40</v>
      </c>
      <c r="F598">
        <v>0.06</v>
      </c>
      <c r="G598" t="s">
        <v>65</v>
      </c>
    </row>
    <row r="599" spans="1:7">
      <c r="A599">
        <v>43306</v>
      </c>
      <c r="B599" t="s">
        <v>48</v>
      </c>
      <c r="C599" t="s">
        <v>60</v>
      </c>
      <c r="D599">
        <v>13</v>
      </c>
      <c r="E599">
        <v>40</v>
      </c>
      <c r="F599">
        <v>0.09</v>
      </c>
      <c r="G599" t="s">
        <v>68</v>
      </c>
    </row>
    <row r="600" spans="1:7">
      <c r="A600">
        <v>43306</v>
      </c>
      <c r="B600" t="s">
        <v>48</v>
      </c>
      <c r="C600" t="s">
        <v>49</v>
      </c>
      <c r="D600">
        <v>4</v>
      </c>
      <c r="E600">
        <v>40</v>
      </c>
      <c r="F600">
        <v>0.12</v>
      </c>
      <c r="G600" t="s">
        <v>70</v>
      </c>
    </row>
    <row r="601" spans="1:7">
      <c r="A601">
        <v>43306</v>
      </c>
      <c r="B601" t="s">
        <v>67</v>
      </c>
      <c r="C601" t="s">
        <v>45</v>
      </c>
      <c r="D601">
        <v>22</v>
      </c>
      <c r="E601">
        <v>150</v>
      </c>
      <c r="F601">
        <v>0.05</v>
      </c>
      <c r="G601" t="s">
        <v>72</v>
      </c>
    </row>
    <row r="602" spans="1:7">
      <c r="A602">
        <v>43306</v>
      </c>
      <c r="B602" t="s">
        <v>48</v>
      </c>
      <c r="C602" t="s">
        <v>64</v>
      </c>
      <c r="D602">
        <v>21</v>
      </c>
      <c r="E602">
        <v>40</v>
      </c>
      <c r="F602">
        <v>0.01</v>
      </c>
      <c r="G602" t="s">
        <v>65</v>
      </c>
    </row>
    <row r="603" spans="1:7">
      <c r="A603">
        <v>43306</v>
      </c>
      <c r="B603" t="s">
        <v>63</v>
      </c>
      <c r="C603" t="s">
        <v>45</v>
      </c>
      <c r="D603">
        <v>16</v>
      </c>
      <c r="E603">
        <v>16</v>
      </c>
      <c r="F603">
        <v>0.03</v>
      </c>
      <c r="G603" t="s">
        <v>68</v>
      </c>
    </row>
    <row r="604" spans="1:7">
      <c r="A604">
        <v>43306</v>
      </c>
      <c r="B604" t="s">
        <v>44</v>
      </c>
      <c r="C604" t="s">
        <v>60</v>
      </c>
      <c r="D604">
        <v>16</v>
      </c>
      <c r="E604">
        <v>80</v>
      </c>
      <c r="F604">
        <v>0.07</v>
      </c>
      <c r="G604" t="s">
        <v>70</v>
      </c>
    </row>
    <row r="605" spans="1:7">
      <c r="A605">
        <v>43306</v>
      </c>
      <c r="B605" t="s">
        <v>44</v>
      </c>
      <c r="C605" t="s">
        <v>49</v>
      </c>
      <c r="D605">
        <v>15</v>
      </c>
      <c r="E605">
        <v>80</v>
      </c>
      <c r="F605">
        <v>0.12</v>
      </c>
      <c r="G605" t="s">
        <v>72</v>
      </c>
    </row>
    <row r="606" spans="1:7">
      <c r="A606">
        <v>43306</v>
      </c>
      <c r="B606" t="s">
        <v>67</v>
      </c>
      <c r="C606" t="s">
        <v>45</v>
      </c>
      <c r="D606">
        <v>20</v>
      </c>
      <c r="E606">
        <v>150</v>
      </c>
      <c r="F606">
        <v>0.03</v>
      </c>
      <c r="G606" t="s">
        <v>65</v>
      </c>
    </row>
    <row r="607" spans="1:7">
      <c r="A607">
        <v>43306</v>
      </c>
      <c r="B607" t="s">
        <v>48</v>
      </c>
      <c r="C607" t="s">
        <v>60</v>
      </c>
      <c r="D607">
        <v>13</v>
      </c>
      <c r="E607">
        <v>40</v>
      </c>
      <c r="F607">
        <v>0.06</v>
      </c>
      <c r="G607" t="s">
        <v>68</v>
      </c>
    </row>
    <row r="608" spans="1:7">
      <c r="A608">
        <v>43306</v>
      </c>
      <c r="B608" t="s">
        <v>63</v>
      </c>
      <c r="C608" t="s">
        <v>64</v>
      </c>
      <c r="D608">
        <v>3</v>
      </c>
      <c r="E608">
        <v>16</v>
      </c>
      <c r="F608">
        <v>0.06</v>
      </c>
      <c r="G608" t="s">
        <v>70</v>
      </c>
    </row>
    <row r="609" spans="1:7">
      <c r="A609">
        <v>43306</v>
      </c>
      <c r="B609" t="s">
        <v>63</v>
      </c>
      <c r="C609" t="s">
        <v>57</v>
      </c>
      <c r="D609">
        <v>11</v>
      </c>
      <c r="E609">
        <v>16</v>
      </c>
      <c r="F609">
        <v>0.04</v>
      </c>
      <c r="G609" t="s">
        <v>72</v>
      </c>
    </row>
    <row r="610" spans="1:7">
      <c r="A610">
        <v>43307</v>
      </c>
      <c r="B610" t="s">
        <v>48</v>
      </c>
      <c r="C610" t="s">
        <v>64</v>
      </c>
      <c r="D610">
        <v>16</v>
      </c>
      <c r="E610">
        <v>40</v>
      </c>
      <c r="F610">
        <v>0.09</v>
      </c>
      <c r="G610" t="s">
        <v>65</v>
      </c>
    </row>
    <row r="611" spans="1:7">
      <c r="A611">
        <v>43307</v>
      </c>
      <c r="B611" t="s">
        <v>48</v>
      </c>
      <c r="C611" t="s">
        <v>57</v>
      </c>
      <c r="D611">
        <v>4</v>
      </c>
      <c r="E611">
        <v>40</v>
      </c>
      <c r="F611">
        <v>0.06</v>
      </c>
      <c r="G611" t="s">
        <v>68</v>
      </c>
    </row>
    <row r="612" spans="1:7">
      <c r="A612">
        <v>43307</v>
      </c>
      <c r="B612" t="s">
        <v>48</v>
      </c>
      <c r="C612" t="s">
        <v>57</v>
      </c>
      <c r="D612">
        <v>20</v>
      </c>
      <c r="E612">
        <v>40</v>
      </c>
      <c r="F612">
        <v>0.01</v>
      </c>
      <c r="G612" t="s">
        <v>70</v>
      </c>
    </row>
    <row r="613" spans="1:7">
      <c r="A613">
        <v>43307</v>
      </c>
      <c r="B613" t="s">
        <v>48</v>
      </c>
      <c r="C613" t="s">
        <v>57</v>
      </c>
      <c r="D613">
        <v>4</v>
      </c>
      <c r="E613">
        <v>40</v>
      </c>
      <c r="F613">
        <v>0.1</v>
      </c>
      <c r="G613" t="s">
        <v>72</v>
      </c>
    </row>
    <row r="614" spans="1:7">
      <c r="A614">
        <v>43307</v>
      </c>
      <c r="B614" t="s">
        <v>44</v>
      </c>
      <c r="C614" t="s">
        <v>49</v>
      </c>
      <c r="D614">
        <v>14</v>
      </c>
      <c r="E614">
        <v>80</v>
      </c>
      <c r="F614">
        <v>0.06</v>
      </c>
      <c r="G614" t="s">
        <v>65</v>
      </c>
    </row>
    <row r="615" spans="1:7">
      <c r="A615">
        <v>43307</v>
      </c>
      <c r="B615" t="s">
        <v>67</v>
      </c>
      <c r="C615" t="s">
        <v>49</v>
      </c>
      <c r="D615">
        <v>15</v>
      </c>
      <c r="E615">
        <v>150</v>
      </c>
      <c r="F615">
        <v>0.02</v>
      </c>
      <c r="G615" t="s">
        <v>68</v>
      </c>
    </row>
    <row r="616" spans="1:7">
      <c r="A616">
        <v>43307</v>
      </c>
      <c r="B616" t="s">
        <v>44</v>
      </c>
      <c r="C616" t="s">
        <v>57</v>
      </c>
      <c r="D616">
        <v>14</v>
      </c>
      <c r="E616">
        <v>80</v>
      </c>
      <c r="F616">
        <v>0.1</v>
      </c>
      <c r="G616" t="s">
        <v>70</v>
      </c>
    </row>
    <row r="617" spans="1:7">
      <c r="A617">
        <v>43307</v>
      </c>
      <c r="B617" t="s">
        <v>67</v>
      </c>
      <c r="C617" t="s">
        <v>45</v>
      </c>
      <c r="D617">
        <v>20</v>
      </c>
      <c r="E617">
        <v>150</v>
      </c>
      <c r="F617">
        <v>0.04</v>
      </c>
      <c r="G617" t="s">
        <v>72</v>
      </c>
    </row>
    <row r="618" spans="1:7">
      <c r="A618">
        <v>43307</v>
      </c>
      <c r="B618" t="s">
        <v>44</v>
      </c>
      <c r="C618" t="s">
        <v>64</v>
      </c>
      <c r="D618">
        <v>22</v>
      </c>
      <c r="E618">
        <v>80</v>
      </c>
      <c r="F618">
        <v>0.1</v>
      </c>
      <c r="G618" t="s">
        <v>65</v>
      </c>
    </row>
    <row r="619" spans="1:7">
      <c r="A619">
        <v>43307</v>
      </c>
      <c r="B619" t="s">
        <v>52</v>
      </c>
      <c r="C619" t="s">
        <v>64</v>
      </c>
      <c r="D619">
        <v>20</v>
      </c>
      <c r="E619">
        <v>230</v>
      </c>
      <c r="F619">
        <v>0.09</v>
      </c>
      <c r="G619" t="s">
        <v>68</v>
      </c>
    </row>
    <row r="620" spans="1:7">
      <c r="A620">
        <v>43307</v>
      </c>
      <c r="B620" t="s">
        <v>52</v>
      </c>
      <c r="C620" t="s">
        <v>57</v>
      </c>
      <c r="D620">
        <v>12</v>
      </c>
      <c r="E620">
        <v>230</v>
      </c>
      <c r="F620">
        <v>0.03</v>
      </c>
      <c r="G620" t="s">
        <v>70</v>
      </c>
    </row>
    <row r="621" spans="1:7">
      <c r="A621">
        <v>43308</v>
      </c>
      <c r="B621" t="s">
        <v>44</v>
      </c>
      <c r="C621" t="s">
        <v>45</v>
      </c>
      <c r="D621">
        <v>21</v>
      </c>
      <c r="E621">
        <v>80</v>
      </c>
      <c r="F621">
        <v>0.04</v>
      </c>
      <c r="G621" t="s">
        <v>72</v>
      </c>
    </row>
    <row r="622" spans="1:7">
      <c r="A622">
        <v>43308</v>
      </c>
      <c r="B622" t="s">
        <v>48</v>
      </c>
      <c r="C622" t="s">
        <v>49</v>
      </c>
      <c r="D622">
        <v>15</v>
      </c>
      <c r="E622">
        <v>40</v>
      </c>
      <c r="F622">
        <v>0.04</v>
      </c>
      <c r="G622" t="s">
        <v>65</v>
      </c>
    </row>
    <row r="623" spans="1:7">
      <c r="A623">
        <v>43308</v>
      </c>
      <c r="B623" t="s">
        <v>44</v>
      </c>
      <c r="C623" t="s">
        <v>60</v>
      </c>
      <c r="D623">
        <v>16</v>
      </c>
      <c r="E623">
        <v>80</v>
      </c>
      <c r="F623">
        <v>0.1</v>
      </c>
      <c r="G623" t="s">
        <v>68</v>
      </c>
    </row>
    <row r="624" spans="1:7">
      <c r="A624">
        <v>43308</v>
      </c>
      <c r="B624" t="s">
        <v>52</v>
      </c>
      <c r="C624" t="s">
        <v>64</v>
      </c>
      <c r="D624">
        <v>17</v>
      </c>
      <c r="E624">
        <v>230</v>
      </c>
      <c r="F624">
        <v>0.11</v>
      </c>
      <c r="G624" t="s">
        <v>70</v>
      </c>
    </row>
    <row r="625" spans="1:7">
      <c r="A625">
        <v>43308</v>
      </c>
      <c r="B625" t="s">
        <v>52</v>
      </c>
      <c r="C625" t="s">
        <v>64</v>
      </c>
      <c r="D625">
        <v>5</v>
      </c>
      <c r="E625">
        <v>230</v>
      </c>
      <c r="F625">
        <v>0.12</v>
      </c>
      <c r="G625" t="s">
        <v>72</v>
      </c>
    </row>
    <row r="626" spans="1:7">
      <c r="A626">
        <v>43308</v>
      </c>
      <c r="B626" t="s">
        <v>63</v>
      </c>
      <c r="C626" t="s">
        <v>45</v>
      </c>
      <c r="D626">
        <v>20</v>
      </c>
      <c r="E626">
        <v>16</v>
      </c>
      <c r="F626">
        <v>0.01</v>
      </c>
      <c r="G626" t="s">
        <v>65</v>
      </c>
    </row>
    <row r="627" spans="1:7">
      <c r="A627">
        <v>43308</v>
      </c>
      <c r="B627" t="s">
        <v>52</v>
      </c>
      <c r="C627" t="s">
        <v>45</v>
      </c>
      <c r="D627">
        <v>5</v>
      </c>
      <c r="E627">
        <v>230</v>
      </c>
      <c r="F627">
        <v>0.1</v>
      </c>
      <c r="G627" t="s">
        <v>68</v>
      </c>
    </row>
    <row r="628" spans="1:7">
      <c r="A628">
        <v>43308</v>
      </c>
      <c r="B628" t="s">
        <v>48</v>
      </c>
      <c r="C628" t="s">
        <v>49</v>
      </c>
      <c r="D628">
        <v>8</v>
      </c>
      <c r="E628">
        <v>40</v>
      </c>
      <c r="F628">
        <v>0.09</v>
      </c>
      <c r="G628" t="s">
        <v>70</v>
      </c>
    </row>
    <row r="629" spans="1:7">
      <c r="A629">
        <v>43308</v>
      </c>
      <c r="B629" t="s">
        <v>63</v>
      </c>
      <c r="C629" t="s">
        <v>45</v>
      </c>
      <c r="D629">
        <v>7</v>
      </c>
      <c r="E629">
        <v>16</v>
      </c>
      <c r="F629">
        <v>0.02</v>
      </c>
      <c r="G629" t="s">
        <v>72</v>
      </c>
    </row>
    <row r="630" spans="1:7">
      <c r="A630">
        <v>43308</v>
      </c>
      <c r="B630" t="s">
        <v>67</v>
      </c>
      <c r="C630" t="s">
        <v>60</v>
      </c>
      <c r="D630">
        <v>15</v>
      </c>
      <c r="E630">
        <v>150</v>
      </c>
      <c r="F630">
        <v>0.08</v>
      </c>
      <c r="G630" t="s">
        <v>65</v>
      </c>
    </row>
    <row r="631" spans="1:7">
      <c r="A631">
        <v>43308</v>
      </c>
      <c r="B631" t="s">
        <v>52</v>
      </c>
      <c r="C631" t="s">
        <v>64</v>
      </c>
      <c r="D631">
        <v>20</v>
      </c>
      <c r="E631">
        <v>230</v>
      </c>
      <c r="F631">
        <v>0.11</v>
      </c>
      <c r="G631" t="s">
        <v>68</v>
      </c>
    </row>
    <row r="632" spans="1:7">
      <c r="A632">
        <v>43308</v>
      </c>
      <c r="B632" t="s">
        <v>63</v>
      </c>
      <c r="C632" t="s">
        <v>49</v>
      </c>
      <c r="D632">
        <v>4</v>
      </c>
      <c r="E632">
        <v>16</v>
      </c>
      <c r="F632">
        <v>0.09</v>
      </c>
      <c r="G632" t="s">
        <v>70</v>
      </c>
    </row>
    <row r="633" spans="1:7">
      <c r="A633">
        <v>43308</v>
      </c>
      <c r="B633" t="s">
        <v>48</v>
      </c>
      <c r="C633" t="s">
        <v>60</v>
      </c>
      <c r="D633">
        <v>11</v>
      </c>
      <c r="E633">
        <v>40</v>
      </c>
      <c r="F633">
        <v>0.09</v>
      </c>
      <c r="G633" t="s">
        <v>72</v>
      </c>
    </row>
    <row r="634" spans="1:7">
      <c r="A634">
        <v>43308</v>
      </c>
      <c r="B634" t="s">
        <v>67</v>
      </c>
      <c r="C634" t="s">
        <v>57</v>
      </c>
      <c r="D634">
        <v>15</v>
      </c>
      <c r="E634">
        <v>150</v>
      </c>
      <c r="F634">
        <v>0.05</v>
      </c>
      <c r="G634" t="s">
        <v>65</v>
      </c>
    </row>
    <row r="635" spans="1:7">
      <c r="A635">
        <v>43308</v>
      </c>
      <c r="B635" t="s">
        <v>52</v>
      </c>
      <c r="C635" t="s">
        <v>57</v>
      </c>
      <c r="D635">
        <v>5</v>
      </c>
      <c r="E635">
        <v>230</v>
      </c>
      <c r="F635">
        <v>0.01</v>
      </c>
      <c r="G635" t="s">
        <v>68</v>
      </c>
    </row>
    <row r="636" spans="1:7">
      <c r="A636">
        <v>43308</v>
      </c>
      <c r="B636" t="s">
        <v>52</v>
      </c>
      <c r="C636" t="s">
        <v>57</v>
      </c>
      <c r="D636">
        <v>14</v>
      </c>
      <c r="E636">
        <v>230</v>
      </c>
      <c r="F636">
        <v>0.03</v>
      </c>
      <c r="G636" t="s">
        <v>70</v>
      </c>
    </row>
    <row r="637" spans="1:7">
      <c r="A637">
        <v>43308</v>
      </c>
      <c r="B637" t="s">
        <v>48</v>
      </c>
      <c r="C637" t="s">
        <v>64</v>
      </c>
      <c r="D637">
        <v>23</v>
      </c>
      <c r="E637">
        <v>40</v>
      </c>
      <c r="F637">
        <v>0.05</v>
      </c>
      <c r="G637" t="s">
        <v>72</v>
      </c>
    </row>
    <row r="638" spans="1:7">
      <c r="A638">
        <v>43308</v>
      </c>
      <c r="B638" t="s">
        <v>44</v>
      </c>
      <c r="C638" t="s">
        <v>60</v>
      </c>
      <c r="D638">
        <v>22</v>
      </c>
      <c r="E638">
        <v>80</v>
      </c>
      <c r="F638">
        <v>0.03</v>
      </c>
      <c r="G638" t="s">
        <v>65</v>
      </c>
    </row>
    <row r="639" spans="1:7">
      <c r="A639">
        <v>43309</v>
      </c>
      <c r="B639" t="s">
        <v>52</v>
      </c>
      <c r="C639" t="s">
        <v>57</v>
      </c>
      <c r="D639">
        <v>20</v>
      </c>
      <c r="E639">
        <v>230</v>
      </c>
      <c r="F639">
        <v>0.06</v>
      </c>
      <c r="G639" t="s">
        <v>68</v>
      </c>
    </row>
    <row r="640" spans="1:7">
      <c r="A640">
        <v>43309</v>
      </c>
      <c r="B640" t="s">
        <v>52</v>
      </c>
      <c r="C640" t="s">
        <v>49</v>
      </c>
      <c r="D640">
        <v>15</v>
      </c>
      <c r="E640">
        <v>230</v>
      </c>
      <c r="F640">
        <v>0.09</v>
      </c>
      <c r="G640" t="s">
        <v>70</v>
      </c>
    </row>
    <row r="641" spans="1:7">
      <c r="A641">
        <v>43309</v>
      </c>
      <c r="B641" t="s">
        <v>67</v>
      </c>
      <c r="C641" t="s">
        <v>57</v>
      </c>
      <c r="D641">
        <v>18</v>
      </c>
      <c r="E641">
        <v>150</v>
      </c>
      <c r="F641">
        <v>0.06</v>
      </c>
      <c r="G641" t="s">
        <v>72</v>
      </c>
    </row>
    <row r="642" spans="1:7">
      <c r="A642">
        <v>43309</v>
      </c>
      <c r="B642" t="s">
        <v>52</v>
      </c>
      <c r="C642" t="s">
        <v>45</v>
      </c>
      <c r="D642">
        <v>3</v>
      </c>
      <c r="E642">
        <v>230</v>
      </c>
      <c r="F642">
        <v>0.11</v>
      </c>
      <c r="G642" t="s">
        <v>65</v>
      </c>
    </row>
    <row r="643" spans="1:7">
      <c r="A643">
        <v>43309</v>
      </c>
      <c r="B643" t="s">
        <v>67</v>
      </c>
      <c r="C643" t="s">
        <v>64</v>
      </c>
      <c r="D643">
        <v>11</v>
      </c>
      <c r="E643">
        <v>150</v>
      </c>
      <c r="F643">
        <v>0.09</v>
      </c>
      <c r="G643" t="s">
        <v>68</v>
      </c>
    </row>
    <row r="644" spans="1:7">
      <c r="A644">
        <v>43309</v>
      </c>
      <c r="B644" t="s">
        <v>52</v>
      </c>
      <c r="C644" t="s">
        <v>45</v>
      </c>
      <c r="D644">
        <v>11</v>
      </c>
      <c r="E644">
        <v>230</v>
      </c>
      <c r="F644">
        <v>0.02</v>
      </c>
      <c r="G644" t="s">
        <v>70</v>
      </c>
    </row>
    <row r="645" spans="1:7">
      <c r="A645">
        <v>43309</v>
      </c>
      <c r="B645" t="s">
        <v>52</v>
      </c>
      <c r="C645" t="s">
        <v>64</v>
      </c>
      <c r="D645">
        <v>13</v>
      </c>
      <c r="E645">
        <v>230</v>
      </c>
      <c r="F645">
        <v>0.06</v>
      </c>
      <c r="G645" t="s">
        <v>72</v>
      </c>
    </row>
    <row r="646" spans="1:7">
      <c r="A646">
        <v>43310</v>
      </c>
      <c r="B646" t="s">
        <v>44</v>
      </c>
      <c r="C646" t="s">
        <v>60</v>
      </c>
      <c r="D646">
        <v>11</v>
      </c>
      <c r="E646">
        <v>80</v>
      </c>
      <c r="F646">
        <v>0.01</v>
      </c>
      <c r="G646" t="s">
        <v>65</v>
      </c>
    </row>
    <row r="647" spans="1:7">
      <c r="A647">
        <v>43310</v>
      </c>
      <c r="B647" t="s">
        <v>44</v>
      </c>
      <c r="C647" t="s">
        <v>64</v>
      </c>
      <c r="D647">
        <v>17</v>
      </c>
      <c r="E647">
        <v>80</v>
      </c>
      <c r="F647">
        <v>0.07</v>
      </c>
      <c r="G647" t="s">
        <v>68</v>
      </c>
    </row>
    <row r="648" spans="1:7">
      <c r="A648">
        <v>43310</v>
      </c>
      <c r="B648" t="s">
        <v>67</v>
      </c>
      <c r="C648" t="s">
        <v>64</v>
      </c>
      <c r="D648">
        <v>15</v>
      </c>
      <c r="E648">
        <v>150</v>
      </c>
      <c r="F648">
        <v>0.07</v>
      </c>
      <c r="G648" t="s">
        <v>70</v>
      </c>
    </row>
    <row r="649" spans="1:7">
      <c r="A649">
        <v>43310</v>
      </c>
      <c r="B649" t="s">
        <v>63</v>
      </c>
      <c r="C649" t="s">
        <v>64</v>
      </c>
      <c r="D649">
        <v>14</v>
      </c>
      <c r="E649">
        <v>16</v>
      </c>
      <c r="F649">
        <v>0.06</v>
      </c>
      <c r="G649" t="s">
        <v>72</v>
      </c>
    </row>
    <row r="650" spans="1:7">
      <c r="A650">
        <v>43310</v>
      </c>
      <c r="B650" t="s">
        <v>63</v>
      </c>
      <c r="C650" t="s">
        <v>49</v>
      </c>
      <c r="D650">
        <v>4</v>
      </c>
      <c r="E650">
        <v>16</v>
      </c>
      <c r="F650">
        <v>0.07</v>
      </c>
      <c r="G650" t="s">
        <v>65</v>
      </c>
    </row>
    <row r="651" spans="1:7">
      <c r="A651">
        <v>43310</v>
      </c>
      <c r="B651" t="s">
        <v>67</v>
      </c>
      <c r="C651" t="s">
        <v>64</v>
      </c>
      <c r="D651">
        <v>23</v>
      </c>
      <c r="E651">
        <v>150</v>
      </c>
      <c r="F651">
        <v>0.08</v>
      </c>
      <c r="G651" t="s">
        <v>68</v>
      </c>
    </row>
    <row r="652" spans="1:7">
      <c r="A652">
        <v>43310</v>
      </c>
      <c r="B652" t="s">
        <v>44</v>
      </c>
      <c r="C652" t="s">
        <v>57</v>
      </c>
      <c r="D652">
        <v>10</v>
      </c>
      <c r="E652">
        <v>80</v>
      </c>
      <c r="F652">
        <v>0.11</v>
      </c>
      <c r="G652" t="s">
        <v>70</v>
      </c>
    </row>
    <row r="653" spans="1:7">
      <c r="A653">
        <v>43310</v>
      </c>
      <c r="B653" t="s">
        <v>52</v>
      </c>
      <c r="C653" t="s">
        <v>57</v>
      </c>
      <c r="D653">
        <v>7</v>
      </c>
      <c r="E653">
        <v>230</v>
      </c>
      <c r="F653">
        <v>0.01</v>
      </c>
      <c r="G653" t="s">
        <v>72</v>
      </c>
    </row>
    <row r="654" spans="1:7">
      <c r="A654">
        <v>43310</v>
      </c>
      <c r="B654" t="s">
        <v>52</v>
      </c>
      <c r="C654" t="s">
        <v>45</v>
      </c>
      <c r="D654">
        <v>16</v>
      </c>
      <c r="E654">
        <v>230</v>
      </c>
      <c r="F654">
        <v>0.07</v>
      </c>
      <c r="G654" t="s">
        <v>65</v>
      </c>
    </row>
    <row r="655" spans="1:7">
      <c r="A655">
        <v>43310</v>
      </c>
      <c r="B655" t="s">
        <v>63</v>
      </c>
      <c r="C655" t="s">
        <v>64</v>
      </c>
      <c r="D655">
        <v>17</v>
      </c>
      <c r="E655">
        <v>16</v>
      </c>
      <c r="F655">
        <v>0.08</v>
      </c>
      <c r="G655" t="s">
        <v>68</v>
      </c>
    </row>
    <row r="656" spans="1:7">
      <c r="A656">
        <v>43311</v>
      </c>
      <c r="B656" t="s">
        <v>44</v>
      </c>
      <c r="C656" t="s">
        <v>64</v>
      </c>
      <c r="D656">
        <v>6</v>
      </c>
      <c r="E656">
        <v>80</v>
      </c>
      <c r="F656">
        <v>0.09</v>
      </c>
      <c r="G656" t="s">
        <v>70</v>
      </c>
    </row>
    <row r="657" spans="1:7">
      <c r="A657">
        <v>43311</v>
      </c>
      <c r="B657" t="s">
        <v>67</v>
      </c>
      <c r="C657" t="s">
        <v>57</v>
      </c>
      <c r="D657">
        <v>22</v>
      </c>
      <c r="E657">
        <v>150</v>
      </c>
      <c r="F657">
        <v>0.04</v>
      </c>
      <c r="G657" t="s">
        <v>72</v>
      </c>
    </row>
    <row r="658" spans="1:7">
      <c r="A658">
        <v>43311</v>
      </c>
      <c r="B658" t="s">
        <v>48</v>
      </c>
      <c r="C658" t="s">
        <v>64</v>
      </c>
      <c r="D658">
        <v>20</v>
      </c>
      <c r="E658">
        <v>40</v>
      </c>
      <c r="F658">
        <v>0.03</v>
      </c>
      <c r="G658" t="s">
        <v>65</v>
      </c>
    </row>
    <row r="659" spans="1:7">
      <c r="A659">
        <v>43311</v>
      </c>
      <c r="B659" t="s">
        <v>67</v>
      </c>
      <c r="C659" t="s">
        <v>49</v>
      </c>
      <c r="D659">
        <v>16</v>
      </c>
      <c r="E659">
        <v>150</v>
      </c>
      <c r="F659">
        <v>0.08</v>
      </c>
      <c r="G659" t="s">
        <v>68</v>
      </c>
    </row>
    <row r="660" spans="1:7">
      <c r="A660">
        <v>43311</v>
      </c>
      <c r="B660" t="s">
        <v>44</v>
      </c>
      <c r="C660" t="s">
        <v>49</v>
      </c>
      <c r="D660">
        <v>5</v>
      </c>
      <c r="E660">
        <v>80</v>
      </c>
      <c r="F660">
        <v>0.07</v>
      </c>
      <c r="G660" t="s">
        <v>70</v>
      </c>
    </row>
    <row r="661" spans="1:7">
      <c r="A661">
        <v>43311</v>
      </c>
      <c r="B661" t="s">
        <v>67</v>
      </c>
      <c r="C661" t="s">
        <v>60</v>
      </c>
      <c r="D661">
        <v>6</v>
      </c>
      <c r="E661">
        <v>150</v>
      </c>
      <c r="F661">
        <v>0.03</v>
      </c>
      <c r="G661" t="s">
        <v>72</v>
      </c>
    </row>
    <row r="662" spans="1:7">
      <c r="A662">
        <v>43312</v>
      </c>
      <c r="B662" t="s">
        <v>44</v>
      </c>
      <c r="C662" t="s">
        <v>49</v>
      </c>
      <c r="D662">
        <v>9</v>
      </c>
      <c r="E662">
        <v>80</v>
      </c>
      <c r="F662">
        <v>0.03</v>
      </c>
      <c r="G662" t="s">
        <v>65</v>
      </c>
    </row>
    <row r="663" spans="1:7">
      <c r="A663">
        <v>43312</v>
      </c>
      <c r="B663" t="s">
        <v>44</v>
      </c>
      <c r="C663" t="s">
        <v>45</v>
      </c>
      <c r="D663">
        <v>8</v>
      </c>
      <c r="E663">
        <v>80</v>
      </c>
      <c r="F663">
        <v>0.08</v>
      </c>
      <c r="G663" t="s">
        <v>68</v>
      </c>
    </row>
    <row r="664" spans="1:7">
      <c r="A664">
        <v>43312</v>
      </c>
      <c r="B664" t="s">
        <v>52</v>
      </c>
      <c r="C664" t="s">
        <v>60</v>
      </c>
      <c r="D664">
        <v>8</v>
      </c>
      <c r="E664">
        <v>230</v>
      </c>
      <c r="F664">
        <v>0.01</v>
      </c>
      <c r="G664" t="s">
        <v>70</v>
      </c>
    </row>
    <row r="665" spans="1:7">
      <c r="A665">
        <v>43312</v>
      </c>
      <c r="B665" t="s">
        <v>63</v>
      </c>
      <c r="C665" t="s">
        <v>64</v>
      </c>
      <c r="D665">
        <v>12</v>
      </c>
      <c r="E665">
        <v>16</v>
      </c>
      <c r="F665">
        <v>0.04</v>
      </c>
      <c r="G665" t="s">
        <v>72</v>
      </c>
    </row>
    <row r="666" spans="1:7">
      <c r="A666">
        <v>43312</v>
      </c>
      <c r="B666" t="s">
        <v>63</v>
      </c>
      <c r="C666" t="s">
        <v>60</v>
      </c>
      <c r="D666">
        <v>18</v>
      </c>
      <c r="E666">
        <v>16</v>
      </c>
      <c r="F666">
        <v>0.04</v>
      </c>
      <c r="G666" t="s">
        <v>65</v>
      </c>
    </row>
    <row r="667" spans="1:7">
      <c r="A667">
        <v>43282</v>
      </c>
      <c r="B667" t="s">
        <v>63</v>
      </c>
      <c r="C667" t="s">
        <v>60</v>
      </c>
      <c r="D667">
        <v>10</v>
      </c>
      <c r="E667">
        <v>16</v>
      </c>
      <c r="F667">
        <v>0.01</v>
      </c>
      <c r="G667" t="s">
        <v>68</v>
      </c>
    </row>
    <row r="668" spans="1:7">
      <c r="A668">
        <v>43282</v>
      </c>
      <c r="B668" t="s">
        <v>63</v>
      </c>
      <c r="C668" t="s">
        <v>60</v>
      </c>
      <c r="D668">
        <v>14</v>
      </c>
      <c r="E668">
        <v>16</v>
      </c>
      <c r="F668">
        <v>0.12</v>
      </c>
      <c r="G668" t="s">
        <v>70</v>
      </c>
    </row>
    <row r="669" spans="1:7">
      <c r="A669">
        <v>43282</v>
      </c>
      <c r="B669" t="s">
        <v>48</v>
      </c>
      <c r="C669" t="s">
        <v>57</v>
      </c>
      <c r="D669">
        <v>6</v>
      </c>
      <c r="E669">
        <v>40</v>
      </c>
      <c r="F669">
        <v>0.06</v>
      </c>
      <c r="G669" t="s">
        <v>72</v>
      </c>
    </row>
    <row r="670" spans="1:7">
      <c r="A670">
        <v>43282</v>
      </c>
      <c r="B670" t="s">
        <v>48</v>
      </c>
      <c r="C670" t="s">
        <v>60</v>
      </c>
      <c r="D670">
        <v>13</v>
      </c>
      <c r="E670">
        <v>40</v>
      </c>
      <c r="F670">
        <v>0.09</v>
      </c>
      <c r="G670" t="s">
        <v>65</v>
      </c>
    </row>
    <row r="671" spans="1:7">
      <c r="A671">
        <v>43282</v>
      </c>
      <c r="B671" t="s">
        <v>63</v>
      </c>
      <c r="C671" t="s">
        <v>60</v>
      </c>
      <c r="D671">
        <v>10</v>
      </c>
      <c r="E671">
        <v>16</v>
      </c>
      <c r="F671">
        <v>0.04</v>
      </c>
      <c r="G671" t="s">
        <v>68</v>
      </c>
    </row>
    <row r="672" spans="1:7">
      <c r="A672">
        <v>43282</v>
      </c>
      <c r="B672" t="s">
        <v>44</v>
      </c>
      <c r="C672" t="s">
        <v>49</v>
      </c>
      <c r="D672">
        <v>14</v>
      </c>
      <c r="E672">
        <v>80</v>
      </c>
      <c r="F672">
        <v>0.11</v>
      </c>
      <c r="G672" t="s">
        <v>70</v>
      </c>
    </row>
    <row r="673" spans="1:7">
      <c r="A673">
        <v>43282</v>
      </c>
      <c r="B673" t="s">
        <v>48</v>
      </c>
      <c r="C673" t="s">
        <v>49</v>
      </c>
      <c r="D673">
        <v>4</v>
      </c>
      <c r="E673">
        <v>40</v>
      </c>
      <c r="F673">
        <v>0.06</v>
      </c>
      <c r="G673" t="s">
        <v>72</v>
      </c>
    </row>
    <row r="674" spans="1:7">
      <c r="A674">
        <v>43282</v>
      </c>
      <c r="B674" t="s">
        <v>48</v>
      </c>
      <c r="C674" t="s">
        <v>57</v>
      </c>
      <c r="D674">
        <v>11</v>
      </c>
      <c r="E674">
        <v>40</v>
      </c>
      <c r="F674">
        <v>0.05</v>
      </c>
      <c r="G674" t="s">
        <v>65</v>
      </c>
    </row>
    <row r="675" spans="1:7">
      <c r="A675">
        <v>43282</v>
      </c>
      <c r="B675" t="s">
        <v>63</v>
      </c>
      <c r="C675" t="s">
        <v>57</v>
      </c>
      <c r="D675">
        <v>14</v>
      </c>
      <c r="E675">
        <v>16</v>
      </c>
      <c r="F675">
        <v>0.01</v>
      </c>
      <c r="G675" t="s">
        <v>68</v>
      </c>
    </row>
    <row r="676" spans="1:7">
      <c r="A676">
        <v>43282</v>
      </c>
      <c r="B676" t="s">
        <v>67</v>
      </c>
      <c r="C676" t="s">
        <v>45</v>
      </c>
      <c r="D676">
        <v>20</v>
      </c>
      <c r="E676">
        <v>150</v>
      </c>
      <c r="F676">
        <v>0.04</v>
      </c>
      <c r="G676" t="s">
        <v>70</v>
      </c>
    </row>
    <row r="677" spans="1:7">
      <c r="A677">
        <v>43282</v>
      </c>
      <c r="B677" t="s">
        <v>48</v>
      </c>
      <c r="C677" t="s">
        <v>60</v>
      </c>
      <c r="D677">
        <v>9</v>
      </c>
      <c r="E677">
        <v>40</v>
      </c>
      <c r="F677">
        <v>0.06</v>
      </c>
      <c r="G677" t="s">
        <v>72</v>
      </c>
    </row>
    <row r="678" spans="1:7">
      <c r="A678">
        <v>43282</v>
      </c>
      <c r="B678" t="s">
        <v>67</v>
      </c>
      <c r="C678" t="s">
        <v>57</v>
      </c>
      <c r="D678">
        <v>18</v>
      </c>
      <c r="E678">
        <v>150</v>
      </c>
      <c r="F678">
        <v>0.06</v>
      </c>
      <c r="G678" t="s">
        <v>65</v>
      </c>
    </row>
    <row r="679" spans="1:7">
      <c r="A679">
        <v>43282</v>
      </c>
      <c r="B679" t="s">
        <v>52</v>
      </c>
      <c r="C679" t="s">
        <v>64</v>
      </c>
      <c r="D679">
        <v>17</v>
      </c>
      <c r="E679">
        <v>230</v>
      </c>
      <c r="F679">
        <v>0.11</v>
      </c>
      <c r="G679" t="s">
        <v>68</v>
      </c>
    </row>
    <row r="680" spans="1:7">
      <c r="A680">
        <v>43283</v>
      </c>
      <c r="B680" t="s">
        <v>48</v>
      </c>
      <c r="C680" t="s">
        <v>45</v>
      </c>
      <c r="D680">
        <v>20</v>
      </c>
      <c r="E680">
        <v>40</v>
      </c>
      <c r="F680">
        <v>0.04</v>
      </c>
      <c r="G680" t="s">
        <v>70</v>
      </c>
    </row>
    <row r="681" spans="1:7">
      <c r="A681">
        <v>43283</v>
      </c>
      <c r="B681" t="s">
        <v>48</v>
      </c>
      <c r="C681" t="s">
        <v>45</v>
      </c>
      <c r="D681">
        <v>23</v>
      </c>
      <c r="E681">
        <v>40</v>
      </c>
      <c r="F681">
        <v>0.03</v>
      </c>
      <c r="G681" t="s">
        <v>72</v>
      </c>
    </row>
    <row r="682" spans="1:7">
      <c r="A682">
        <v>43283</v>
      </c>
      <c r="B682" t="s">
        <v>52</v>
      </c>
      <c r="C682" t="s">
        <v>64</v>
      </c>
      <c r="D682">
        <v>21</v>
      </c>
      <c r="E682">
        <v>230</v>
      </c>
      <c r="F682">
        <v>0.05</v>
      </c>
      <c r="G682" t="s">
        <v>65</v>
      </c>
    </row>
    <row r="683" spans="1:7">
      <c r="A683">
        <v>43283</v>
      </c>
      <c r="B683" t="s">
        <v>44</v>
      </c>
      <c r="C683" t="s">
        <v>57</v>
      </c>
      <c r="D683">
        <v>6</v>
      </c>
      <c r="E683">
        <v>80</v>
      </c>
      <c r="F683">
        <v>0.09</v>
      </c>
      <c r="G683" t="s">
        <v>68</v>
      </c>
    </row>
    <row r="684" spans="1:7">
      <c r="A684">
        <v>43283</v>
      </c>
      <c r="B684" t="s">
        <v>63</v>
      </c>
      <c r="C684" t="s">
        <v>45</v>
      </c>
      <c r="D684">
        <v>20</v>
      </c>
      <c r="E684">
        <v>16</v>
      </c>
      <c r="F684">
        <v>0.01</v>
      </c>
      <c r="G684" t="s">
        <v>70</v>
      </c>
    </row>
    <row r="685" spans="1:7">
      <c r="A685">
        <v>43283</v>
      </c>
      <c r="B685" t="s">
        <v>48</v>
      </c>
      <c r="C685" t="s">
        <v>49</v>
      </c>
      <c r="D685">
        <v>8</v>
      </c>
      <c r="E685">
        <v>40</v>
      </c>
      <c r="F685">
        <v>0.09</v>
      </c>
      <c r="G685" t="s">
        <v>72</v>
      </c>
    </row>
    <row r="686" spans="1:7">
      <c r="A686">
        <v>43283</v>
      </c>
      <c r="B686" t="s">
        <v>52</v>
      </c>
      <c r="C686" t="s">
        <v>49</v>
      </c>
      <c r="D686">
        <v>15</v>
      </c>
      <c r="E686">
        <v>230</v>
      </c>
      <c r="F686">
        <v>0.09</v>
      </c>
      <c r="G686" t="s">
        <v>65</v>
      </c>
    </row>
    <row r="687" spans="1:7">
      <c r="A687">
        <v>43284</v>
      </c>
      <c r="B687" t="s">
        <v>44</v>
      </c>
      <c r="C687" t="s">
        <v>60</v>
      </c>
      <c r="D687">
        <v>21</v>
      </c>
      <c r="E687">
        <v>80</v>
      </c>
      <c r="F687">
        <v>0.02</v>
      </c>
      <c r="G687" t="s">
        <v>68</v>
      </c>
    </row>
    <row r="688" spans="1:7">
      <c r="A688">
        <v>43284</v>
      </c>
      <c r="B688" t="s">
        <v>44</v>
      </c>
      <c r="C688" t="s">
        <v>60</v>
      </c>
      <c r="D688">
        <v>19</v>
      </c>
      <c r="E688">
        <v>80</v>
      </c>
      <c r="F688">
        <v>0.02</v>
      </c>
      <c r="G688" t="s">
        <v>70</v>
      </c>
    </row>
    <row r="689" spans="1:7">
      <c r="A689">
        <v>43284</v>
      </c>
      <c r="B689" t="s">
        <v>63</v>
      </c>
      <c r="C689" t="s">
        <v>45</v>
      </c>
      <c r="D689">
        <v>7</v>
      </c>
      <c r="E689">
        <v>16</v>
      </c>
      <c r="F689">
        <v>0.08</v>
      </c>
      <c r="G689" t="s">
        <v>72</v>
      </c>
    </row>
    <row r="690" spans="1:7">
      <c r="A690">
        <v>43284</v>
      </c>
      <c r="B690" t="s">
        <v>48</v>
      </c>
      <c r="C690" t="s">
        <v>64</v>
      </c>
      <c r="D690">
        <v>11</v>
      </c>
      <c r="E690">
        <v>40</v>
      </c>
      <c r="F690">
        <v>0.05</v>
      </c>
      <c r="G690" t="s">
        <v>65</v>
      </c>
    </row>
    <row r="691" spans="1:7">
      <c r="A691">
        <v>43284</v>
      </c>
      <c r="B691" t="s">
        <v>52</v>
      </c>
      <c r="C691" t="s">
        <v>60</v>
      </c>
      <c r="D691">
        <v>8</v>
      </c>
      <c r="E691">
        <v>230</v>
      </c>
      <c r="F691">
        <v>0.05</v>
      </c>
      <c r="G691" t="s">
        <v>68</v>
      </c>
    </row>
    <row r="692" spans="1:7">
      <c r="A692">
        <v>43284</v>
      </c>
      <c r="B692" t="s">
        <v>44</v>
      </c>
      <c r="C692" t="s">
        <v>45</v>
      </c>
      <c r="D692">
        <v>18</v>
      </c>
      <c r="E692">
        <v>80</v>
      </c>
      <c r="F692">
        <v>0.02</v>
      </c>
      <c r="G692" t="s">
        <v>70</v>
      </c>
    </row>
    <row r="693" spans="1:7">
      <c r="A693">
        <v>43284</v>
      </c>
      <c r="B693" t="s">
        <v>48</v>
      </c>
      <c r="C693" t="s">
        <v>45</v>
      </c>
      <c r="D693">
        <v>7</v>
      </c>
      <c r="E693">
        <v>40</v>
      </c>
      <c r="F693">
        <v>0.1</v>
      </c>
      <c r="G693" t="s">
        <v>72</v>
      </c>
    </row>
    <row r="694" spans="1:7">
      <c r="A694">
        <v>43285</v>
      </c>
      <c r="B694" t="s">
        <v>63</v>
      </c>
      <c r="C694" t="s">
        <v>45</v>
      </c>
      <c r="D694">
        <v>16</v>
      </c>
      <c r="E694">
        <v>16</v>
      </c>
      <c r="F694">
        <v>0.03</v>
      </c>
      <c r="G694" t="s">
        <v>65</v>
      </c>
    </row>
    <row r="695" spans="1:7">
      <c r="A695">
        <v>43285</v>
      </c>
      <c r="B695" t="s">
        <v>44</v>
      </c>
      <c r="C695" t="s">
        <v>45</v>
      </c>
      <c r="D695">
        <v>8</v>
      </c>
      <c r="E695">
        <v>80</v>
      </c>
      <c r="F695">
        <v>0.08</v>
      </c>
      <c r="G695" t="s">
        <v>68</v>
      </c>
    </row>
    <row r="696" spans="1:7">
      <c r="A696">
        <v>43285</v>
      </c>
      <c r="B696" t="s">
        <v>52</v>
      </c>
      <c r="C696" t="s">
        <v>64</v>
      </c>
      <c r="D696">
        <v>22</v>
      </c>
      <c r="E696">
        <v>230</v>
      </c>
      <c r="F696">
        <v>0.1</v>
      </c>
      <c r="G696" t="s">
        <v>70</v>
      </c>
    </row>
    <row r="697" spans="1:7">
      <c r="A697">
        <v>43285</v>
      </c>
      <c r="B697" t="s">
        <v>52</v>
      </c>
      <c r="C697" t="s">
        <v>64</v>
      </c>
      <c r="D697">
        <v>3</v>
      </c>
      <c r="E697">
        <v>230</v>
      </c>
      <c r="F697">
        <v>0.1</v>
      </c>
      <c r="G697" t="s">
        <v>72</v>
      </c>
    </row>
    <row r="698" spans="1:7">
      <c r="A698">
        <v>43285</v>
      </c>
      <c r="B698" t="s">
        <v>52</v>
      </c>
      <c r="C698" t="s">
        <v>64</v>
      </c>
      <c r="D698">
        <v>20</v>
      </c>
      <c r="E698">
        <v>230</v>
      </c>
      <c r="F698">
        <v>0.11</v>
      </c>
      <c r="G698" t="s">
        <v>65</v>
      </c>
    </row>
    <row r="699" spans="1:7">
      <c r="A699">
        <v>43285</v>
      </c>
      <c r="B699" t="s">
        <v>63</v>
      </c>
      <c r="C699" t="s">
        <v>57</v>
      </c>
      <c r="D699">
        <v>12</v>
      </c>
      <c r="E699">
        <v>16</v>
      </c>
      <c r="F699">
        <v>0.03</v>
      </c>
      <c r="G699" t="s">
        <v>68</v>
      </c>
    </row>
    <row r="700" spans="1:7">
      <c r="A700">
        <v>43285</v>
      </c>
      <c r="B700" t="s">
        <v>48</v>
      </c>
      <c r="C700" t="s">
        <v>64</v>
      </c>
      <c r="D700">
        <v>20</v>
      </c>
      <c r="E700">
        <v>40</v>
      </c>
      <c r="F700">
        <v>0.07</v>
      </c>
      <c r="G700" t="s">
        <v>70</v>
      </c>
    </row>
    <row r="701" spans="1:7">
      <c r="A701">
        <v>43285</v>
      </c>
      <c r="B701" t="s">
        <v>52</v>
      </c>
      <c r="C701" t="s">
        <v>45</v>
      </c>
      <c r="D701">
        <v>3</v>
      </c>
      <c r="E701">
        <v>230</v>
      </c>
      <c r="F701">
        <v>0.06</v>
      </c>
      <c r="G701" t="s">
        <v>72</v>
      </c>
    </row>
    <row r="702" spans="1:7">
      <c r="A702">
        <v>43285</v>
      </c>
      <c r="B702" t="s">
        <v>44</v>
      </c>
      <c r="C702" t="s">
        <v>60</v>
      </c>
      <c r="D702">
        <v>16</v>
      </c>
      <c r="E702">
        <v>80</v>
      </c>
      <c r="F702">
        <v>0.07</v>
      </c>
      <c r="G702" t="s">
        <v>65</v>
      </c>
    </row>
    <row r="703" spans="1:7">
      <c r="A703">
        <v>43286</v>
      </c>
      <c r="B703" t="s">
        <v>48</v>
      </c>
      <c r="C703" t="s">
        <v>64</v>
      </c>
      <c r="D703">
        <v>3</v>
      </c>
      <c r="E703">
        <v>40</v>
      </c>
      <c r="F703">
        <v>0.03</v>
      </c>
      <c r="G703" t="s">
        <v>68</v>
      </c>
    </row>
    <row r="704" spans="1:7">
      <c r="A704">
        <v>43286</v>
      </c>
      <c r="B704" t="s">
        <v>52</v>
      </c>
      <c r="C704" t="s">
        <v>57</v>
      </c>
      <c r="D704">
        <v>12</v>
      </c>
      <c r="E704">
        <v>230</v>
      </c>
      <c r="F704">
        <v>0.03</v>
      </c>
      <c r="G704" t="s">
        <v>70</v>
      </c>
    </row>
    <row r="705" spans="1:7">
      <c r="A705">
        <v>43286</v>
      </c>
      <c r="B705" t="s">
        <v>48</v>
      </c>
      <c r="C705" t="s">
        <v>60</v>
      </c>
      <c r="D705">
        <v>22</v>
      </c>
      <c r="E705">
        <v>40</v>
      </c>
      <c r="F705">
        <v>0.01</v>
      </c>
      <c r="G705" t="s">
        <v>72</v>
      </c>
    </row>
    <row r="706" spans="1:7">
      <c r="A706">
        <v>43286</v>
      </c>
      <c r="B706" t="s">
        <v>48</v>
      </c>
      <c r="C706" t="s">
        <v>49</v>
      </c>
      <c r="D706">
        <v>19</v>
      </c>
      <c r="E706">
        <v>40</v>
      </c>
      <c r="F706">
        <v>0.1</v>
      </c>
      <c r="G706" t="s">
        <v>65</v>
      </c>
    </row>
    <row r="707" spans="1:7">
      <c r="A707">
        <v>43286</v>
      </c>
      <c r="B707" t="s">
        <v>44</v>
      </c>
      <c r="C707" t="s">
        <v>49</v>
      </c>
      <c r="D707">
        <v>21</v>
      </c>
      <c r="E707">
        <v>80</v>
      </c>
      <c r="F707">
        <v>0.04</v>
      </c>
      <c r="G707" t="s">
        <v>68</v>
      </c>
    </row>
    <row r="708" spans="1:7">
      <c r="A708">
        <v>43286</v>
      </c>
      <c r="B708" t="s">
        <v>44</v>
      </c>
      <c r="C708" t="s">
        <v>49</v>
      </c>
      <c r="D708">
        <v>2</v>
      </c>
      <c r="E708">
        <v>80</v>
      </c>
      <c r="F708">
        <v>0.04</v>
      </c>
      <c r="G708" t="s">
        <v>70</v>
      </c>
    </row>
    <row r="709" spans="1:7">
      <c r="A709">
        <v>43286</v>
      </c>
      <c r="B709" t="s">
        <v>67</v>
      </c>
      <c r="C709" t="s">
        <v>49</v>
      </c>
      <c r="D709">
        <v>15</v>
      </c>
      <c r="E709">
        <v>150</v>
      </c>
      <c r="F709">
        <v>0.02</v>
      </c>
      <c r="G709" t="s">
        <v>72</v>
      </c>
    </row>
    <row r="710" spans="1:7">
      <c r="A710">
        <v>43287</v>
      </c>
      <c r="B710" t="s">
        <v>48</v>
      </c>
      <c r="C710" t="s">
        <v>49</v>
      </c>
      <c r="D710">
        <v>14</v>
      </c>
      <c r="E710">
        <v>40</v>
      </c>
      <c r="F710">
        <v>0.06</v>
      </c>
      <c r="G710" t="s">
        <v>65</v>
      </c>
    </row>
    <row r="711" spans="1:7">
      <c r="A711">
        <v>43287</v>
      </c>
      <c r="B711" t="s">
        <v>44</v>
      </c>
      <c r="C711" t="s">
        <v>60</v>
      </c>
      <c r="D711">
        <v>7</v>
      </c>
      <c r="E711">
        <v>80</v>
      </c>
      <c r="F711">
        <v>0.07</v>
      </c>
      <c r="G711" t="s">
        <v>68</v>
      </c>
    </row>
    <row r="712" spans="1:7">
      <c r="A712">
        <v>43287</v>
      </c>
      <c r="B712" t="s">
        <v>44</v>
      </c>
      <c r="C712" t="s">
        <v>57</v>
      </c>
      <c r="D712">
        <v>7</v>
      </c>
      <c r="E712">
        <v>80</v>
      </c>
      <c r="F712">
        <v>0.05</v>
      </c>
      <c r="G712" t="s">
        <v>70</v>
      </c>
    </row>
    <row r="713" spans="1:7">
      <c r="A713">
        <v>43287</v>
      </c>
      <c r="B713" t="s">
        <v>67</v>
      </c>
      <c r="C713" t="s">
        <v>49</v>
      </c>
      <c r="D713">
        <v>10</v>
      </c>
      <c r="E713">
        <v>150</v>
      </c>
      <c r="F713">
        <v>0.01</v>
      </c>
      <c r="G713" t="s">
        <v>72</v>
      </c>
    </row>
    <row r="714" spans="1:7">
      <c r="A714">
        <v>43287</v>
      </c>
      <c r="B714" t="s">
        <v>44</v>
      </c>
      <c r="C714" t="s">
        <v>57</v>
      </c>
      <c r="D714">
        <v>10</v>
      </c>
      <c r="E714">
        <v>80</v>
      </c>
      <c r="F714">
        <v>0.08</v>
      </c>
      <c r="G714" t="s">
        <v>65</v>
      </c>
    </row>
    <row r="715" spans="1:7">
      <c r="A715">
        <v>43287</v>
      </c>
      <c r="B715" t="s">
        <v>44</v>
      </c>
      <c r="C715" t="s">
        <v>60</v>
      </c>
      <c r="D715">
        <v>15</v>
      </c>
      <c r="E715">
        <v>80</v>
      </c>
      <c r="F715">
        <v>0.08</v>
      </c>
      <c r="G715" t="s">
        <v>68</v>
      </c>
    </row>
    <row r="716" spans="1:7">
      <c r="A716">
        <v>43287</v>
      </c>
      <c r="B716" t="s">
        <v>52</v>
      </c>
      <c r="C716" t="s">
        <v>60</v>
      </c>
      <c r="D716">
        <v>18</v>
      </c>
      <c r="E716">
        <v>230</v>
      </c>
      <c r="F716">
        <v>0.01</v>
      </c>
      <c r="G716" t="s">
        <v>70</v>
      </c>
    </row>
    <row r="717" spans="1:7">
      <c r="A717">
        <v>43287</v>
      </c>
      <c r="B717" t="s">
        <v>44</v>
      </c>
      <c r="C717" t="s">
        <v>45</v>
      </c>
      <c r="D717">
        <v>8</v>
      </c>
      <c r="E717">
        <v>80</v>
      </c>
      <c r="F717">
        <v>0.09</v>
      </c>
      <c r="G717" t="s">
        <v>72</v>
      </c>
    </row>
    <row r="718" spans="1:7">
      <c r="A718">
        <v>43287</v>
      </c>
      <c r="B718" t="s">
        <v>63</v>
      </c>
      <c r="C718" t="s">
        <v>57</v>
      </c>
      <c r="D718">
        <v>6</v>
      </c>
      <c r="E718">
        <v>16</v>
      </c>
      <c r="F718">
        <v>0.01</v>
      </c>
      <c r="G718" t="s">
        <v>65</v>
      </c>
    </row>
    <row r="719" spans="1:7">
      <c r="A719">
        <v>43287</v>
      </c>
      <c r="B719" t="s">
        <v>52</v>
      </c>
      <c r="C719" t="s">
        <v>49</v>
      </c>
      <c r="D719">
        <v>9</v>
      </c>
      <c r="E719">
        <v>230</v>
      </c>
      <c r="F719">
        <v>0.03</v>
      </c>
      <c r="G719" t="s">
        <v>68</v>
      </c>
    </row>
    <row r="720" spans="1:7">
      <c r="A720">
        <v>43288</v>
      </c>
      <c r="B720" t="s">
        <v>48</v>
      </c>
      <c r="C720" t="s">
        <v>60</v>
      </c>
      <c r="D720">
        <v>15</v>
      </c>
      <c r="E720">
        <v>40</v>
      </c>
      <c r="F720">
        <v>0.03</v>
      </c>
      <c r="G720" t="s">
        <v>70</v>
      </c>
    </row>
    <row r="721" spans="1:7">
      <c r="A721">
        <v>43288</v>
      </c>
      <c r="B721" t="s">
        <v>48</v>
      </c>
      <c r="C721" t="s">
        <v>49</v>
      </c>
      <c r="D721">
        <v>15</v>
      </c>
      <c r="E721">
        <v>40</v>
      </c>
      <c r="F721">
        <v>0.04</v>
      </c>
      <c r="G721" t="s">
        <v>72</v>
      </c>
    </row>
    <row r="722" spans="1:7">
      <c r="A722">
        <v>43288</v>
      </c>
      <c r="B722" t="s">
        <v>63</v>
      </c>
      <c r="C722" t="s">
        <v>64</v>
      </c>
      <c r="D722">
        <v>11</v>
      </c>
      <c r="E722">
        <v>16</v>
      </c>
      <c r="F722">
        <v>0.12</v>
      </c>
      <c r="G722" t="s">
        <v>65</v>
      </c>
    </row>
    <row r="723" spans="1:7">
      <c r="A723">
        <v>43288</v>
      </c>
      <c r="B723" t="s">
        <v>63</v>
      </c>
      <c r="C723" t="s">
        <v>45</v>
      </c>
      <c r="D723">
        <v>12</v>
      </c>
      <c r="E723">
        <v>16</v>
      </c>
      <c r="F723">
        <v>0.11</v>
      </c>
      <c r="G723" t="s">
        <v>53</v>
      </c>
    </row>
    <row r="724" spans="1:7">
      <c r="A724">
        <v>43288</v>
      </c>
      <c r="B724" t="s">
        <v>63</v>
      </c>
      <c r="C724" t="s">
        <v>60</v>
      </c>
      <c r="D724">
        <v>18</v>
      </c>
      <c r="E724">
        <v>16</v>
      </c>
      <c r="F724">
        <v>0.04</v>
      </c>
      <c r="G724" t="s">
        <v>70</v>
      </c>
    </row>
    <row r="725" spans="1:7">
      <c r="A725">
        <v>43288</v>
      </c>
      <c r="B725" t="s">
        <v>48</v>
      </c>
      <c r="C725" t="s">
        <v>57</v>
      </c>
      <c r="D725">
        <v>20</v>
      </c>
      <c r="E725">
        <v>40</v>
      </c>
      <c r="F725">
        <v>0.01</v>
      </c>
      <c r="G725" t="s">
        <v>53</v>
      </c>
    </row>
    <row r="726" spans="1:7">
      <c r="A726">
        <v>43288</v>
      </c>
      <c r="B726" t="s">
        <v>67</v>
      </c>
      <c r="C726" t="s">
        <v>64</v>
      </c>
      <c r="D726">
        <v>7</v>
      </c>
      <c r="E726">
        <v>150</v>
      </c>
      <c r="F726">
        <v>0.03</v>
      </c>
      <c r="G726" t="s">
        <v>70</v>
      </c>
    </row>
    <row r="727" spans="1:7">
      <c r="A727">
        <v>43288</v>
      </c>
      <c r="B727" t="s">
        <v>48</v>
      </c>
      <c r="C727" t="s">
        <v>60</v>
      </c>
      <c r="D727">
        <v>23</v>
      </c>
      <c r="E727">
        <v>40</v>
      </c>
      <c r="F727">
        <v>0.06</v>
      </c>
      <c r="G727" t="s">
        <v>53</v>
      </c>
    </row>
    <row r="728" spans="1:7">
      <c r="A728">
        <v>43288</v>
      </c>
      <c r="B728" t="s">
        <v>44</v>
      </c>
      <c r="C728" t="s">
        <v>45</v>
      </c>
      <c r="D728">
        <v>7</v>
      </c>
      <c r="E728">
        <v>80</v>
      </c>
      <c r="F728">
        <v>0.02</v>
      </c>
      <c r="G728" t="s">
        <v>70</v>
      </c>
    </row>
    <row r="729" spans="1:7">
      <c r="A729">
        <v>43288</v>
      </c>
      <c r="B729" t="s">
        <v>67</v>
      </c>
      <c r="C729" t="s">
        <v>49</v>
      </c>
      <c r="D729">
        <v>16</v>
      </c>
      <c r="E729">
        <v>150</v>
      </c>
      <c r="F729">
        <v>0.05</v>
      </c>
      <c r="G729" t="s">
        <v>53</v>
      </c>
    </row>
    <row r="730" spans="1:7">
      <c r="A730">
        <v>43288</v>
      </c>
      <c r="B730" t="s">
        <v>52</v>
      </c>
      <c r="C730" t="s">
        <v>49</v>
      </c>
      <c r="D730">
        <v>6</v>
      </c>
      <c r="E730">
        <v>230</v>
      </c>
      <c r="F730">
        <v>0.1</v>
      </c>
      <c r="G730" t="s">
        <v>70</v>
      </c>
    </row>
    <row r="731" spans="1:7">
      <c r="A731">
        <v>43289</v>
      </c>
      <c r="B731" t="s">
        <v>48</v>
      </c>
      <c r="C731" t="s">
        <v>64</v>
      </c>
      <c r="D731">
        <v>7</v>
      </c>
      <c r="E731">
        <v>40</v>
      </c>
      <c r="F731">
        <v>0.12</v>
      </c>
      <c r="G731" t="s">
        <v>53</v>
      </c>
    </row>
    <row r="732" spans="1:7">
      <c r="A732">
        <v>43289</v>
      </c>
      <c r="B732" t="s">
        <v>44</v>
      </c>
      <c r="C732" t="s">
        <v>57</v>
      </c>
      <c r="D732">
        <v>23</v>
      </c>
      <c r="E732">
        <v>80</v>
      </c>
      <c r="F732">
        <v>0.05</v>
      </c>
      <c r="G732" t="s">
        <v>70</v>
      </c>
    </row>
    <row r="733" spans="1:7">
      <c r="A733">
        <v>43289</v>
      </c>
      <c r="B733" t="s">
        <v>44</v>
      </c>
      <c r="C733" t="s">
        <v>60</v>
      </c>
      <c r="D733">
        <v>16</v>
      </c>
      <c r="E733">
        <v>80</v>
      </c>
      <c r="F733">
        <v>0.1</v>
      </c>
      <c r="G733" t="s">
        <v>53</v>
      </c>
    </row>
    <row r="734" spans="1:7">
      <c r="A734">
        <v>43289</v>
      </c>
      <c r="B734" t="s">
        <v>44</v>
      </c>
      <c r="C734" t="s">
        <v>45</v>
      </c>
      <c r="D734">
        <v>16</v>
      </c>
      <c r="E734">
        <v>80</v>
      </c>
      <c r="F734">
        <v>0.03</v>
      </c>
      <c r="G734" t="s">
        <v>70</v>
      </c>
    </row>
    <row r="735" spans="1:7">
      <c r="A735">
        <v>43289</v>
      </c>
      <c r="B735" t="s">
        <v>44</v>
      </c>
      <c r="C735" t="s">
        <v>64</v>
      </c>
      <c r="D735">
        <v>22</v>
      </c>
      <c r="E735">
        <v>80</v>
      </c>
      <c r="F735">
        <v>0.09</v>
      </c>
      <c r="G735" t="s">
        <v>53</v>
      </c>
    </row>
    <row r="736" spans="1:7">
      <c r="A736">
        <v>43289</v>
      </c>
      <c r="B736" t="s">
        <v>63</v>
      </c>
      <c r="C736" t="s">
        <v>45</v>
      </c>
      <c r="D736">
        <v>18</v>
      </c>
      <c r="E736">
        <v>16</v>
      </c>
      <c r="F736">
        <v>0.05</v>
      </c>
      <c r="G736" t="s">
        <v>70</v>
      </c>
    </row>
    <row r="737" spans="1:7">
      <c r="A737">
        <v>43289</v>
      </c>
      <c r="B737" t="s">
        <v>52</v>
      </c>
      <c r="C737" t="s">
        <v>64</v>
      </c>
      <c r="D737">
        <v>5</v>
      </c>
      <c r="E737">
        <v>230</v>
      </c>
      <c r="F737">
        <v>0.12</v>
      </c>
      <c r="G737" t="s">
        <v>53</v>
      </c>
    </row>
    <row r="738" spans="1:7">
      <c r="A738">
        <v>43289</v>
      </c>
      <c r="B738" t="s">
        <v>67</v>
      </c>
      <c r="C738" t="s">
        <v>64</v>
      </c>
      <c r="D738">
        <v>7</v>
      </c>
      <c r="E738">
        <v>150</v>
      </c>
      <c r="F738">
        <v>0.02</v>
      </c>
      <c r="G738" t="s">
        <v>70</v>
      </c>
    </row>
    <row r="739" spans="1:7">
      <c r="A739">
        <v>43289</v>
      </c>
      <c r="B739" t="s">
        <v>48</v>
      </c>
      <c r="C739" t="s">
        <v>57</v>
      </c>
      <c r="D739">
        <v>2</v>
      </c>
      <c r="E739">
        <v>40</v>
      </c>
      <c r="F739">
        <v>0.03</v>
      </c>
      <c r="G739" t="s">
        <v>53</v>
      </c>
    </row>
    <row r="740" spans="1:7">
      <c r="A740">
        <v>43289</v>
      </c>
      <c r="B740" t="s">
        <v>48</v>
      </c>
      <c r="C740" t="s">
        <v>60</v>
      </c>
      <c r="D740">
        <v>11</v>
      </c>
      <c r="E740">
        <v>40</v>
      </c>
      <c r="F740">
        <v>0.06</v>
      </c>
      <c r="G740" t="s">
        <v>70</v>
      </c>
    </row>
    <row r="741" spans="1:7">
      <c r="A741">
        <v>43289</v>
      </c>
      <c r="B741" t="s">
        <v>44</v>
      </c>
      <c r="C741" t="s">
        <v>60</v>
      </c>
      <c r="D741">
        <v>7</v>
      </c>
      <c r="E741">
        <v>80</v>
      </c>
      <c r="F741">
        <v>0.02</v>
      </c>
      <c r="G741" t="s">
        <v>53</v>
      </c>
    </row>
    <row r="742" spans="1:7">
      <c r="A742">
        <v>43290</v>
      </c>
      <c r="B742" t="s">
        <v>48</v>
      </c>
      <c r="C742" t="s">
        <v>57</v>
      </c>
      <c r="D742">
        <v>4</v>
      </c>
      <c r="E742">
        <v>40</v>
      </c>
      <c r="F742">
        <v>0.11</v>
      </c>
      <c r="G742" t="s">
        <v>70</v>
      </c>
    </row>
    <row r="743" spans="1:7">
      <c r="A743">
        <v>43290</v>
      </c>
      <c r="B743" t="s">
        <v>48</v>
      </c>
      <c r="C743" t="s">
        <v>57</v>
      </c>
      <c r="D743">
        <v>2</v>
      </c>
      <c r="E743">
        <v>40</v>
      </c>
      <c r="F743">
        <v>0.02</v>
      </c>
      <c r="G743" t="s">
        <v>53</v>
      </c>
    </row>
    <row r="744" spans="1:7">
      <c r="A744">
        <v>43290</v>
      </c>
      <c r="B744" t="s">
        <v>52</v>
      </c>
      <c r="C744" t="s">
        <v>60</v>
      </c>
      <c r="D744">
        <v>23</v>
      </c>
      <c r="E744">
        <v>230</v>
      </c>
      <c r="F744">
        <v>0.06</v>
      </c>
      <c r="G744" t="s">
        <v>70</v>
      </c>
    </row>
    <row r="745" spans="1:7">
      <c r="A745">
        <v>43290</v>
      </c>
      <c r="B745" t="s">
        <v>44</v>
      </c>
      <c r="C745" t="s">
        <v>64</v>
      </c>
      <c r="D745">
        <v>21</v>
      </c>
      <c r="E745">
        <v>80</v>
      </c>
      <c r="F745">
        <v>0.09</v>
      </c>
      <c r="G745" t="s">
        <v>53</v>
      </c>
    </row>
    <row r="746" spans="1:7">
      <c r="A746">
        <v>43290</v>
      </c>
      <c r="B746" t="s">
        <v>44</v>
      </c>
      <c r="C746" t="s">
        <v>64</v>
      </c>
      <c r="D746">
        <v>9</v>
      </c>
      <c r="E746">
        <v>80</v>
      </c>
      <c r="F746">
        <v>0.06</v>
      </c>
      <c r="G746" t="s">
        <v>70</v>
      </c>
    </row>
    <row r="747" spans="1:7">
      <c r="A747">
        <v>43290</v>
      </c>
      <c r="B747" t="s">
        <v>44</v>
      </c>
      <c r="C747" t="s">
        <v>64</v>
      </c>
      <c r="D747">
        <v>22</v>
      </c>
      <c r="E747">
        <v>80</v>
      </c>
      <c r="F747">
        <v>0.11</v>
      </c>
      <c r="G747" t="s">
        <v>53</v>
      </c>
    </row>
    <row r="748" spans="1:7">
      <c r="A748">
        <v>43291</v>
      </c>
      <c r="B748" t="s">
        <v>52</v>
      </c>
      <c r="C748" t="s">
        <v>57</v>
      </c>
      <c r="D748">
        <v>15</v>
      </c>
      <c r="E748">
        <v>230</v>
      </c>
      <c r="F748">
        <v>0.11</v>
      </c>
      <c r="G748" t="s">
        <v>70</v>
      </c>
    </row>
    <row r="749" spans="1:7">
      <c r="A749">
        <v>43291</v>
      </c>
      <c r="B749" t="s">
        <v>48</v>
      </c>
      <c r="C749" t="s">
        <v>49</v>
      </c>
      <c r="D749">
        <v>7</v>
      </c>
      <c r="E749">
        <v>40</v>
      </c>
      <c r="F749">
        <v>0.01</v>
      </c>
      <c r="G749" t="s">
        <v>53</v>
      </c>
    </row>
    <row r="750" spans="1:7">
      <c r="A750">
        <v>43291</v>
      </c>
      <c r="B750" t="s">
        <v>67</v>
      </c>
      <c r="C750" t="s">
        <v>64</v>
      </c>
      <c r="D750">
        <v>17</v>
      </c>
      <c r="E750">
        <v>150</v>
      </c>
      <c r="F750">
        <v>0.02</v>
      </c>
      <c r="G750" t="s">
        <v>70</v>
      </c>
    </row>
    <row r="751" spans="1:7">
      <c r="A751">
        <v>43291</v>
      </c>
      <c r="B751" t="s">
        <v>67</v>
      </c>
      <c r="C751" t="s">
        <v>49</v>
      </c>
      <c r="D751">
        <v>22</v>
      </c>
      <c r="E751">
        <v>150</v>
      </c>
      <c r="F751">
        <v>0.02</v>
      </c>
      <c r="G751" t="s">
        <v>53</v>
      </c>
    </row>
    <row r="752" spans="1:7">
      <c r="A752">
        <v>43291</v>
      </c>
      <c r="B752" t="s">
        <v>52</v>
      </c>
      <c r="C752" t="s">
        <v>57</v>
      </c>
      <c r="D752">
        <v>10</v>
      </c>
      <c r="E752">
        <v>230</v>
      </c>
      <c r="F752">
        <v>0.02</v>
      </c>
      <c r="G752" t="s">
        <v>70</v>
      </c>
    </row>
    <row r="753" spans="1:7">
      <c r="A753">
        <v>43291</v>
      </c>
      <c r="B753" t="s">
        <v>48</v>
      </c>
      <c r="C753" t="s">
        <v>64</v>
      </c>
      <c r="D753">
        <v>21</v>
      </c>
      <c r="E753">
        <v>40</v>
      </c>
      <c r="F753">
        <v>0.01</v>
      </c>
      <c r="G753" t="s">
        <v>53</v>
      </c>
    </row>
    <row r="754" spans="1:7">
      <c r="A754">
        <v>43291</v>
      </c>
      <c r="B754" t="s">
        <v>52</v>
      </c>
      <c r="C754" t="s">
        <v>57</v>
      </c>
      <c r="D754">
        <v>5</v>
      </c>
      <c r="E754">
        <v>230</v>
      </c>
      <c r="F754">
        <v>0.1</v>
      </c>
      <c r="G754" t="s">
        <v>70</v>
      </c>
    </row>
    <row r="755" spans="1:7">
      <c r="A755">
        <v>43291</v>
      </c>
      <c r="B755" t="s">
        <v>52</v>
      </c>
      <c r="C755" t="s">
        <v>64</v>
      </c>
      <c r="D755">
        <v>13</v>
      </c>
      <c r="E755">
        <v>230</v>
      </c>
      <c r="F755">
        <v>0.06</v>
      </c>
      <c r="G755" t="s">
        <v>53</v>
      </c>
    </row>
    <row r="756" spans="1:7">
      <c r="A756">
        <v>43291</v>
      </c>
      <c r="B756" t="s">
        <v>67</v>
      </c>
      <c r="C756" t="s">
        <v>45</v>
      </c>
      <c r="D756">
        <v>23</v>
      </c>
      <c r="E756">
        <v>150</v>
      </c>
      <c r="F756">
        <v>0.1</v>
      </c>
      <c r="G756" t="s">
        <v>70</v>
      </c>
    </row>
    <row r="757" spans="1:7">
      <c r="A757">
        <v>43291</v>
      </c>
      <c r="B757" t="s">
        <v>67</v>
      </c>
      <c r="C757" t="s">
        <v>45</v>
      </c>
      <c r="D757">
        <v>20</v>
      </c>
      <c r="E757">
        <v>150</v>
      </c>
      <c r="F757">
        <v>0.03</v>
      </c>
      <c r="G757" t="s">
        <v>53</v>
      </c>
    </row>
    <row r="758" spans="1:7">
      <c r="A758">
        <v>43292</v>
      </c>
      <c r="B758" t="s">
        <v>52</v>
      </c>
      <c r="C758" t="s">
        <v>45</v>
      </c>
      <c r="D758">
        <v>3</v>
      </c>
      <c r="E758">
        <v>230</v>
      </c>
      <c r="F758">
        <v>0.11</v>
      </c>
      <c r="G758" t="s">
        <v>70</v>
      </c>
    </row>
    <row r="759" spans="1:7">
      <c r="A759">
        <v>43292</v>
      </c>
      <c r="B759" t="s">
        <v>67</v>
      </c>
      <c r="C759" t="s">
        <v>49</v>
      </c>
      <c r="D759">
        <v>16</v>
      </c>
      <c r="E759">
        <v>150</v>
      </c>
      <c r="F759">
        <v>0.08</v>
      </c>
      <c r="G759" t="s">
        <v>53</v>
      </c>
    </row>
    <row r="760" spans="1:7">
      <c r="A760">
        <v>43292</v>
      </c>
      <c r="B760" t="s">
        <v>63</v>
      </c>
      <c r="C760" t="s">
        <v>64</v>
      </c>
      <c r="D760">
        <v>14</v>
      </c>
      <c r="E760">
        <v>16</v>
      </c>
      <c r="F760">
        <v>0.06</v>
      </c>
      <c r="G760" t="s">
        <v>70</v>
      </c>
    </row>
    <row r="761" spans="1:7">
      <c r="A761">
        <v>43292</v>
      </c>
      <c r="B761" t="s">
        <v>67</v>
      </c>
      <c r="C761" t="s">
        <v>49</v>
      </c>
      <c r="D761">
        <v>16</v>
      </c>
      <c r="E761">
        <v>150</v>
      </c>
      <c r="F761">
        <v>0.03</v>
      </c>
      <c r="G761" t="s">
        <v>53</v>
      </c>
    </row>
    <row r="762" spans="1:7">
      <c r="A762">
        <v>43292</v>
      </c>
      <c r="B762" t="s">
        <v>63</v>
      </c>
      <c r="C762" t="s">
        <v>64</v>
      </c>
      <c r="D762">
        <v>19</v>
      </c>
      <c r="E762">
        <v>16</v>
      </c>
      <c r="F762">
        <v>0.02</v>
      </c>
      <c r="G762" t="s">
        <v>70</v>
      </c>
    </row>
    <row r="763" spans="1:7">
      <c r="A763">
        <v>43292</v>
      </c>
      <c r="B763" t="s">
        <v>44</v>
      </c>
      <c r="C763" t="s">
        <v>64</v>
      </c>
      <c r="D763">
        <v>6</v>
      </c>
      <c r="E763">
        <v>80</v>
      </c>
      <c r="F763">
        <v>0.09</v>
      </c>
      <c r="G763" t="s">
        <v>53</v>
      </c>
    </row>
    <row r="764" spans="1:7">
      <c r="A764">
        <v>43292</v>
      </c>
      <c r="B764" t="s">
        <v>44</v>
      </c>
      <c r="C764" t="s">
        <v>64</v>
      </c>
      <c r="D764">
        <v>9</v>
      </c>
      <c r="E764">
        <v>80</v>
      </c>
      <c r="F764">
        <v>0.07</v>
      </c>
      <c r="G764" t="s">
        <v>70</v>
      </c>
    </row>
    <row r="765" spans="1:7">
      <c r="A765">
        <v>43292</v>
      </c>
      <c r="B765" t="s">
        <v>67</v>
      </c>
      <c r="C765" t="s">
        <v>49</v>
      </c>
      <c r="D765">
        <v>20</v>
      </c>
      <c r="E765">
        <v>150</v>
      </c>
      <c r="F765">
        <v>0.09</v>
      </c>
      <c r="G765" t="s">
        <v>53</v>
      </c>
    </row>
    <row r="766" spans="1:7">
      <c r="A766">
        <v>43292</v>
      </c>
      <c r="B766" t="s">
        <v>44</v>
      </c>
      <c r="C766" t="s">
        <v>57</v>
      </c>
      <c r="D766">
        <v>10</v>
      </c>
      <c r="E766">
        <v>80</v>
      </c>
      <c r="F766">
        <v>0.11</v>
      </c>
      <c r="G766" t="s">
        <v>70</v>
      </c>
    </row>
    <row r="767" spans="1:7">
      <c r="A767">
        <v>43292</v>
      </c>
      <c r="B767" t="s">
        <v>63</v>
      </c>
      <c r="C767" t="s">
        <v>45</v>
      </c>
      <c r="D767">
        <v>4</v>
      </c>
      <c r="E767">
        <v>16</v>
      </c>
      <c r="F767">
        <v>0.12</v>
      </c>
      <c r="G767" t="s">
        <v>53</v>
      </c>
    </row>
    <row r="768" spans="1:7">
      <c r="A768">
        <v>43292</v>
      </c>
      <c r="B768" t="s">
        <v>48</v>
      </c>
      <c r="C768" t="s">
        <v>64</v>
      </c>
      <c r="D768">
        <v>16</v>
      </c>
      <c r="E768">
        <v>40</v>
      </c>
      <c r="F768">
        <v>0.11</v>
      </c>
      <c r="G768" t="s">
        <v>70</v>
      </c>
    </row>
    <row r="769" spans="1:7">
      <c r="A769">
        <v>43293</v>
      </c>
      <c r="B769" t="s">
        <v>44</v>
      </c>
      <c r="C769" t="s">
        <v>49</v>
      </c>
      <c r="D769">
        <v>5</v>
      </c>
      <c r="E769">
        <v>80</v>
      </c>
      <c r="F769">
        <v>0.04</v>
      </c>
      <c r="G769" t="s">
        <v>53</v>
      </c>
    </row>
    <row r="770" spans="1:7">
      <c r="A770">
        <v>43293</v>
      </c>
      <c r="B770" t="s">
        <v>63</v>
      </c>
      <c r="C770" t="s">
        <v>57</v>
      </c>
      <c r="D770">
        <v>11</v>
      </c>
      <c r="E770">
        <v>16</v>
      </c>
      <c r="F770">
        <v>0.04</v>
      </c>
      <c r="G770" t="s">
        <v>70</v>
      </c>
    </row>
    <row r="771" spans="1:7">
      <c r="A771">
        <v>43293</v>
      </c>
      <c r="B771" t="s">
        <v>67</v>
      </c>
      <c r="C771" t="s">
        <v>45</v>
      </c>
      <c r="D771">
        <v>17</v>
      </c>
      <c r="E771">
        <v>150</v>
      </c>
      <c r="F771">
        <v>0.12</v>
      </c>
      <c r="G771" t="s">
        <v>53</v>
      </c>
    </row>
    <row r="772" spans="1:7">
      <c r="A772">
        <v>43293</v>
      </c>
      <c r="B772" t="s">
        <v>52</v>
      </c>
      <c r="C772" t="s">
        <v>49</v>
      </c>
      <c r="D772">
        <v>19</v>
      </c>
      <c r="E772">
        <v>230</v>
      </c>
      <c r="F772">
        <v>0.11</v>
      </c>
      <c r="G772" t="s">
        <v>70</v>
      </c>
    </row>
    <row r="773" spans="1:7">
      <c r="A773">
        <v>43293</v>
      </c>
      <c r="B773" t="s">
        <v>44</v>
      </c>
      <c r="C773" t="s">
        <v>45</v>
      </c>
      <c r="D773">
        <v>21</v>
      </c>
      <c r="E773">
        <v>80</v>
      </c>
      <c r="F773">
        <v>0.04</v>
      </c>
      <c r="G773" t="s">
        <v>53</v>
      </c>
    </row>
    <row r="774" spans="1:7">
      <c r="A774">
        <v>43293</v>
      </c>
      <c r="B774" t="s">
        <v>52</v>
      </c>
      <c r="C774" t="s">
        <v>49</v>
      </c>
      <c r="D774">
        <v>7</v>
      </c>
      <c r="E774">
        <v>230</v>
      </c>
      <c r="F774">
        <v>0.01</v>
      </c>
      <c r="G774" t="s">
        <v>70</v>
      </c>
    </row>
    <row r="775" spans="1:7">
      <c r="A775">
        <v>43293</v>
      </c>
      <c r="B775" t="s">
        <v>48</v>
      </c>
      <c r="C775" t="s">
        <v>57</v>
      </c>
      <c r="D775">
        <v>2</v>
      </c>
      <c r="E775">
        <v>40</v>
      </c>
      <c r="F775">
        <v>0.03</v>
      </c>
      <c r="G775" t="s">
        <v>53</v>
      </c>
    </row>
    <row r="776" spans="1:7">
      <c r="A776">
        <v>43293</v>
      </c>
      <c r="B776" t="s">
        <v>67</v>
      </c>
      <c r="C776" t="s">
        <v>45</v>
      </c>
      <c r="D776">
        <v>7</v>
      </c>
      <c r="E776">
        <v>150</v>
      </c>
      <c r="F776">
        <v>0.02</v>
      </c>
      <c r="G776" t="s">
        <v>70</v>
      </c>
    </row>
    <row r="777" spans="1:7">
      <c r="A777">
        <v>43294</v>
      </c>
      <c r="B777" t="s">
        <v>44</v>
      </c>
      <c r="C777" t="s">
        <v>57</v>
      </c>
      <c r="D777">
        <v>16</v>
      </c>
      <c r="E777">
        <v>80</v>
      </c>
      <c r="F777">
        <v>0.04</v>
      </c>
      <c r="G777" t="s">
        <v>53</v>
      </c>
    </row>
    <row r="778" spans="1:7">
      <c r="A778">
        <v>43294</v>
      </c>
      <c r="B778" t="s">
        <v>48</v>
      </c>
      <c r="C778" t="s">
        <v>49</v>
      </c>
      <c r="D778">
        <v>4</v>
      </c>
      <c r="E778">
        <v>40</v>
      </c>
      <c r="F778">
        <v>0.12</v>
      </c>
      <c r="G778" t="s">
        <v>70</v>
      </c>
    </row>
    <row r="779" spans="1:7">
      <c r="A779">
        <v>43294</v>
      </c>
      <c r="B779" t="s">
        <v>63</v>
      </c>
      <c r="C779" t="s">
        <v>45</v>
      </c>
      <c r="D779">
        <v>22</v>
      </c>
      <c r="E779">
        <v>16</v>
      </c>
      <c r="F779">
        <v>0.01</v>
      </c>
      <c r="G779" t="s">
        <v>53</v>
      </c>
    </row>
    <row r="780" spans="1:7">
      <c r="A780">
        <v>43294</v>
      </c>
      <c r="B780" t="s">
        <v>48</v>
      </c>
      <c r="C780" t="s">
        <v>60</v>
      </c>
      <c r="D780">
        <v>18</v>
      </c>
      <c r="E780">
        <v>40</v>
      </c>
      <c r="F780">
        <v>0.06</v>
      </c>
      <c r="G780" t="s">
        <v>70</v>
      </c>
    </row>
    <row r="781" spans="1:7">
      <c r="A781">
        <v>43294</v>
      </c>
      <c r="B781" t="s">
        <v>44</v>
      </c>
      <c r="C781" t="s">
        <v>57</v>
      </c>
      <c r="D781">
        <v>6</v>
      </c>
      <c r="E781">
        <v>80</v>
      </c>
      <c r="F781">
        <v>0.01</v>
      </c>
      <c r="G781" t="s">
        <v>53</v>
      </c>
    </row>
    <row r="782" spans="1:7">
      <c r="A782">
        <v>43294</v>
      </c>
      <c r="B782" t="s">
        <v>52</v>
      </c>
      <c r="C782" t="s">
        <v>57</v>
      </c>
      <c r="D782">
        <v>2</v>
      </c>
      <c r="E782">
        <v>230</v>
      </c>
      <c r="F782">
        <v>0.09</v>
      </c>
      <c r="G782" t="s">
        <v>70</v>
      </c>
    </row>
    <row r="783" spans="1:7">
      <c r="A783">
        <v>43295</v>
      </c>
      <c r="B783" t="s">
        <v>67</v>
      </c>
      <c r="C783" t="s">
        <v>64</v>
      </c>
      <c r="D783">
        <v>11</v>
      </c>
      <c r="E783">
        <v>150</v>
      </c>
      <c r="F783">
        <v>0.09</v>
      </c>
      <c r="G783" t="s">
        <v>53</v>
      </c>
    </row>
    <row r="784" spans="1:7">
      <c r="A784">
        <v>43295</v>
      </c>
      <c r="B784" t="s">
        <v>67</v>
      </c>
      <c r="C784" t="s">
        <v>60</v>
      </c>
      <c r="D784">
        <v>15</v>
      </c>
      <c r="E784">
        <v>150</v>
      </c>
      <c r="F784">
        <v>0.08</v>
      </c>
      <c r="G784" t="s">
        <v>70</v>
      </c>
    </row>
    <row r="785" spans="1:7">
      <c r="A785">
        <v>43295</v>
      </c>
      <c r="B785" t="s">
        <v>44</v>
      </c>
      <c r="C785" t="s">
        <v>45</v>
      </c>
      <c r="D785">
        <v>17</v>
      </c>
      <c r="E785">
        <v>80</v>
      </c>
      <c r="F785">
        <v>0.09</v>
      </c>
      <c r="G785" t="s">
        <v>53</v>
      </c>
    </row>
    <row r="786" spans="1:7">
      <c r="A786">
        <v>43295</v>
      </c>
      <c r="B786" t="s">
        <v>67</v>
      </c>
      <c r="C786" t="s">
        <v>64</v>
      </c>
      <c r="D786">
        <v>13</v>
      </c>
      <c r="E786">
        <v>150</v>
      </c>
      <c r="F786">
        <v>0.11</v>
      </c>
      <c r="G786" t="s">
        <v>70</v>
      </c>
    </row>
    <row r="787" spans="1:7">
      <c r="A787">
        <v>43295</v>
      </c>
      <c r="B787" t="s">
        <v>48</v>
      </c>
      <c r="C787" t="s">
        <v>60</v>
      </c>
      <c r="D787">
        <v>7</v>
      </c>
      <c r="E787">
        <v>40</v>
      </c>
      <c r="F787">
        <v>0.07</v>
      </c>
      <c r="G787" t="s">
        <v>53</v>
      </c>
    </row>
    <row r="788" spans="1:7">
      <c r="A788">
        <v>43295</v>
      </c>
      <c r="B788" t="s">
        <v>52</v>
      </c>
      <c r="C788" t="s">
        <v>60</v>
      </c>
      <c r="D788">
        <v>3</v>
      </c>
      <c r="E788">
        <v>230</v>
      </c>
      <c r="F788">
        <v>0.01</v>
      </c>
      <c r="G788" t="s">
        <v>70</v>
      </c>
    </row>
    <row r="789" spans="1:7">
      <c r="A789">
        <v>43295</v>
      </c>
      <c r="B789" t="s">
        <v>48</v>
      </c>
      <c r="C789" t="s">
        <v>57</v>
      </c>
      <c r="D789">
        <v>12</v>
      </c>
      <c r="E789">
        <v>40</v>
      </c>
      <c r="F789">
        <v>0.02</v>
      </c>
      <c r="G789" t="s">
        <v>53</v>
      </c>
    </row>
    <row r="790" spans="1:7">
      <c r="A790">
        <v>43295</v>
      </c>
      <c r="B790" t="s">
        <v>67</v>
      </c>
      <c r="C790" t="s">
        <v>57</v>
      </c>
      <c r="D790">
        <v>11</v>
      </c>
      <c r="E790">
        <v>150</v>
      </c>
      <c r="F790">
        <v>0.11</v>
      </c>
      <c r="G790" t="s">
        <v>70</v>
      </c>
    </row>
    <row r="791" spans="1:7">
      <c r="A791">
        <v>43295</v>
      </c>
      <c r="B791" t="s">
        <v>48</v>
      </c>
      <c r="C791" t="s">
        <v>49</v>
      </c>
      <c r="D791">
        <v>21</v>
      </c>
      <c r="E791">
        <v>40</v>
      </c>
      <c r="F791">
        <v>0.03</v>
      </c>
      <c r="G791" t="s">
        <v>53</v>
      </c>
    </row>
    <row r="792" spans="1:7">
      <c r="A792">
        <v>43295</v>
      </c>
      <c r="B792" t="s">
        <v>67</v>
      </c>
      <c r="C792" t="s">
        <v>45</v>
      </c>
      <c r="D792">
        <v>22</v>
      </c>
      <c r="E792">
        <v>150</v>
      </c>
      <c r="F792">
        <v>0.07</v>
      </c>
      <c r="G792" t="s">
        <v>70</v>
      </c>
    </row>
    <row r="793" spans="1:7">
      <c r="A793">
        <v>43295</v>
      </c>
      <c r="B793" t="s">
        <v>48</v>
      </c>
      <c r="C793" t="s">
        <v>57</v>
      </c>
      <c r="D793">
        <v>20</v>
      </c>
      <c r="E793">
        <v>40</v>
      </c>
      <c r="F793">
        <v>0.01</v>
      </c>
      <c r="G793" t="s">
        <v>53</v>
      </c>
    </row>
    <row r="794" spans="1:7">
      <c r="A794">
        <v>43296</v>
      </c>
      <c r="B794" t="s">
        <v>63</v>
      </c>
      <c r="C794" t="s">
        <v>64</v>
      </c>
      <c r="D794">
        <v>22</v>
      </c>
      <c r="E794">
        <v>16</v>
      </c>
      <c r="F794">
        <v>0.12</v>
      </c>
      <c r="G794" t="s">
        <v>70</v>
      </c>
    </row>
    <row r="795" spans="1:7">
      <c r="A795">
        <v>43296</v>
      </c>
      <c r="B795" t="s">
        <v>48</v>
      </c>
      <c r="C795" t="s">
        <v>57</v>
      </c>
      <c r="D795">
        <v>4</v>
      </c>
      <c r="E795">
        <v>40</v>
      </c>
      <c r="F795">
        <v>0.1</v>
      </c>
      <c r="G795" t="s">
        <v>53</v>
      </c>
    </row>
    <row r="796" spans="1:7">
      <c r="A796">
        <v>43296</v>
      </c>
      <c r="B796" t="s">
        <v>52</v>
      </c>
      <c r="C796" t="s">
        <v>60</v>
      </c>
      <c r="D796">
        <v>2</v>
      </c>
      <c r="E796">
        <v>230</v>
      </c>
      <c r="F796">
        <v>0.09</v>
      </c>
      <c r="G796" t="s">
        <v>70</v>
      </c>
    </row>
    <row r="797" spans="1:7">
      <c r="A797">
        <v>43296</v>
      </c>
      <c r="B797" t="s">
        <v>48</v>
      </c>
      <c r="C797" t="s">
        <v>45</v>
      </c>
      <c r="D797">
        <v>22</v>
      </c>
      <c r="E797">
        <v>40</v>
      </c>
      <c r="F797">
        <v>0.02</v>
      </c>
      <c r="G797" t="s">
        <v>53</v>
      </c>
    </row>
    <row r="798" spans="1:7">
      <c r="A798">
        <v>43296</v>
      </c>
      <c r="B798" t="s">
        <v>48</v>
      </c>
      <c r="C798" t="s">
        <v>49</v>
      </c>
      <c r="D798">
        <v>4</v>
      </c>
      <c r="E798">
        <v>40</v>
      </c>
      <c r="F798">
        <v>0.03</v>
      </c>
      <c r="G798" t="s">
        <v>70</v>
      </c>
    </row>
    <row r="799" spans="1:7">
      <c r="A799">
        <v>43296</v>
      </c>
      <c r="B799" t="s">
        <v>63</v>
      </c>
      <c r="C799" t="s">
        <v>49</v>
      </c>
      <c r="D799">
        <v>5</v>
      </c>
      <c r="E799">
        <v>16</v>
      </c>
      <c r="F799">
        <v>0.11</v>
      </c>
      <c r="G799" t="s">
        <v>53</v>
      </c>
    </row>
    <row r="800" spans="1:7">
      <c r="A800">
        <v>43296</v>
      </c>
      <c r="B800" t="s">
        <v>44</v>
      </c>
      <c r="C800" t="s">
        <v>60</v>
      </c>
      <c r="D800">
        <v>2</v>
      </c>
      <c r="E800">
        <v>80</v>
      </c>
      <c r="F800">
        <v>0.08</v>
      </c>
      <c r="G800" t="s">
        <v>70</v>
      </c>
    </row>
    <row r="801" spans="1:7">
      <c r="A801">
        <v>43296</v>
      </c>
      <c r="B801" t="s">
        <v>63</v>
      </c>
      <c r="C801" t="s">
        <v>57</v>
      </c>
      <c r="D801">
        <v>9</v>
      </c>
      <c r="E801">
        <v>16</v>
      </c>
      <c r="F801">
        <v>0.05</v>
      </c>
      <c r="G801" t="s">
        <v>53</v>
      </c>
    </row>
    <row r="802" spans="1:7">
      <c r="A802">
        <v>43296</v>
      </c>
      <c r="B802" t="s">
        <v>52</v>
      </c>
      <c r="C802" t="s">
        <v>57</v>
      </c>
      <c r="D802">
        <v>6</v>
      </c>
      <c r="E802">
        <v>230</v>
      </c>
      <c r="F802">
        <v>0.05</v>
      </c>
      <c r="G802" t="s">
        <v>70</v>
      </c>
    </row>
    <row r="803" spans="1:7">
      <c r="A803">
        <v>43296</v>
      </c>
      <c r="B803" t="s">
        <v>67</v>
      </c>
      <c r="C803" t="s">
        <v>60</v>
      </c>
      <c r="D803">
        <v>22</v>
      </c>
      <c r="E803">
        <v>150</v>
      </c>
      <c r="F803">
        <v>0.05</v>
      </c>
      <c r="G803" t="s">
        <v>53</v>
      </c>
    </row>
    <row r="804" spans="1:7">
      <c r="A804">
        <v>43297</v>
      </c>
      <c r="B804" t="s">
        <v>52</v>
      </c>
      <c r="C804" t="s">
        <v>60</v>
      </c>
      <c r="D804">
        <v>8</v>
      </c>
      <c r="E804">
        <v>230</v>
      </c>
      <c r="F804">
        <v>0.01</v>
      </c>
      <c r="G804" t="s">
        <v>70</v>
      </c>
    </row>
    <row r="805" spans="1:7">
      <c r="A805">
        <v>43297</v>
      </c>
      <c r="B805" t="s">
        <v>67</v>
      </c>
      <c r="C805" t="s">
        <v>45</v>
      </c>
      <c r="D805">
        <v>22</v>
      </c>
      <c r="E805">
        <v>150</v>
      </c>
      <c r="F805">
        <v>0.05</v>
      </c>
      <c r="G805" t="s">
        <v>53</v>
      </c>
    </row>
    <row r="806" spans="1:7">
      <c r="A806">
        <v>43297</v>
      </c>
      <c r="B806" t="s">
        <v>48</v>
      </c>
      <c r="C806" t="s">
        <v>45</v>
      </c>
      <c r="D806">
        <v>5</v>
      </c>
      <c r="E806">
        <v>40</v>
      </c>
      <c r="F806">
        <v>0.06</v>
      </c>
      <c r="G806" t="s">
        <v>70</v>
      </c>
    </row>
    <row r="807" spans="1:7">
      <c r="A807">
        <v>43297</v>
      </c>
      <c r="B807" t="s">
        <v>67</v>
      </c>
      <c r="C807" t="s">
        <v>60</v>
      </c>
      <c r="D807">
        <v>20</v>
      </c>
      <c r="E807">
        <v>150</v>
      </c>
      <c r="F807">
        <v>0.1</v>
      </c>
      <c r="G807" t="s">
        <v>53</v>
      </c>
    </row>
    <row r="808" spans="1:7">
      <c r="A808">
        <v>43297</v>
      </c>
      <c r="B808" t="s">
        <v>44</v>
      </c>
      <c r="C808" t="s">
        <v>60</v>
      </c>
      <c r="D808">
        <v>22</v>
      </c>
      <c r="E808">
        <v>80</v>
      </c>
      <c r="F808">
        <v>0.03</v>
      </c>
      <c r="G808" t="s">
        <v>70</v>
      </c>
    </row>
    <row r="809" spans="1:7">
      <c r="A809">
        <v>43297</v>
      </c>
      <c r="B809" t="s">
        <v>63</v>
      </c>
      <c r="C809" t="s">
        <v>45</v>
      </c>
      <c r="D809">
        <v>11</v>
      </c>
      <c r="E809">
        <v>16</v>
      </c>
      <c r="F809">
        <v>0.09</v>
      </c>
      <c r="G809" t="s">
        <v>53</v>
      </c>
    </row>
    <row r="810" spans="1:7">
      <c r="A810">
        <v>43297</v>
      </c>
      <c r="B810" t="s">
        <v>63</v>
      </c>
      <c r="C810" t="s">
        <v>49</v>
      </c>
      <c r="D810">
        <v>22</v>
      </c>
      <c r="E810">
        <v>16</v>
      </c>
      <c r="F810">
        <v>0.01</v>
      </c>
      <c r="G810" t="s">
        <v>70</v>
      </c>
    </row>
    <row r="811" spans="1:7">
      <c r="A811">
        <v>43297</v>
      </c>
      <c r="B811" t="s">
        <v>48</v>
      </c>
      <c r="C811" t="s">
        <v>49</v>
      </c>
      <c r="D811">
        <v>23</v>
      </c>
      <c r="E811">
        <v>40</v>
      </c>
      <c r="F811">
        <v>0.06</v>
      </c>
      <c r="G811" t="s">
        <v>53</v>
      </c>
    </row>
    <row r="812" spans="1:7">
      <c r="A812">
        <v>43297</v>
      </c>
      <c r="B812" t="s">
        <v>44</v>
      </c>
      <c r="C812" t="s">
        <v>57</v>
      </c>
      <c r="D812">
        <v>14</v>
      </c>
      <c r="E812">
        <v>80</v>
      </c>
      <c r="F812">
        <v>0.1</v>
      </c>
      <c r="G812" t="s">
        <v>70</v>
      </c>
    </row>
    <row r="813" spans="1:7">
      <c r="A813">
        <v>43297</v>
      </c>
      <c r="B813" t="s">
        <v>48</v>
      </c>
      <c r="C813" t="s">
        <v>45</v>
      </c>
      <c r="D813">
        <v>18</v>
      </c>
      <c r="E813">
        <v>40</v>
      </c>
      <c r="F813">
        <v>0.06</v>
      </c>
      <c r="G813" t="s">
        <v>53</v>
      </c>
    </row>
    <row r="814" spans="1:7">
      <c r="A814">
        <v>43298</v>
      </c>
      <c r="B814" t="s">
        <v>67</v>
      </c>
      <c r="C814" t="s">
        <v>60</v>
      </c>
      <c r="D814">
        <v>7</v>
      </c>
      <c r="E814">
        <v>150</v>
      </c>
      <c r="F814">
        <v>0.05</v>
      </c>
      <c r="G814" t="s">
        <v>50</v>
      </c>
    </row>
    <row r="815" spans="1:7">
      <c r="A815">
        <v>43298</v>
      </c>
      <c r="B815" t="s">
        <v>48</v>
      </c>
      <c r="C815" t="s">
        <v>60</v>
      </c>
      <c r="D815">
        <v>15</v>
      </c>
      <c r="E815">
        <v>40</v>
      </c>
      <c r="F815">
        <v>0.03</v>
      </c>
      <c r="G815" t="s">
        <v>53</v>
      </c>
    </row>
    <row r="816" spans="1:7">
      <c r="A816">
        <v>43298</v>
      </c>
      <c r="B816" t="s">
        <v>63</v>
      </c>
      <c r="C816" t="s">
        <v>45</v>
      </c>
      <c r="D816">
        <v>7</v>
      </c>
      <c r="E816">
        <v>16</v>
      </c>
      <c r="F816">
        <v>0.02</v>
      </c>
      <c r="G816" t="s">
        <v>55</v>
      </c>
    </row>
    <row r="817" spans="1:7">
      <c r="A817">
        <v>43298</v>
      </c>
      <c r="B817" t="s">
        <v>63</v>
      </c>
      <c r="C817" t="s">
        <v>60</v>
      </c>
      <c r="D817">
        <v>15</v>
      </c>
      <c r="E817">
        <v>16</v>
      </c>
      <c r="F817">
        <v>0.12</v>
      </c>
      <c r="G817" t="s">
        <v>58</v>
      </c>
    </row>
    <row r="818" spans="1:7">
      <c r="A818">
        <v>43298</v>
      </c>
      <c r="B818" t="s">
        <v>48</v>
      </c>
      <c r="C818" t="s">
        <v>45</v>
      </c>
      <c r="D818">
        <v>5</v>
      </c>
      <c r="E818">
        <v>40</v>
      </c>
      <c r="F818">
        <v>0.09</v>
      </c>
      <c r="G818" t="s">
        <v>61</v>
      </c>
    </row>
    <row r="819" spans="1:7">
      <c r="A819">
        <v>43298</v>
      </c>
      <c r="B819" t="s">
        <v>48</v>
      </c>
      <c r="C819" t="s">
        <v>64</v>
      </c>
      <c r="D819">
        <v>20</v>
      </c>
      <c r="E819">
        <v>40</v>
      </c>
      <c r="F819">
        <v>0.03</v>
      </c>
      <c r="G819" t="s">
        <v>65</v>
      </c>
    </row>
    <row r="820" spans="1:7">
      <c r="A820">
        <v>43298</v>
      </c>
      <c r="B820" t="s">
        <v>52</v>
      </c>
      <c r="C820" t="s">
        <v>60</v>
      </c>
      <c r="D820">
        <v>11</v>
      </c>
      <c r="E820">
        <v>230</v>
      </c>
      <c r="F820">
        <v>0.12</v>
      </c>
      <c r="G820" t="s">
        <v>68</v>
      </c>
    </row>
    <row r="821" spans="1:7">
      <c r="A821">
        <v>43298</v>
      </c>
      <c r="B821" t="s">
        <v>63</v>
      </c>
      <c r="C821" t="s">
        <v>64</v>
      </c>
      <c r="D821">
        <v>17</v>
      </c>
      <c r="E821">
        <v>16</v>
      </c>
      <c r="F821">
        <v>0.08</v>
      </c>
      <c r="G821" t="s">
        <v>70</v>
      </c>
    </row>
    <row r="822" spans="1:7">
      <c r="A822">
        <v>43299</v>
      </c>
      <c r="B822" t="s">
        <v>63</v>
      </c>
      <c r="C822" t="s">
        <v>45</v>
      </c>
      <c r="D822">
        <v>18</v>
      </c>
      <c r="E822">
        <v>16</v>
      </c>
      <c r="F822">
        <v>0.11</v>
      </c>
      <c r="G822" t="s">
        <v>72</v>
      </c>
    </row>
    <row r="823" spans="1:7">
      <c r="A823">
        <v>43299</v>
      </c>
      <c r="B823" t="s">
        <v>52</v>
      </c>
      <c r="C823" t="s">
        <v>60</v>
      </c>
      <c r="D823">
        <v>2</v>
      </c>
      <c r="E823">
        <v>230</v>
      </c>
      <c r="F823">
        <v>0.08</v>
      </c>
      <c r="G823" t="s">
        <v>74</v>
      </c>
    </row>
    <row r="824" spans="1:7">
      <c r="A824">
        <v>43299</v>
      </c>
      <c r="B824" t="s">
        <v>63</v>
      </c>
      <c r="C824" t="s">
        <v>57</v>
      </c>
      <c r="D824">
        <v>17</v>
      </c>
      <c r="E824">
        <v>16</v>
      </c>
      <c r="F824">
        <v>0.05</v>
      </c>
      <c r="G824" t="s">
        <v>76</v>
      </c>
    </row>
    <row r="825" spans="1:7">
      <c r="A825">
        <v>43299</v>
      </c>
      <c r="B825" t="s">
        <v>44</v>
      </c>
      <c r="C825" t="s">
        <v>60</v>
      </c>
      <c r="D825">
        <v>16</v>
      </c>
      <c r="E825">
        <v>80</v>
      </c>
      <c r="F825">
        <v>0.05</v>
      </c>
      <c r="G825" t="s">
        <v>46</v>
      </c>
    </row>
    <row r="826" spans="1:7">
      <c r="A826">
        <v>43299</v>
      </c>
      <c r="B826" t="s">
        <v>52</v>
      </c>
      <c r="C826" t="s">
        <v>49</v>
      </c>
      <c r="D826">
        <v>14</v>
      </c>
      <c r="E826">
        <v>230</v>
      </c>
      <c r="F826">
        <v>0.05</v>
      </c>
      <c r="G826" t="s">
        <v>50</v>
      </c>
    </row>
    <row r="827" spans="1:7">
      <c r="A827">
        <v>43299</v>
      </c>
      <c r="B827" t="s">
        <v>48</v>
      </c>
      <c r="C827" t="s">
        <v>57</v>
      </c>
      <c r="D827">
        <v>13</v>
      </c>
      <c r="E827">
        <v>40</v>
      </c>
      <c r="F827">
        <v>0.02</v>
      </c>
      <c r="G827" t="s">
        <v>53</v>
      </c>
    </row>
    <row r="828" spans="1:7">
      <c r="A828">
        <v>43299</v>
      </c>
      <c r="B828" t="s">
        <v>52</v>
      </c>
      <c r="C828" t="s">
        <v>49</v>
      </c>
      <c r="D828">
        <v>7</v>
      </c>
      <c r="E828">
        <v>230</v>
      </c>
      <c r="F828">
        <v>0.08</v>
      </c>
      <c r="G828" t="s">
        <v>55</v>
      </c>
    </row>
    <row r="829" spans="1:7">
      <c r="A829">
        <v>43299</v>
      </c>
      <c r="B829" t="s">
        <v>48</v>
      </c>
      <c r="C829" t="s">
        <v>60</v>
      </c>
      <c r="D829">
        <v>7</v>
      </c>
      <c r="E829">
        <v>40</v>
      </c>
      <c r="F829">
        <v>0.11</v>
      </c>
      <c r="G829" t="s">
        <v>58</v>
      </c>
    </row>
    <row r="830" spans="1:7">
      <c r="A830">
        <v>43299</v>
      </c>
      <c r="B830" t="s">
        <v>52</v>
      </c>
      <c r="C830" t="s">
        <v>57</v>
      </c>
      <c r="D830">
        <v>12</v>
      </c>
      <c r="E830">
        <v>230</v>
      </c>
      <c r="F830">
        <v>0.06</v>
      </c>
      <c r="G830" t="s">
        <v>61</v>
      </c>
    </row>
    <row r="831" spans="1:7">
      <c r="A831">
        <v>43299</v>
      </c>
      <c r="B831" t="s">
        <v>48</v>
      </c>
      <c r="C831" t="s">
        <v>45</v>
      </c>
      <c r="D831">
        <v>19</v>
      </c>
      <c r="E831">
        <v>40</v>
      </c>
      <c r="F831">
        <v>0.04</v>
      </c>
      <c r="G831" t="s">
        <v>50</v>
      </c>
    </row>
    <row r="832" spans="1:7">
      <c r="A832">
        <v>43300</v>
      </c>
      <c r="B832" t="s">
        <v>52</v>
      </c>
      <c r="C832" t="s">
        <v>57</v>
      </c>
      <c r="D832">
        <v>20</v>
      </c>
      <c r="E832">
        <v>230</v>
      </c>
      <c r="F832">
        <v>0.06</v>
      </c>
      <c r="G832" t="s">
        <v>53</v>
      </c>
    </row>
    <row r="833" spans="1:7">
      <c r="A833">
        <v>43300</v>
      </c>
      <c r="B833" t="s">
        <v>48</v>
      </c>
      <c r="C833" t="s">
        <v>64</v>
      </c>
      <c r="D833">
        <v>23</v>
      </c>
      <c r="E833">
        <v>40</v>
      </c>
      <c r="F833">
        <v>0.04</v>
      </c>
      <c r="G833" t="s">
        <v>55</v>
      </c>
    </row>
    <row r="834" spans="1:7">
      <c r="A834">
        <v>43300</v>
      </c>
      <c r="B834" t="s">
        <v>44</v>
      </c>
      <c r="C834" t="s">
        <v>64</v>
      </c>
      <c r="D834">
        <v>16</v>
      </c>
      <c r="E834">
        <v>80</v>
      </c>
      <c r="F834">
        <v>0.05</v>
      </c>
      <c r="G834" t="s">
        <v>58</v>
      </c>
    </row>
    <row r="835" spans="1:7">
      <c r="A835">
        <v>43300</v>
      </c>
      <c r="B835" t="s">
        <v>67</v>
      </c>
      <c r="C835" t="s">
        <v>49</v>
      </c>
      <c r="D835">
        <v>23</v>
      </c>
      <c r="E835">
        <v>150</v>
      </c>
      <c r="F835">
        <v>0.11</v>
      </c>
      <c r="G835" t="s">
        <v>61</v>
      </c>
    </row>
    <row r="836" spans="1:7">
      <c r="A836">
        <v>43300</v>
      </c>
      <c r="B836" t="s">
        <v>63</v>
      </c>
      <c r="C836" t="s">
        <v>49</v>
      </c>
      <c r="D836">
        <v>4</v>
      </c>
      <c r="E836">
        <v>16</v>
      </c>
      <c r="F836">
        <v>0.07</v>
      </c>
      <c r="G836" t="s">
        <v>65</v>
      </c>
    </row>
    <row r="837" spans="1:7">
      <c r="A837">
        <v>43300</v>
      </c>
      <c r="B837" t="s">
        <v>52</v>
      </c>
      <c r="C837" t="s">
        <v>45</v>
      </c>
      <c r="D837">
        <v>8</v>
      </c>
      <c r="E837">
        <v>230</v>
      </c>
      <c r="F837">
        <v>0.03</v>
      </c>
      <c r="G837" t="s">
        <v>68</v>
      </c>
    </row>
    <row r="838" spans="1:7">
      <c r="A838">
        <v>43300</v>
      </c>
      <c r="B838" t="s">
        <v>44</v>
      </c>
      <c r="C838" t="s">
        <v>49</v>
      </c>
      <c r="D838">
        <v>17</v>
      </c>
      <c r="E838">
        <v>80</v>
      </c>
      <c r="F838">
        <v>0.03</v>
      </c>
      <c r="G838" t="s">
        <v>70</v>
      </c>
    </row>
    <row r="839" spans="1:7">
      <c r="A839">
        <v>43300</v>
      </c>
      <c r="B839" t="s">
        <v>44</v>
      </c>
      <c r="C839" t="s">
        <v>60</v>
      </c>
      <c r="D839">
        <v>10</v>
      </c>
      <c r="E839">
        <v>80</v>
      </c>
      <c r="F839">
        <v>0.1</v>
      </c>
      <c r="G839" t="s">
        <v>72</v>
      </c>
    </row>
    <row r="840" spans="1:7">
      <c r="A840">
        <v>43300</v>
      </c>
      <c r="B840" t="s">
        <v>63</v>
      </c>
      <c r="C840" t="s">
        <v>45</v>
      </c>
      <c r="D840">
        <v>20</v>
      </c>
      <c r="E840">
        <v>16</v>
      </c>
      <c r="F840">
        <v>0.11</v>
      </c>
      <c r="G840" t="s">
        <v>74</v>
      </c>
    </row>
    <row r="841" spans="1:7">
      <c r="A841">
        <v>43301</v>
      </c>
      <c r="B841" t="s">
        <v>52</v>
      </c>
      <c r="C841" t="s">
        <v>60</v>
      </c>
      <c r="D841">
        <v>19</v>
      </c>
      <c r="E841">
        <v>230</v>
      </c>
      <c r="F841">
        <v>0.06</v>
      </c>
      <c r="G841" t="s">
        <v>76</v>
      </c>
    </row>
    <row r="842" spans="1:7">
      <c r="A842">
        <v>43301</v>
      </c>
      <c r="B842" t="s">
        <v>48</v>
      </c>
      <c r="C842" t="s">
        <v>57</v>
      </c>
      <c r="D842">
        <v>18</v>
      </c>
      <c r="E842">
        <v>40</v>
      </c>
      <c r="F842">
        <v>0.03</v>
      </c>
      <c r="G842" t="s">
        <v>46</v>
      </c>
    </row>
    <row r="843" spans="1:7">
      <c r="A843">
        <v>43301</v>
      </c>
      <c r="B843" t="s">
        <v>44</v>
      </c>
      <c r="C843" t="s">
        <v>49</v>
      </c>
      <c r="D843">
        <v>16</v>
      </c>
      <c r="E843">
        <v>80</v>
      </c>
      <c r="F843">
        <v>0.04</v>
      </c>
      <c r="G843" t="s">
        <v>50</v>
      </c>
    </row>
    <row r="844" spans="1:7">
      <c r="A844">
        <v>43301</v>
      </c>
      <c r="B844" t="s">
        <v>44</v>
      </c>
      <c r="C844" t="s">
        <v>60</v>
      </c>
      <c r="D844">
        <v>8</v>
      </c>
      <c r="E844">
        <v>80</v>
      </c>
      <c r="F844">
        <v>0.06</v>
      </c>
      <c r="G844" t="s">
        <v>53</v>
      </c>
    </row>
    <row r="845" spans="1:7">
      <c r="A845">
        <v>43301</v>
      </c>
      <c r="B845" t="s">
        <v>67</v>
      </c>
      <c r="C845" t="s">
        <v>60</v>
      </c>
      <c r="D845">
        <v>4</v>
      </c>
      <c r="E845">
        <v>150</v>
      </c>
      <c r="F845">
        <v>0.12</v>
      </c>
      <c r="G845" t="s">
        <v>55</v>
      </c>
    </row>
    <row r="846" spans="1:7">
      <c r="A846">
        <v>43301</v>
      </c>
      <c r="B846" t="s">
        <v>52</v>
      </c>
      <c r="C846" t="s">
        <v>57</v>
      </c>
      <c r="D846">
        <v>15</v>
      </c>
      <c r="E846">
        <v>230</v>
      </c>
      <c r="F846">
        <v>0.04</v>
      </c>
      <c r="G846" t="s">
        <v>58</v>
      </c>
    </row>
    <row r="847" spans="1:7">
      <c r="A847">
        <v>43302</v>
      </c>
      <c r="B847" t="s">
        <v>63</v>
      </c>
      <c r="C847" t="s">
        <v>49</v>
      </c>
      <c r="D847">
        <v>7</v>
      </c>
      <c r="E847">
        <v>16</v>
      </c>
      <c r="F847">
        <v>0.08</v>
      </c>
      <c r="G847" t="s">
        <v>61</v>
      </c>
    </row>
    <row r="848" spans="1:7">
      <c r="A848">
        <v>43302</v>
      </c>
      <c r="B848" t="s">
        <v>48</v>
      </c>
      <c r="C848" t="s">
        <v>45</v>
      </c>
      <c r="D848">
        <v>18</v>
      </c>
      <c r="E848">
        <v>40</v>
      </c>
      <c r="F848">
        <v>0.11</v>
      </c>
      <c r="G848" t="s">
        <v>50</v>
      </c>
    </row>
    <row r="849" spans="1:7">
      <c r="A849">
        <v>43302</v>
      </c>
      <c r="B849" t="s">
        <v>48</v>
      </c>
      <c r="C849" t="s">
        <v>57</v>
      </c>
      <c r="D849">
        <v>4</v>
      </c>
      <c r="E849">
        <v>40</v>
      </c>
      <c r="F849">
        <v>0.06</v>
      </c>
      <c r="G849" t="s">
        <v>53</v>
      </c>
    </row>
    <row r="850" spans="1:7">
      <c r="A850">
        <v>43302</v>
      </c>
      <c r="B850" t="s">
        <v>48</v>
      </c>
      <c r="C850" t="s">
        <v>64</v>
      </c>
      <c r="D850">
        <v>16</v>
      </c>
      <c r="E850">
        <v>40</v>
      </c>
      <c r="F850">
        <v>0.09</v>
      </c>
      <c r="G850" t="s">
        <v>55</v>
      </c>
    </row>
    <row r="851" spans="1:7">
      <c r="A851">
        <v>43302</v>
      </c>
      <c r="B851" t="s">
        <v>48</v>
      </c>
      <c r="C851" t="s">
        <v>49</v>
      </c>
      <c r="D851">
        <v>18</v>
      </c>
      <c r="E851">
        <v>40</v>
      </c>
      <c r="F851">
        <v>0.08</v>
      </c>
      <c r="G851" t="s">
        <v>58</v>
      </c>
    </row>
    <row r="852" spans="1:7">
      <c r="A852">
        <v>43302</v>
      </c>
      <c r="B852" t="s">
        <v>48</v>
      </c>
      <c r="C852" t="s">
        <v>45</v>
      </c>
      <c r="D852">
        <v>9</v>
      </c>
      <c r="E852">
        <v>40</v>
      </c>
      <c r="F852">
        <v>0.01</v>
      </c>
      <c r="G852" t="s">
        <v>61</v>
      </c>
    </row>
    <row r="853" spans="1:7">
      <c r="A853">
        <v>43302</v>
      </c>
      <c r="B853" t="s">
        <v>52</v>
      </c>
      <c r="C853" t="s">
        <v>60</v>
      </c>
      <c r="D853">
        <v>16</v>
      </c>
      <c r="E853">
        <v>230</v>
      </c>
      <c r="F853">
        <v>0.11</v>
      </c>
      <c r="G853" t="s">
        <v>65</v>
      </c>
    </row>
    <row r="854" spans="1:7">
      <c r="A854">
        <v>43302</v>
      </c>
      <c r="B854" t="s">
        <v>63</v>
      </c>
      <c r="C854" t="s">
        <v>57</v>
      </c>
      <c r="D854">
        <v>12</v>
      </c>
      <c r="E854">
        <v>16</v>
      </c>
      <c r="F854">
        <v>0.11</v>
      </c>
      <c r="G854" t="s">
        <v>68</v>
      </c>
    </row>
    <row r="855" spans="1:7">
      <c r="A855">
        <v>43302</v>
      </c>
      <c r="B855" t="s">
        <v>44</v>
      </c>
      <c r="C855" t="s">
        <v>49</v>
      </c>
      <c r="D855">
        <v>2</v>
      </c>
      <c r="E855">
        <v>80</v>
      </c>
      <c r="F855">
        <v>0.07</v>
      </c>
      <c r="G855" t="s">
        <v>70</v>
      </c>
    </row>
    <row r="856" spans="1:7">
      <c r="A856">
        <v>43302</v>
      </c>
      <c r="B856" t="s">
        <v>48</v>
      </c>
      <c r="C856" t="s">
        <v>45</v>
      </c>
      <c r="D856">
        <v>2</v>
      </c>
      <c r="E856">
        <v>40</v>
      </c>
      <c r="F856">
        <v>0.12</v>
      </c>
      <c r="G856" t="s">
        <v>72</v>
      </c>
    </row>
    <row r="857" spans="1:7">
      <c r="A857">
        <v>43303</v>
      </c>
      <c r="B857" t="s">
        <v>67</v>
      </c>
      <c r="C857" t="s">
        <v>45</v>
      </c>
      <c r="D857">
        <v>13</v>
      </c>
      <c r="E857">
        <v>150</v>
      </c>
      <c r="F857">
        <v>0.05</v>
      </c>
      <c r="G857" t="s">
        <v>74</v>
      </c>
    </row>
    <row r="858" spans="1:7">
      <c r="A858">
        <v>43303</v>
      </c>
      <c r="B858" t="s">
        <v>44</v>
      </c>
      <c r="C858" t="s">
        <v>45</v>
      </c>
      <c r="D858">
        <v>14</v>
      </c>
      <c r="E858">
        <v>80</v>
      </c>
      <c r="F858">
        <v>0.08</v>
      </c>
      <c r="G858" t="s">
        <v>76</v>
      </c>
    </row>
    <row r="859" spans="1:7">
      <c r="A859">
        <v>43303</v>
      </c>
      <c r="B859" t="s">
        <v>67</v>
      </c>
      <c r="C859" t="s">
        <v>60</v>
      </c>
      <c r="D859">
        <v>6</v>
      </c>
      <c r="E859">
        <v>150</v>
      </c>
      <c r="F859">
        <v>0.03</v>
      </c>
      <c r="G859" t="s">
        <v>46</v>
      </c>
    </row>
    <row r="860" spans="1:7">
      <c r="A860">
        <v>43303</v>
      </c>
      <c r="B860" t="s">
        <v>44</v>
      </c>
      <c r="C860" t="s">
        <v>60</v>
      </c>
      <c r="D860">
        <v>23</v>
      </c>
      <c r="E860">
        <v>80</v>
      </c>
      <c r="F860">
        <v>0.11</v>
      </c>
      <c r="G860" t="s">
        <v>50</v>
      </c>
    </row>
    <row r="861" spans="1:7">
      <c r="A861">
        <v>43303</v>
      </c>
      <c r="B861" t="s">
        <v>44</v>
      </c>
      <c r="C861" t="s">
        <v>60</v>
      </c>
      <c r="D861">
        <v>21</v>
      </c>
      <c r="E861">
        <v>80</v>
      </c>
      <c r="F861">
        <v>0.05</v>
      </c>
      <c r="G861" t="s">
        <v>53</v>
      </c>
    </row>
    <row r="862" spans="1:7">
      <c r="A862">
        <v>43303</v>
      </c>
      <c r="B862" t="s">
        <v>63</v>
      </c>
      <c r="C862" t="s">
        <v>57</v>
      </c>
      <c r="D862">
        <v>3</v>
      </c>
      <c r="E862">
        <v>16</v>
      </c>
      <c r="F862">
        <v>0.05</v>
      </c>
      <c r="G862" t="s">
        <v>55</v>
      </c>
    </row>
    <row r="863" spans="1:7">
      <c r="A863">
        <v>43303</v>
      </c>
      <c r="B863" t="s">
        <v>63</v>
      </c>
      <c r="C863" t="s">
        <v>49</v>
      </c>
      <c r="D863">
        <v>21</v>
      </c>
      <c r="E863">
        <v>16</v>
      </c>
      <c r="F863">
        <v>0.02</v>
      </c>
      <c r="G863" t="s">
        <v>58</v>
      </c>
    </row>
    <row r="864" spans="1:7">
      <c r="A864">
        <v>43303</v>
      </c>
      <c r="B864" t="s">
        <v>44</v>
      </c>
      <c r="C864" t="s">
        <v>60</v>
      </c>
      <c r="D864">
        <v>4</v>
      </c>
      <c r="E864">
        <v>80</v>
      </c>
      <c r="F864">
        <v>0.11</v>
      </c>
      <c r="G864" t="s">
        <v>61</v>
      </c>
    </row>
    <row r="865" spans="1:7">
      <c r="A865">
        <v>43303</v>
      </c>
      <c r="B865" t="s">
        <v>67</v>
      </c>
      <c r="C865" t="s">
        <v>64</v>
      </c>
      <c r="D865">
        <v>23</v>
      </c>
      <c r="E865">
        <v>150</v>
      </c>
      <c r="F865">
        <v>0.08</v>
      </c>
      <c r="G865" t="s">
        <v>50</v>
      </c>
    </row>
    <row r="866" spans="1:7">
      <c r="A866">
        <v>43303</v>
      </c>
      <c r="B866" t="s">
        <v>63</v>
      </c>
      <c r="C866" t="s">
        <v>64</v>
      </c>
      <c r="D866">
        <v>23</v>
      </c>
      <c r="E866">
        <v>16</v>
      </c>
      <c r="F866">
        <v>0.01</v>
      </c>
      <c r="G866" t="s">
        <v>53</v>
      </c>
    </row>
    <row r="867" spans="1:7">
      <c r="A867">
        <v>43303</v>
      </c>
      <c r="B867" t="s">
        <v>48</v>
      </c>
      <c r="C867" t="s">
        <v>60</v>
      </c>
      <c r="D867">
        <v>22</v>
      </c>
      <c r="E867">
        <v>40</v>
      </c>
      <c r="F867">
        <v>0.01</v>
      </c>
      <c r="G867" t="s">
        <v>55</v>
      </c>
    </row>
    <row r="868" spans="1:7">
      <c r="A868">
        <v>43304</v>
      </c>
      <c r="B868" t="s">
        <v>67</v>
      </c>
      <c r="C868" t="s">
        <v>45</v>
      </c>
      <c r="D868">
        <v>8</v>
      </c>
      <c r="E868">
        <v>150</v>
      </c>
      <c r="F868">
        <v>0.09</v>
      </c>
      <c r="G868" t="s">
        <v>58</v>
      </c>
    </row>
    <row r="869" spans="1:7">
      <c r="A869">
        <v>43304</v>
      </c>
      <c r="B869" t="s">
        <v>67</v>
      </c>
      <c r="C869" t="s">
        <v>45</v>
      </c>
      <c r="D869">
        <v>20</v>
      </c>
      <c r="E869">
        <v>150</v>
      </c>
      <c r="F869">
        <v>0.01</v>
      </c>
      <c r="G869" t="s">
        <v>61</v>
      </c>
    </row>
    <row r="870" spans="1:7">
      <c r="A870">
        <v>43304</v>
      </c>
      <c r="B870" t="s">
        <v>52</v>
      </c>
      <c r="C870" t="s">
        <v>49</v>
      </c>
      <c r="D870">
        <v>22</v>
      </c>
      <c r="E870">
        <v>230</v>
      </c>
      <c r="F870">
        <v>0.11</v>
      </c>
      <c r="G870" t="s">
        <v>65</v>
      </c>
    </row>
    <row r="871" spans="1:7">
      <c r="A871">
        <v>43304</v>
      </c>
      <c r="B871" t="s">
        <v>63</v>
      </c>
      <c r="C871" t="s">
        <v>57</v>
      </c>
      <c r="D871">
        <v>23</v>
      </c>
      <c r="E871">
        <v>16</v>
      </c>
      <c r="F871">
        <v>0.11</v>
      </c>
      <c r="G871" t="s">
        <v>68</v>
      </c>
    </row>
    <row r="872" spans="1:7">
      <c r="A872">
        <v>43304</v>
      </c>
      <c r="B872" t="s">
        <v>44</v>
      </c>
      <c r="C872" t="s">
        <v>45</v>
      </c>
      <c r="D872">
        <v>6</v>
      </c>
      <c r="E872">
        <v>80</v>
      </c>
      <c r="F872">
        <v>0.01</v>
      </c>
      <c r="G872" t="s">
        <v>70</v>
      </c>
    </row>
    <row r="873" spans="1:7">
      <c r="A873">
        <v>43304</v>
      </c>
      <c r="B873" t="s">
        <v>63</v>
      </c>
      <c r="C873" t="s">
        <v>45</v>
      </c>
      <c r="D873">
        <v>7</v>
      </c>
      <c r="E873">
        <v>16</v>
      </c>
      <c r="F873">
        <v>0.12</v>
      </c>
      <c r="G873" t="s">
        <v>72</v>
      </c>
    </row>
    <row r="874" spans="1:7">
      <c r="A874">
        <v>43304</v>
      </c>
      <c r="B874" t="s">
        <v>44</v>
      </c>
      <c r="C874" t="s">
        <v>49</v>
      </c>
      <c r="D874">
        <v>10</v>
      </c>
      <c r="E874">
        <v>80</v>
      </c>
      <c r="F874">
        <v>0.11</v>
      </c>
      <c r="G874" t="s">
        <v>74</v>
      </c>
    </row>
    <row r="875" spans="1:7">
      <c r="A875">
        <v>43304</v>
      </c>
      <c r="B875" t="s">
        <v>52</v>
      </c>
      <c r="C875" t="s">
        <v>45</v>
      </c>
      <c r="D875">
        <v>9</v>
      </c>
      <c r="E875">
        <v>230</v>
      </c>
      <c r="F875">
        <v>0.07</v>
      </c>
      <c r="G875" t="s">
        <v>76</v>
      </c>
    </row>
    <row r="876" spans="1:7">
      <c r="A876">
        <v>43305</v>
      </c>
      <c r="B876" t="s">
        <v>48</v>
      </c>
      <c r="C876" t="s">
        <v>49</v>
      </c>
      <c r="D876">
        <v>12</v>
      </c>
      <c r="E876">
        <v>40</v>
      </c>
      <c r="F876">
        <v>0.1</v>
      </c>
      <c r="G876" t="s">
        <v>46</v>
      </c>
    </row>
    <row r="877" spans="1:7">
      <c r="A877">
        <v>43305</v>
      </c>
      <c r="B877" t="s">
        <v>63</v>
      </c>
      <c r="C877" t="s">
        <v>64</v>
      </c>
      <c r="D877">
        <v>17</v>
      </c>
      <c r="E877">
        <v>16</v>
      </c>
      <c r="F877">
        <v>0.1</v>
      </c>
      <c r="G877" t="s">
        <v>50</v>
      </c>
    </row>
    <row r="878" spans="1:7">
      <c r="A878">
        <v>43305</v>
      </c>
      <c r="B878" t="s">
        <v>67</v>
      </c>
      <c r="C878" t="s">
        <v>57</v>
      </c>
      <c r="D878">
        <v>22</v>
      </c>
      <c r="E878">
        <v>150</v>
      </c>
      <c r="F878">
        <v>0.04</v>
      </c>
      <c r="G878" t="s">
        <v>53</v>
      </c>
    </row>
    <row r="879" spans="1:7">
      <c r="A879">
        <v>43305</v>
      </c>
      <c r="B879" t="s">
        <v>67</v>
      </c>
      <c r="C879" t="s">
        <v>57</v>
      </c>
      <c r="D879">
        <v>11</v>
      </c>
      <c r="E879">
        <v>150</v>
      </c>
      <c r="F879">
        <v>0.05</v>
      </c>
      <c r="G879" t="s">
        <v>55</v>
      </c>
    </row>
    <row r="880" spans="1:7">
      <c r="A880">
        <v>43305</v>
      </c>
      <c r="B880" t="s">
        <v>44</v>
      </c>
      <c r="C880" t="s">
        <v>64</v>
      </c>
      <c r="D880">
        <v>9</v>
      </c>
      <c r="E880">
        <v>80</v>
      </c>
      <c r="F880">
        <v>0.02</v>
      </c>
      <c r="G880" t="s">
        <v>58</v>
      </c>
    </row>
    <row r="881" spans="1:7">
      <c r="A881">
        <v>43305</v>
      </c>
      <c r="B881" t="s">
        <v>44</v>
      </c>
      <c r="C881" t="s">
        <v>64</v>
      </c>
      <c r="D881">
        <v>13</v>
      </c>
      <c r="E881">
        <v>80</v>
      </c>
      <c r="F881">
        <v>0.05</v>
      </c>
      <c r="G881" t="s">
        <v>61</v>
      </c>
    </row>
    <row r="882" spans="1:7">
      <c r="A882">
        <v>43305</v>
      </c>
      <c r="B882" t="s">
        <v>48</v>
      </c>
      <c r="C882" t="s">
        <v>64</v>
      </c>
      <c r="D882">
        <v>20</v>
      </c>
      <c r="E882">
        <v>40</v>
      </c>
      <c r="F882">
        <v>0.1</v>
      </c>
      <c r="G882" t="s">
        <v>50</v>
      </c>
    </row>
    <row r="883" spans="1:7">
      <c r="A883">
        <v>43305</v>
      </c>
      <c r="B883" t="s">
        <v>48</v>
      </c>
      <c r="C883" t="s">
        <v>49</v>
      </c>
      <c r="D883">
        <v>15</v>
      </c>
      <c r="E883">
        <v>40</v>
      </c>
      <c r="F883">
        <v>0.02</v>
      </c>
      <c r="G883" t="s">
        <v>53</v>
      </c>
    </row>
    <row r="884" spans="1:7">
      <c r="A884">
        <v>43306</v>
      </c>
      <c r="B884" t="s">
        <v>67</v>
      </c>
      <c r="C884" t="s">
        <v>64</v>
      </c>
      <c r="D884">
        <v>15</v>
      </c>
      <c r="E884">
        <v>150</v>
      </c>
      <c r="F884">
        <v>0.07</v>
      </c>
      <c r="G884" t="s">
        <v>55</v>
      </c>
    </row>
    <row r="885" spans="1:7">
      <c r="A885">
        <v>43306</v>
      </c>
      <c r="B885" t="s">
        <v>44</v>
      </c>
      <c r="C885" t="s">
        <v>64</v>
      </c>
      <c r="D885">
        <v>16</v>
      </c>
      <c r="E885">
        <v>80</v>
      </c>
      <c r="F885">
        <v>0.09</v>
      </c>
      <c r="G885" t="s">
        <v>58</v>
      </c>
    </row>
    <row r="886" spans="1:7">
      <c r="A886">
        <v>43306</v>
      </c>
      <c r="B886" t="s">
        <v>52</v>
      </c>
      <c r="C886" t="s">
        <v>45</v>
      </c>
      <c r="D886">
        <v>16</v>
      </c>
      <c r="E886">
        <v>230</v>
      </c>
      <c r="F886">
        <v>0.07</v>
      </c>
      <c r="G886" t="s">
        <v>61</v>
      </c>
    </row>
    <row r="887" spans="1:7">
      <c r="A887">
        <v>43306</v>
      </c>
      <c r="B887" t="s">
        <v>44</v>
      </c>
      <c r="C887" t="s">
        <v>49</v>
      </c>
      <c r="D887">
        <v>14</v>
      </c>
      <c r="E887">
        <v>80</v>
      </c>
      <c r="F887">
        <v>0.11</v>
      </c>
      <c r="G887" t="s">
        <v>65</v>
      </c>
    </row>
    <row r="888" spans="1:7">
      <c r="A888">
        <v>43306</v>
      </c>
      <c r="B888" t="s">
        <v>44</v>
      </c>
      <c r="C888" t="s">
        <v>64</v>
      </c>
      <c r="D888">
        <v>17</v>
      </c>
      <c r="E888">
        <v>80</v>
      </c>
      <c r="F888">
        <v>0.07</v>
      </c>
      <c r="G888" t="s">
        <v>68</v>
      </c>
    </row>
    <row r="889" spans="1:7">
      <c r="A889">
        <v>43306</v>
      </c>
      <c r="B889" t="s">
        <v>44</v>
      </c>
      <c r="C889" t="s">
        <v>57</v>
      </c>
      <c r="D889">
        <v>16</v>
      </c>
      <c r="E889">
        <v>80</v>
      </c>
      <c r="F889">
        <v>0.02</v>
      </c>
      <c r="G889" t="s">
        <v>70</v>
      </c>
    </row>
    <row r="890" spans="1:7">
      <c r="A890">
        <v>43306</v>
      </c>
      <c r="B890" t="s">
        <v>63</v>
      </c>
      <c r="C890" t="s">
        <v>45</v>
      </c>
      <c r="D890">
        <v>21</v>
      </c>
      <c r="E890">
        <v>16</v>
      </c>
      <c r="F890">
        <v>0.09</v>
      </c>
      <c r="G890" t="s">
        <v>72</v>
      </c>
    </row>
    <row r="891" spans="1:7">
      <c r="A891">
        <v>43306</v>
      </c>
      <c r="B891" t="s">
        <v>67</v>
      </c>
      <c r="C891" t="s">
        <v>45</v>
      </c>
      <c r="D891">
        <v>9</v>
      </c>
      <c r="E891">
        <v>150</v>
      </c>
      <c r="F891">
        <v>0.1</v>
      </c>
      <c r="G891" t="s">
        <v>74</v>
      </c>
    </row>
    <row r="892" spans="1:7">
      <c r="A892">
        <v>43306</v>
      </c>
      <c r="B892" t="s">
        <v>67</v>
      </c>
      <c r="C892" t="s">
        <v>60</v>
      </c>
      <c r="D892">
        <v>3</v>
      </c>
      <c r="E892">
        <v>150</v>
      </c>
      <c r="F892">
        <v>0.01</v>
      </c>
      <c r="G892" t="s">
        <v>76</v>
      </c>
    </row>
    <row r="893" spans="1:7">
      <c r="A893">
        <v>43307</v>
      </c>
      <c r="B893" t="s">
        <v>44</v>
      </c>
      <c r="C893" t="s">
        <v>49</v>
      </c>
      <c r="D893">
        <v>14</v>
      </c>
      <c r="E893">
        <v>80</v>
      </c>
      <c r="F893">
        <v>0.06</v>
      </c>
      <c r="G893" t="s">
        <v>46</v>
      </c>
    </row>
    <row r="894" spans="1:7">
      <c r="A894">
        <v>43307</v>
      </c>
      <c r="B894" t="s">
        <v>67</v>
      </c>
      <c r="C894" t="s">
        <v>64</v>
      </c>
      <c r="D894">
        <v>4</v>
      </c>
      <c r="E894">
        <v>150</v>
      </c>
      <c r="F894">
        <v>0.05</v>
      </c>
      <c r="G894" t="s">
        <v>50</v>
      </c>
    </row>
    <row r="895" spans="1:7">
      <c r="A895">
        <v>43307</v>
      </c>
      <c r="B895" t="s">
        <v>63</v>
      </c>
      <c r="C895" t="s">
        <v>49</v>
      </c>
      <c r="D895">
        <v>20</v>
      </c>
      <c r="E895">
        <v>16</v>
      </c>
      <c r="F895">
        <v>0.06</v>
      </c>
      <c r="G895" t="s">
        <v>53</v>
      </c>
    </row>
    <row r="896" spans="1:7">
      <c r="A896">
        <v>43307</v>
      </c>
      <c r="B896" t="s">
        <v>52</v>
      </c>
      <c r="C896" t="s">
        <v>57</v>
      </c>
      <c r="D896">
        <v>7</v>
      </c>
      <c r="E896">
        <v>230</v>
      </c>
      <c r="F896">
        <v>0.01</v>
      </c>
      <c r="G896" t="s">
        <v>55</v>
      </c>
    </row>
    <row r="897" spans="1:7">
      <c r="A897">
        <v>43307</v>
      </c>
      <c r="B897" t="s">
        <v>44</v>
      </c>
      <c r="C897" t="s">
        <v>49</v>
      </c>
      <c r="D897">
        <v>9</v>
      </c>
      <c r="E897">
        <v>80</v>
      </c>
      <c r="F897">
        <v>0.03</v>
      </c>
      <c r="G897" t="s">
        <v>58</v>
      </c>
    </row>
    <row r="898" spans="1:7">
      <c r="A898">
        <v>43307</v>
      </c>
      <c r="B898" t="s">
        <v>48</v>
      </c>
      <c r="C898" t="s">
        <v>60</v>
      </c>
      <c r="D898">
        <v>4</v>
      </c>
      <c r="E898">
        <v>40</v>
      </c>
      <c r="F898">
        <v>0.05</v>
      </c>
      <c r="G898" t="s">
        <v>61</v>
      </c>
    </row>
    <row r="899" spans="1:7">
      <c r="A899">
        <v>43307</v>
      </c>
      <c r="B899" t="s">
        <v>44</v>
      </c>
      <c r="C899" t="s">
        <v>45</v>
      </c>
      <c r="D899">
        <v>6</v>
      </c>
      <c r="E899">
        <v>80</v>
      </c>
      <c r="F899">
        <v>0.07</v>
      </c>
      <c r="G899" t="s">
        <v>50</v>
      </c>
    </row>
    <row r="900" spans="1:7">
      <c r="A900">
        <v>43307</v>
      </c>
      <c r="B900" t="s">
        <v>63</v>
      </c>
      <c r="C900" t="s">
        <v>57</v>
      </c>
      <c r="D900">
        <v>8</v>
      </c>
      <c r="E900">
        <v>16</v>
      </c>
      <c r="F900">
        <v>0.03</v>
      </c>
      <c r="G900" t="s">
        <v>53</v>
      </c>
    </row>
    <row r="901" spans="1:7">
      <c r="A901">
        <v>43307</v>
      </c>
      <c r="B901" t="s">
        <v>63</v>
      </c>
      <c r="C901" t="s">
        <v>45</v>
      </c>
      <c r="D901">
        <v>10</v>
      </c>
      <c r="E901">
        <v>16</v>
      </c>
      <c r="F901">
        <v>0.08</v>
      </c>
      <c r="G901" t="s">
        <v>55</v>
      </c>
    </row>
    <row r="902" spans="1:7">
      <c r="A902">
        <v>43307</v>
      </c>
      <c r="B902" t="s">
        <v>63</v>
      </c>
      <c r="C902" t="s">
        <v>60</v>
      </c>
      <c r="D902">
        <v>22</v>
      </c>
      <c r="E902">
        <v>16</v>
      </c>
      <c r="F902">
        <v>0.03</v>
      </c>
      <c r="G902" t="s">
        <v>58</v>
      </c>
    </row>
    <row r="903" spans="1:7">
      <c r="A903">
        <v>43307</v>
      </c>
      <c r="B903" t="s">
        <v>44</v>
      </c>
      <c r="C903" t="s">
        <v>60</v>
      </c>
      <c r="D903">
        <v>11</v>
      </c>
      <c r="E903">
        <v>80</v>
      </c>
      <c r="F903">
        <v>0.01</v>
      </c>
      <c r="G903" t="s">
        <v>61</v>
      </c>
    </row>
    <row r="904" spans="1:7">
      <c r="A904">
        <v>43307</v>
      </c>
      <c r="B904" t="s">
        <v>63</v>
      </c>
      <c r="C904" t="s">
        <v>60</v>
      </c>
      <c r="D904">
        <v>7</v>
      </c>
      <c r="E904">
        <v>16</v>
      </c>
      <c r="F904">
        <v>0.08</v>
      </c>
      <c r="G904" t="s">
        <v>65</v>
      </c>
    </row>
    <row r="905" spans="1:7">
      <c r="A905">
        <v>43308</v>
      </c>
      <c r="B905" t="s">
        <v>63</v>
      </c>
      <c r="C905" t="s">
        <v>57</v>
      </c>
      <c r="D905">
        <v>11</v>
      </c>
      <c r="E905">
        <v>16</v>
      </c>
      <c r="F905">
        <v>0.12</v>
      </c>
      <c r="G905" t="s">
        <v>68</v>
      </c>
    </row>
    <row r="906" spans="1:7">
      <c r="A906">
        <v>43308</v>
      </c>
      <c r="B906" t="s">
        <v>48</v>
      </c>
      <c r="C906" t="s">
        <v>64</v>
      </c>
      <c r="D906">
        <v>7</v>
      </c>
      <c r="E906">
        <v>40</v>
      </c>
      <c r="F906">
        <v>0.05</v>
      </c>
      <c r="G906" t="s">
        <v>70</v>
      </c>
    </row>
    <row r="907" spans="1:7">
      <c r="A907">
        <v>43308</v>
      </c>
      <c r="B907" t="s">
        <v>67</v>
      </c>
      <c r="C907" t="s">
        <v>57</v>
      </c>
      <c r="D907">
        <v>9</v>
      </c>
      <c r="E907">
        <v>150</v>
      </c>
      <c r="F907">
        <v>0.06</v>
      </c>
      <c r="G907" t="s">
        <v>72</v>
      </c>
    </row>
    <row r="908" spans="1:7">
      <c r="A908">
        <v>43308</v>
      </c>
      <c r="B908" t="s">
        <v>52</v>
      </c>
      <c r="C908" t="s">
        <v>45</v>
      </c>
      <c r="D908">
        <v>20</v>
      </c>
      <c r="E908">
        <v>230</v>
      </c>
      <c r="F908">
        <v>0.04</v>
      </c>
      <c r="G908" t="s">
        <v>74</v>
      </c>
    </row>
    <row r="909" spans="1:7">
      <c r="A909">
        <v>43308</v>
      </c>
      <c r="B909" t="s">
        <v>67</v>
      </c>
      <c r="C909" t="s">
        <v>57</v>
      </c>
      <c r="D909">
        <v>9</v>
      </c>
      <c r="E909">
        <v>150</v>
      </c>
      <c r="F909">
        <v>0.02</v>
      </c>
      <c r="G909" t="s">
        <v>76</v>
      </c>
    </row>
    <row r="910" spans="1:7">
      <c r="A910">
        <v>43308</v>
      </c>
      <c r="B910" t="s">
        <v>44</v>
      </c>
      <c r="C910" t="s">
        <v>49</v>
      </c>
      <c r="D910">
        <v>5</v>
      </c>
      <c r="E910">
        <v>80</v>
      </c>
      <c r="F910">
        <v>0.07</v>
      </c>
      <c r="G910" t="s">
        <v>46</v>
      </c>
    </row>
    <row r="911" spans="1:7">
      <c r="A911">
        <v>43308</v>
      </c>
      <c r="B911" t="s">
        <v>67</v>
      </c>
      <c r="C911" t="s">
        <v>57</v>
      </c>
      <c r="D911">
        <v>20</v>
      </c>
      <c r="E911">
        <v>150</v>
      </c>
      <c r="F911">
        <v>0.04</v>
      </c>
      <c r="G911" t="s">
        <v>50</v>
      </c>
    </row>
    <row r="912" spans="1:7">
      <c r="A912">
        <v>43308</v>
      </c>
      <c r="B912" t="s">
        <v>67</v>
      </c>
      <c r="C912" t="s">
        <v>60</v>
      </c>
      <c r="D912">
        <v>15</v>
      </c>
      <c r="E912">
        <v>150</v>
      </c>
      <c r="F912">
        <v>0.05</v>
      </c>
      <c r="G912" t="s">
        <v>53</v>
      </c>
    </row>
    <row r="913" spans="1:7">
      <c r="A913">
        <v>43308</v>
      </c>
      <c r="B913" t="s">
        <v>44</v>
      </c>
      <c r="C913" t="s">
        <v>45</v>
      </c>
      <c r="D913">
        <v>20</v>
      </c>
      <c r="E913">
        <v>80</v>
      </c>
      <c r="F913">
        <v>0.01</v>
      </c>
      <c r="G913" t="s">
        <v>55</v>
      </c>
    </row>
    <row r="914" spans="1:7">
      <c r="A914">
        <v>43309</v>
      </c>
      <c r="B914" t="s">
        <v>52</v>
      </c>
      <c r="C914" t="s">
        <v>49</v>
      </c>
      <c r="D914">
        <v>12</v>
      </c>
      <c r="E914">
        <v>230</v>
      </c>
      <c r="F914">
        <v>0.03</v>
      </c>
      <c r="G914" t="s">
        <v>58</v>
      </c>
    </row>
    <row r="915" spans="1:7">
      <c r="A915">
        <v>43309</v>
      </c>
      <c r="B915" t="s">
        <v>48</v>
      </c>
      <c r="C915" t="s">
        <v>64</v>
      </c>
      <c r="D915">
        <v>20</v>
      </c>
      <c r="E915">
        <v>40</v>
      </c>
      <c r="F915">
        <v>0.05</v>
      </c>
      <c r="G915" t="s">
        <v>61</v>
      </c>
    </row>
    <row r="916" spans="1:7">
      <c r="A916">
        <v>43309</v>
      </c>
      <c r="B916" t="s">
        <v>48</v>
      </c>
      <c r="C916" t="s">
        <v>64</v>
      </c>
      <c r="D916">
        <v>4</v>
      </c>
      <c r="E916">
        <v>40</v>
      </c>
      <c r="F916">
        <v>0.09</v>
      </c>
      <c r="G916" t="s">
        <v>50</v>
      </c>
    </row>
    <row r="917" spans="1:7">
      <c r="A917">
        <v>43309</v>
      </c>
      <c r="B917" t="s">
        <v>63</v>
      </c>
      <c r="C917" t="s">
        <v>57</v>
      </c>
      <c r="D917">
        <v>6</v>
      </c>
      <c r="E917">
        <v>16</v>
      </c>
      <c r="F917">
        <v>0.07</v>
      </c>
      <c r="G917" t="s">
        <v>53</v>
      </c>
    </row>
    <row r="918" spans="1:7">
      <c r="A918">
        <v>43309</v>
      </c>
      <c r="B918" t="s">
        <v>44</v>
      </c>
      <c r="C918" t="s">
        <v>49</v>
      </c>
      <c r="D918">
        <v>13</v>
      </c>
      <c r="E918">
        <v>80</v>
      </c>
      <c r="F918">
        <v>0.06</v>
      </c>
      <c r="G918" t="s">
        <v>55</v>
      </c>
    </row>
    <row r="919" spans="1:7">
      <c r="A919">
        <v>43309</v>
      </c>
      <c r="B919" t="s">
        <v>67</v>
      </c>
      <c r="C919" t="s">
        <v>45</v>
      </c>
      <c r="D919">
        <v>4</v>
      </c>
      <c r="E919">
        <v>150</v>
      </c>
      <c r="F919">
        <v>0.1</v>
      </c>
      <c r="G919" t="s">
        <v>58</v>
      </c>
    </row>
    <row r="920" spans="1:7">
      <c r="A920">
        <v>43309</v>
      </c>
      <c r="B920" t="s">
        <v>67</v>
      </c>
      <c r="C920" t="s">
        <v>60</v>
      </c>
      <c r="D920">
        <v>9</v>
      </c>
      <c r="E920">
        <v>150</v>
      </c>
      <c r="F920">
        <v>0.02</v>
      </c>
      <c r="G920" t="s">
        <v>61</v>
      </c>
    </row>
    <row r="921" spans="1:7">
      <c r="A921">
        <v>43309</v>
      </c>
      <c r="B921" t="s">
        <v>67</v>
      </c>
      <c r="C921" t="s">
        <v>45</v>
      </c>
      <c r="D921">
        <v>11</v>
      </c>
      <c r="E921">
        <v>150</v>
      </c>
      <c r="F921">
        <v>0.05</v>
      </c>
      <c r="G921" t="s">
        <v>65</v>
      </c>
    </row>
    <row r="922" spans="1:7">
      <c r="A922">
        <v>43309</v>
      </c>
      <c r="B922" t="s">
        <v>63</v>
      </c>
      <c r="C922" t="s">
        <v>57</v>
      </c>
      <c r="D922">
        <v>6</v>
      </c>
      <c r="E922">
        <v>16</v>
      </c>
      <c r="F922">
        <v>0.06</v>
      </c>
      <c r="G922" t="s">
        <v>68</v>
      </c>
    </row>
    <row r="923" spans="1:7">
      <c r="A923">
        <v>43310</v>
      </c>
      <c r="B923" t="s">
        <v>52</v>
      </c>
      <c r="C923" t="s">
        <v>57</v>
      </c>
      <c r="D923">
        <v>14</v>
      </c>
      <c r="E923">
        <v>230</v>
      </c>
      <c r="F923">
        <v>0.12</v>
      </c>
      <c r="G923" t="s">
        <v>70</v>
      </c>
    </row>
    <row r="924" spans="1:7">
      <c r="A924">
        <v>43310</v>
      </c>
      <c r="B924" t="s">
        <v>44</v>
      </c>
      <c r="C924" t="s">
        <v>49</v>
      </c>
      <c r="D924">
        <v>15</v>
      </c>
      <c r="E924">
        <v>80</v>
      </c>
      <c r="F924">
        <v>0.12</v>
      </c>
      <c r="G924" t="s">
        <v>72</v>
      </c>
    </row>
    <row r="925" spans="1:7">
      <c r="A925">
        <v>43310</v>
      </c>
      <c r="B925" t="s">
        <v>52</v>
      </c>
      <c r="C925" t="s">
        <v>60</v>
      </c>
      <c r="D925">
        <v>17</v>
      </c>
      <c r="E925">
        <v>230</v>
      </c>
      <c r="F925">
        <v>0.12</v>
      </c>
      <c r="G925" t="s">
        <v>74</v>
      </c>
    </row>
    <row r="926" spans="1:7">
      <c r="A926">
        <v>43310</v>
      </c>
      <c r="B926" t="s">
        <v>67</v>
      </c>
      <c r="C926" t="s">
        <v>45</v>
      </c>
      <c r="D926">
        <v>5</v>
      </c>
      <c r="E926">
        <v>150</v>
      </c>
      <c r="F926">
        <v>0.11</v>
      </c>
      <c r="G926" t="s">
        <v>76</v>
      </c>
    </row>
    <row r="927" spans="1:7">
      <c r="A927">
        <v>43310</v>
      </c>
      <c r="B927" t="s">
        <v>44</v>
      </c>
      <c r="C927" t="s">
        <v>64</v>
      </c>
      <c r="D927">
        <v>10</v>
      </c>
      <c r="E927">
        <v>80</v>
      </c>
      <c r="F927">
        <v>0.06</v>
      </c>
      <c r="G927" t="s">
        <v>46</v>
      </c>
    </row>
    <row r="928" spans="1:7">
      <c r="A928">
        <v>43310</v>
      </c>
      <c r="B928" t="s">
        <v>44</v>
      </c>
      <c r="C928" t="s">
        <v>45</v>
      </c>
      <c r="D928">
        <v>9</v>
      </c>
      <c r="E928">
        <v>80</v>
      </c>
      <c r="F928">
        <v>0.04</v>
      </c>
      <c r="G928" t="s">
        <v>50</v>
      </c>
    </row>
    <row r="929" spans="1:7">
      <c r="A929">
        <v>43310</v>
      </c>
      <c r="B929" t="s">
        <v>48</v>
      </c>
      <c r="C929" t="s">
        <v>64</v>
      </c>
      <c r="D929">
        <v>16</v>
      </c>
      <c r="E929">
        <v>40</v>
      </c>
      <c r="F929">
        <v>0.09</v>
      </c>
      <c r="G929" t="s">
        <v>53</v>
      </c>
    </row>
    <row r="930" spans="1:7">
      <c r="A930">
        <v>43310</v>
      </c>
      <c r="B930" t="s">
        <v>52</v>
      </c>
      <c r="C930" t="s">
        <v>45</v>
      </c>
      <c r="D930">
        <v>7</v>
      </c>
      <c r="E930">
        <v>230</v>
      </c>
      <c r="F930">
        <v>0.08</v>
      </c>
      <c r="G930" t="s">
        <v>55</v>
      </c>
    </row>
    <row r="931" spans="1:7">
      <c r="A931">
        <v>43310</v>
      </c>
      <c r="B931" t="s">
        <v>44</v>
      </c>
      <c r="C931" t="s">
        <v>60</v>
      </c>
      <c r="D931">
        <v>17</v>
      </c>
      <c r="E931">
        <v>80</v>
      </c>
      <c r="F931">
        <v>0.05</v>
      </c>
      <c r="G931" t="s">
        <v>58</v>
      </c>
    </row>
    <row r="932" spans="1:7">
      <c r="A932">
        <v>43310</v>
      </c>
      <c r="B932" t="s">
        <v>52</v>
      </c>
      <c r="C932" t="s">
        <v>45</v>
      </c>
      <c r="D932">
        <v>11</v>
      </c>
      <c r="E932">
        <v>230</v>
      </c>
      <c r="F932">
        <v>0.02</v>
      </c>
      <c r="G932" t="s">
        <v>61</v>
      </c>
    </row>
    <row r="933" spans="1:7">
      <c r="A933">
        <v>43311</v>
      </c>
      <c r="B933" t="s">
        <v>48</v>
      </c>
      <c r="C933" t="s">
        <v>45</v>
      </c>
      <c r="D933">
        <v>15</v>
      </c>
      <c r="E933">
        <v>40</v>
      </c>
      <c r="F933">
        <v>0.06</v>
      </c>
      <c r="G933" t="s">
        <v>50</v>
      </c>
    </row>
    <row r="934" spans="1:7">
      <c r="A934">
        <v>43312</v>
      </c>
      <c r="B934" t="s">
        <v>52</v>
      </c>
      <c r="C934" t="s">
        <v>45</v>
      </c>
      <c r="D934">
        <v>7</v>
      </c>
      <c r="E934">
        <v>230</v>
      </c>
      <c r="F934">
        <v>0.02</v>
      </c>
      <c r="G934" t="s">
        <v>53</v>
      </c>
    </row>
    <row r="935" spans="1:7">
      <c r="A935">
        <v>43312</v>
      </c>
      <c r="B935" t="s">
        <v>44</v>
      </c>
      <c r="C935" t="s">
        <v>57</v>
      </c>
      <c r="D935">
        <v>20</v>
      </c>
      <c r="E935">
        <v>80</v>
      </c>
      <c r="F935">
        <v>0.07</v>
      </c>
      <c r="G935" t="s">
        <v>55</v>
      </c>
    </row>
    <row r="936" spans="1:7">
      <c r="A936">
        <v>43312</v>
      </c>
      <c r="B936" t="s">
        <v>44</v>
      </c>
      <c r="C936" t="s">
        <v>49</v>
      </c>
      <c r="D936">
        <v>3</v>
      </c>
      <c r="E936">
        <v>80</v>
      </c>
      <c r="F936">
        <v>0.02</v>
      </c>
      <c r="G936" t="s">
        <v>58</v>
      </c>
    </row>
    <row r="937" spans="1:7">
      <c r="A937">
        <v>43312</v>
      </c>
      <c r="B937" t="s">
        <v>67</v>
      </c>
      <c r="C937" t="s">
        <v>57</v>
      </c>
      <c r="D937">
        <v>2</v>
      </c>
      <c r="E937">
        <v>150</v>
      </c>
      <c r="F937">
        <v>0.02</v>
      </c>
      <c r="G937" t="s">
        <v>61</v>
      </c>
    </row>
    <row r="938" spans="1:7">
      <c r="A938">
        <v>43312</v>
      </c>
      <c r="B938" t="s">
        <v>67</v>
      </c>
      <c r="C938" t="s">
        <v>57</v>
      </c>
      <c r="D938">
        <v>22</v>
      </c>
      <c r="E938">
        <v>150</v>
      </c>
      <c r="F938">
        <v>0.09</v>
      </c>
      <c r="G938" t="s">
        <v>65</v>
      </c>
    </row>
    <row r="939" spans="1:7">
      <c r="A939">
        <v>43312</v>
      </c>
      <c r="B939" t="s">
        <v>52</v>
      </c>
      <c r="C939" t="s">
        <v>45</v>
      </c>
      <c r="D939">
        <v>5</v>
      </c>
      <c r="E939">
        <v>230</v>
      </c>
      <c r="F939">
        <v>0.1</v>
      </c>
      <c r="G939" t="s">
        <v>68</v>
      </c>
    </row>
    <row r="940" spans="1:7">
      <c r="A940">
        <v>43312</v>
      </c>
      <c r="B940" t="s">
        <v>63</v>
      </c>
      <c r="C940" t="s">
        <v>64</v>
      </c>
      <c r="D940">
        <v>12</v>
      </c>
      <c r="E940">
        <v>16</v>
      </c>
      <c r="F940">
        <v>0.04</v>
      </c>
      <c r="G940" t="s">
        <v>70</v>
      </c>
    </row>
    <row r="941" spans="1:7">
      <c r="A941">
        <v>43312</v>
      </c>
      <c r="B941" t="s">
        <v>48</v>
      </c>
      <c r="C941" t="s">
        <v>60</v>
      </c>
      <c r="D941">
        <v>6</v>
      </c>
      <c r="E941">
        <v>40</v>
      </c>
      <c r="F941">
        <v>0.07</v>
      </c>
      <c r="G941" t="s">
        <v>72</v>
      </c>
    </row>
    <row r="942" spans="1:7">
      <c r="A942">
        <v>43312</v>
      </c>
      <c r="B942" t="s">
        <v>63</v>
      </c>
      <c r="C942" t="s">
        <v>64</v>
      </c>
      <c r="D942">
        <v>15</v>
      </c>
      <c r="E942">
        <v>16</v>
      </c>
      <c r="F942">
        <v>0.01</v>
      </c>
      <c r="G942" t="s">
        <v>74</v>
      </c>
    </row>
    <row r="943" spans="1:7">
      <c r="A943">
        <v>43282</v>
      </c>
      <c r="B943" t="s">
        <v>67</v>
      </c>
      <c r="C943" t="s">
        <v>64</v>
      </c>
      <c r="D943">
        <v>13</v>
      </c>
      <c r="E943">
        <v>150</v>
      </c>
      <c r="F943">
        <v>0.11</v>
      </c>
      <c r="G943" t="s">
        <v>76</v>
      </c>
    </row>
    <row r="944" spans="1:7">
      <c r="A944">
        <v>43282</v>
      </c>
      <c r="B944" t="s">
        <v>48</v>
      </c>
      <c r="C944" t="s">
        <v>49</v>
      </c>
      <c r="D944">
        <v>8</v>
      </c>
      <c r="E944">
        <v>40</v>
      </c>
      <c r="F944">
        <v>0.09</v>
      </c>
      <c r="G944" t="s">
        <v>46</v>
      </c>
    </row>
    <row r="945" spans="1:7">
      <c r="A945">
        <v>43282</v>
      </c>
      <c r="B945" t="s">
        <v>48</v>
      </c>
      <c r="C945" t="s">
        <v>60</v>
      </c>
      <c r="D945">
        <v>7</v>
      </c>
      <c r="E945">
        <v>40</v>
      </c>
      <c r="F945">
        <v>0.07</v>
      </c>
      <c r="G945" t="s">
        <v>50</v>
      </c>
    </row>
    <row r="946" spans="1:7">
      <c r="A946">
        <v>43282</v>
      </c>
      <c r="B946" t="s">
        <v>48</v>
      </c>
      <c r="C946" t="s">
        <v>49</v>
      </c>
      <c r="D946">
        <v>18</v>
      </c>
      <c r="E946">
        <v>40</v>
      </c>
      <c r="F946">
        <v>0.08</v>
      </c>
      <c r="G946" t="s">
        <v>53</v>
      </c>
    </row>
    <row r="947" spans="1:7">
      <c r="A947">
        <v>43282</v>
      </c>
      <c r="B947" t="s">
        <v>52</v>
      </c>
      <c r="C947" t="s">
        <v>60</v>
      </c>
      <c r="D947">
        <v>19</v>
      </c>
      <c r="E947">
        <v>230</v>
      </c>
      <c r="F947">
        <v>0.06</v>
      </c>
      <c r="G947" t="s">
        <v>55</v>
      </c>
    </row>
    <row r="948" spans="1:7">
      <c r="A948">
        <v>43282</v>
      </c>
      <c r="B948" t="s">
        <v>67</v>
      </c>
      <c r="C948" t="s">
        <v>45</v>
      </c>
      <c r="D948">
        <v>4</v>
      </c>
      <c r="E948">
        <v>150</v>
      </c>
      <c r="F948">
        <v>0.1</v>
      </c>
      <c r="G948" t="s">
        <v>58</v>
      </c>
    </row>
    <row r="949" spans="1:7">
      <c r="A949">
        <v>43283</v>
      </c>
      <c r="B949" t="s">
        <v>44</v>
      </c>
      <c r="C949" t="s">
        <v>64</v>
      </c>
      <c r="D949">
        <v>9</v>
      </c>
      <c r="E949">
        <v>80</v>
      </c>
      <c r="F949">
        <v>0.06</v>
      </c>
      <c r="G949" t="s">
        <v>61</v>
      </c>
    </row>
    <row r="950" spans="1:7">
      <c r="A950">
        <v>43283</v>
      </c>
      <c r="B950" t="s">
        <v>44</v>
      </c>
      <c r="C950" t="s">
        <v>57</v>
      </c>
      <c r="D950">
        <v>16</v>
      </c>
      <c r="E950">
        <v>80</v>
      </c>
      <c r="F950">
        <v>0.02</v>
      </c>
      <c r="G950" t="s">
        <v>50</v>
      </c>
    </row>
    <row r="951" spans="1:7">
      <c r="A951">
        <v>43283</v>
      </c>
      <c r="B951" t="s">
        <v>52</v>
      </c>
      <c r="C951" t="s">
        <v>49</v>
      </c>
      <c r="D951">
        <v>15</v>
      </c>
      <c r="E951">
        <v>230</v>
      </c>
      <c r="F951">
        <v>0.09</v>
      </c>
      <c r="G951" t="s">
        <v>53</v>
      </c>
    </row>
    <row r="952" spans="1:7">
      <c r="A952">
        <v>43283</v>
      </c>
      <c r="B952" t="s">
        <v>63</v>
      </c>
      <c r="C952" t="s">
        <v>64</v>
      </c>
      <c r="D952">
        <v>15</v>
      </c>
      <c r="E952">
        <v>16</v>
      </c>
      <c r="F952">
        <v>0.01</v>
      </c>
      <c r="G952" t="s">
        <v>55</v>
      </c>
    </row>
    <row r="953" spans="1:7">
      <c r="A953">
        <v>43283</v>
      </c>
      <c r="B953" t="s">
        <v>52</v>
      </c>
      <c r="C953" t="s">
        <v>45</v>
      </c>
      <c r="D953">
        <v>7</v>
      </c>
      <c r="E953">
        <v>230</v>
      </c>
      <c r="F953">
        <v>0.02</v>
      </c>
      <c r="G953" t="s">
        <v>58</v>
      </c>
    </row>
    <row r="954" spans="1:7">
      <c r="A954">
        <v>43283</v>
      </c>
      <c r="B954" t="s">
        <v>63</v>
      </c>
      <c r="C954" t="s">
        <v>57</v>
      </c>
      <c r="D954">
        <v>23</v>
      </c>
      <c r="E954">
        <v>16</v>
      </c>
      <c r="F954">
        <v>0.11</v>
      </c>
      <c r="G954" t="s">
        <v>61</v>
      </c>
    </row>
    <row r="955" spans="1:7">
      <c r="A955">
        <v>43283</v>
      </c>
      <c r="B955" t="s">
        <v>48</v>
      </c>
      <c r="C955" t="s">
        <v>64</v>
      </c>
      <c r="D955">
        <v>20</v>
      </c>
      <c r="E955">
        <v>40</v>
      </c>
      <c r="F955">
        <v>0.05</v>
      </c>
      <c r="G955" t="s">
        <v>65</v>
      </c>
    </row>
    <row r="956" spans="1:7">
      <c r="A956">
        <v>43284</v>
      </c>
      <c r="B956" t="s">
        <v>52</v>
      </c>
      <c r="C956" t="s">
        <v>49</v>
      </c>
      <c r="D956">
        <v>9</v>
      </c>
      <c r="E956">
        <v>230</v>
      </c>
      <c r="F956">
        <v>0.03</v>
      </c>
      <c r="G956" t="s">
        <v>68</v>
      </c>
    </row>
    <row r="957" spans="1:7">
      <c r="A957">
        <v>43284</v>
      </c>
      <c r="B957" t="s">
        <v>48</v>
      </c>
      <c r="C957" t="s">
        <v>60</v>
      </c>
      <c r="D957">
        <v>23</v>
      </c>
      <c r="E957">
        <v>40</v>
      </c>
      <c r="F957">
        <v>0.06</v>
      </c>
      <c r="G957" t="s">
        <v>70</v>
      </c>
    </row>
    <row r="958" spans="1:7">
      <c r="A958">
        <v>43284</v>
      </c>
      <c r="B958" t="s">
        <v>48</v>
      </c>
      <c r="C958" t="s">
        <v>60</v>
      </c>
      <c r="D958">
        <v>4</v>
      </c>
      <c r="E958">
        <v>40</v>
      </c>
      <c r="F958">
        <v>0.05</v>
      </c>
      <c r="G958" t="s">
        <v>72</v>
      </c>
    </row>
    <row r="959" spans="1:7">
      <c r="A959">
        <v>43284</v>
      </c>
      <c r="B959" t="s">
        <v>67</v>
      </c>
      <c r="C959" t="s">
        <v>45</v>
      </c>
      <c r="D959">
        <v>13</v>
      </c>
      <c r="E959">
        <v>150</v>
      </c>
      <c r="F959">
        <v>0.05</v>
      </c>
      <c r="G959" t="s">
        <v>74</v>
      </c>
    </row>
    <row r="960" spans="1:7">
      <c r="A960">
        <v>43284</v>
      </c>
      <c r="B960" t="s">
        <v>52</v>
      </c>
      <c r="C960" t="s">
        <v>49</v>
      </c>
      <c r="D960">
        <v>7</v>
      </c>
      <c r="E960">
        <v>230</v>
      </c>
      <c r="F960">
        <v>0.01</v>
      </c>
      <c r="G960" t="s">
        <v>76</v>
      </c>
    </row>
    <row r="961" spans="1:7">
      <c r="A961">
        <v>43284</v>
      </c>
      <c r="B961" t="s">
        <v>52</v>
      </c>
      <c r="C961" t="s">
        <v>49</v>
      </c>
      <c r="D961">
        <v>7</v>
      </c>
      <c r="E961">
        <v>230</v>
      </c>
      <c r="F961">
        <v>0.08</v>
      </c>
      <c r="G961" t="s">
        <v>46</v>
      </c>
    </row>
    <row r="962" spans="1:7">
      <c r="A962">
        <v>43284</v>
      </c>
      <c r="B962" t="s">
        <v>52</v>
      </c>
      <c r="C962" t="s">
        <v>57</v>
      </c>
      <c r="D962">
        <v>15</v>
      </c>
      <c r="E962">
        <v>230</v>
      </c>
      <c r="F962">
        <v>0.04</v>
      </c>
      <c r="G962" t="s">
        <v>50</v>
      </c>
    </row>
    <row r="963" spans="1:7">
      <c r="A963">
        <v>43284</v>
      </c>
      <c r="B963" t="s">
        <v>48</v>
      </c>
      <c r="C963" t="s">
        <v>60</v>
      </c>
      <c r="D963">
        <v>15</v>
      </c>
      <c r="E963">
        <v>40</v>
      </c>
      <c r="F963">
        <v>0.03</v>
      </c>
      <c r="G963" t="s">
        <v>53</v>
      </c>
    </row>
    <row r="964" spans="1:7">
      <c r="A964">
        <v>43284</v>
      </c>
      <c r="B964" t="s">
        <v>48</v>
      </c>
      <c r="C964" t="s">
        <v>57</v>
      </c>
      <c r="D964">
        <v>2</v>
      </c>
      <c r="E964">
        <v>40</v>
      </c>
      <c r="F964">
        <v>0.03</v>
      </c>
      <c r="G964" t="s">
        <v>55</v>
      </c>
    </row>
    <row r="965" spans="1:7">
      <c r="A965">
        <v>43284</v>
      </c>
      <c r="B965" t="s">
        <v>67</v>
      </c>
      <c r="C965" t="s">
        <v>57</v>
      </c>
      <c r="D965">
        <v>2</v>
      </c>
      <c r="E965">
        <v>150</v>
      </c>
      <c r="F965">
        <v>0.02</v>
      </c>
      <c r="G965" t="s">
        <v>58</v>
      </c>
    </row>
    <row r="966" spans="1:7">
      <c r="A966">
        <v>43285</v>
      </c>
      <c r="B966" t="s">
        <v>52</v>
      </c>
      <c r="C966" t="s">
        <v>45</v>
      </c>
      <c r="D966">
        <v>3</v>
      </c>
      <c r="E966">
        <v>230</v>
      </c>
      <c r="F966">
        <v>0.11</v>
      </c>
      <c r="G966" t="s">
        <v>61</v>
      </c>
    </row>
    <row r="967" spans="1:7">
      <c r="A967">
        <v>43285</v>
      </c>
      <c r="B967" t="s">
        <v>48</v>
      </c>
      <c r="C967" t="s">
        <v>57</v>
      </c>
      <c r="D967">
        <v>4</v>
      </c>
      <c r="E967">
        <v>40</v>
      </c>
      <c r="F967">
        <v>0.06</v>
      </c>
      <c r="G967" t="s">
        <v>50</v>
      </c>
    </row>
    <row r="968" spans="1:7">
      <c r="A968">
        <v>43285</v>
      </c>
      <c r="B968" t="s">
        <v>48</v>
      </c>
      <c r="C968" t="s">
        <v>60</v>
      </c>
      <c r="D968">
        <v>13</v>
      </c>
      <c r="E968">
        <v>40</v>
      </c>
      <c r="F968">
        <v>0.06</v>
      </c>
      <c r="G968" t="s">
        <v>53</v>
      </c>
    </row>
    <row r="969" spans="1:7">
      <c r="A969">
        <v>43285</v>
      </c>
      <c r="B969" t="s">
        <v>63</v>
      </c>
      <c r="C969" t="s">
        <v>60</v>
      </c>
      <c r="D969">
        <v>15</v>
      </c>
      <c r="E969">
        <v>16</v>
      </c>
      <c r="F969">
        <v>0.12</v>
      </c>
      <c r="G969" t="s">
        <v>55</v>
      </c>
    </row>
    <row r="970" spans="1:7">
      <c r="A970">
        <v>43285</v>
      </c>
      <c r="B970" t="s">
        <v>44</v>
      </c>
      <c r="C970" t="s">
        <v>45</v>
      </c>
      <c r="D970">
        <v>14</v>
      </c>
      <c r="E970">
        <v>80</v>
      </c>
      <c r="F970">
        <v>0.08</v>
      </c>
      <c r="G970" t="s">
        <v>58</v>
      </c>
    </row>
    <row r="971" spans="1:7">
      <c r="A971">
        <v>43285</v>
      </c>
      <c r="B971" t="s">
        <v>63</v>
      </c>
      <c r="C971" t="s">
        <v>45</v>
      </c>
      <c r="D971">
        <v>7</v>
      </c>
      <c r="E971">
        <v>16</v>
      </c>
      <c r="F971">
        <v>0.08</v>
      </c>
      <c r="G971" t="s">
        <v>61</v>
      </c>
    </row>
    <row r="972" spans="1:7">
      <c r="A972">
        <v>43285</v>
      </c>
      <c r="B972" t="s">
        <v>67</v>
      </c>
      <c r="C972" t="s">
        <v>49</v>
      </c>
      <c r="D972">
        <v>13</v>
      </c>
      <c r="E972">
        <v>150</v>
      </c>
      <c r="F972">
        <v>0.02</v>
      </c>
      <c r="G972" t="s">
        <v>65</v>
      </c>
    </row>
    <row r="973" spans="1:7">
      <c r="A973">
        <v>43285</v>
      </c>
      <c r="B973" t="s">
        <v>67</v>
      </c>
      <c r="C973" t="s">
        <v>57</v>
      </c>
      <c r="D973">
        <v>9</v>
      </c>
      <c r="E973">
        <v>150</v>
      </c>
      <c r="F973">
        <v>0.02</v>
      </c>
      <c r="G973" t="s">
        <v>68</v>
      </c>
    </row>
    <row r="974" spans="1:7">
      <c r="A974">
        <v>43285</v>
      </c>
      <c r="B974" t="s">
        <v>48</v>
      </c>
      <c r="C974" t="s">
        <v>45</v>
      </c>
      <c r="D974">
        <v>9</v>
      </c>
      <c r="E974">
        <v>40</v>
      </c>
      <c r="F974">
        <v>0.01</v>
      </c>
      <c r="G974" t="s">
        <v>70</v>
      </c>
    </row>
    <row r="975" spans="1:7">
      <c r="A975">
        <v>43286</v>
      </c>
      <c r="B975" t="s">
        <v>44</v>
      </c>
      <c r="C975" t="s">
        <v>64</v>
      </c>
      <c r="D975">
        <v>9</v>
      </c>
      <c r="E975">
        <v>80</v>
      </c>
      <c r="F975">
        <v>0.07</v>
      </c>
      <c r="G975" t="s">
        <v>72</v>
      </c>
    </row>
    <row r="976" spans="1:7">
      <c r="A976">
        <v>43286</v>
      </c>
      <c r="B976" t="s">
        <v>52</v>
      </c>
      <c r="C976" t="s">
        <v>49</v>
      </c>
      <c r="D976">
        <v>22</v>
      </c>
      <c r="E976">
        <v>230</v>
      </c>
      <c r="F976">
        <v>0.11</v>
      </c>
      <c r="G976" t="s">
        <v>74</v>
      </c>
    </row>
    <row r="977" spans="1:7">
      <c r="A977">
        <v>43286</v>
      </c>
      <c r="B977" t="s">
        <v>67</v>
      </c>
      <c r="C977" t="s">
        <v>49</v>
      </c>
      <c r="D977">
        <v>15</v>
      </c>
      <c r="E977">
        <v>150</v>
      </c>
      <c r="F977">
        <v>0.02</v>
      </c>
      <c r="G977" t="s">
        <v>76</v>
      </c>
    </row>
    <row r="978" spans="1:7">
      <c r="A978">
        <v>43286</v>
      </c>
      <c r="B978" t="s">
        <v>52</v>
      </c>
      <c r="C978" t="s">
        <v>64</v>
      </c>
      <c r="D978">
        <v>5</v>
      </c>
      <c r="E978">
        <v>230</v>
      </c>
      <c r="F978">
        <v>0.12</v>
      </c>
      <c r="G978" t="s">
        <v>46</v>
      </c>
    </row>
    <row r="979" spans="1:7">
      <c r="A979">
        <v>43286</v>
      </c>
      <c r="B979" t="s">
        <v>48</v>
      </c>
      <c r="C979" t="s">
        <v>57</v>
      </c>
      <c r="D979">
        <v>20</v>
      </c>
      <c r="E979">
        <v>40</v>
      </c>
      <c r="F979">
        <v>0.01</v>
      </c>
      <c r="G979" t="s">
        <v>50</v>
      </c>
    </row>
    <row r="980" spans="1:7">
      <c r="A980">
        <v>43286</v>
      </c>
      <c r="B980" t="s">
        <v>48</v>
      </c>
      <c r="C980" t="s">
        <v>45</v>
      </c>
      <c r="D980">
        <v>23</v>
      </c>
      <c r="E980">
        <v>40</v>
      </c>
      <c r="F980">
        <v>0.03</v>
      </c>
      <c r="G980" t="s">
        <v>53</v>
      </c>
    </row>
    <row r="981" spans="1:7">
      <c r="A981">
        <v>43286</v>
      </c>
      <c r="B981" t="s">
        <v>44</v>
      </c>
      <c r="C981" t="s">
        <v>64</v>
      </c>
      <c r="D981">
        <v>16</v>
      </c>
      <c r="E981">
        <v>80</v>
      </c>
      <c r="F981">
        <v>0.05</v>
      </c>
      <c r="G981" t="s">
        <v>55</v>
      </c>
    </row>
    <row r="982" spans="1:7">
      <c r="A982">
        <v>43286</v>
      </c>
      <c r="B982" t="s">
        <v>52</v>
      </c>
      <c r="C982" t="s">
        <v>57</v>
      </c>
      <c r="D982">
        <v>18</v>
      </c>
      <c r="E982">
        <v>230</v>
      </c>
      <c r="F982">
        <v>0.01</v>
      </c>
      <c r="G982" t="s">
        <v>58</v>
      </c>
    </row>
    <row r="983" spans="1:7">
      <c r="A983">
        <v>43286</v>
      </c>
      <c r="B983" t="s">
        <v>48</v>
      </c>
      <c r="C983" t="s">
        <v>64</v>
      </c>
      <c r="D983">
        <v>23</v>
      </c>
      <c r="E983">
        <v>40</v>
      </c>
      <c r="F983">
        <v>0.05</v>
      </c>
      <c r="G983" t="s">
        <v>61</v>
      </c>
    </row>
    <row r="984" spans="1:7">
      <c r="A984">
        <v>43286</v>
      </c>
      <c r="B984" t="s">
        <v>63</v>
      </c>
      <c r="C984" t="s">
        <v>60</v>
      </c>
      <c r="D984">
        <v>5</v>
      </c>
      <c r="E984">
        <v>16</v>
      </c>
      <c r="F984">
        <v>0.09</v>
      </c>
      <c r="G984" t="s">
        <v>50</v>
      </c>
    </row>
    <row r="985" spans="1:7">
      <c r="A985">
        <v>43286</v>
      </c>
      <c r="B985" t="s">
        <v>48</v>
      </c>
      <c r="C985" t="s">
        <v>45</v>
      </c>
      <c r="D985">
        <v>22</v>
      </c>
      <c r="E985">
        <v>40</v>
      </c>
      <c r="F985">
        <v>0.02</v>
      </c>
      <c r="G985" t="s">
        <v>53</v>
      </c>
    </row>
    <row r="986" spans="1:7">
      <c r="A986">
        <v>43287</v>
      </c>
      <c r="B986" t="s">
        <v>67</v>
      </c>
      <c r="C986" t="s">
        <v>45</v>
      </c>
      <c r="D986">
        <v>23</v>
      </c>
      <c r="E986">
        <v>150</v>
      </c>
      <c r="F986">
        <v>0.1</v>
      </c>
      <c r="G986" t="s">
        <v>55</v>
      </c>
    </row>
    <row r="987" spans="1:7">
      <c r="A987">
        <v>43287</v>
      </c>
      <c r="B987" t="s">
        <v>52</v>
      </c>
      <c r="C987" t="s">
        <v>49</v>
      </c>
      <c r="D987">
        <v>22</v>
      </c>
      <c r="E987">
        <v>230</v>
      </c>
      <c r="F987">
        <v>0.04</v>
      </c>
      <c r="G987" t="s">
        <v>58</v>
      </c>
    </row>
    <row r="988" spans="1:7">
      <c r="A988">
        <v>43287</v>
      </c>
      <c r="B988" t="s">
        <v>44</v>
      </c>
      <c r="C988" t="s">
        <v>60</v>
      </c>
      <c r="D988">
        <v>16</v>
      </c>
      <c r="E988">
        <v>80</v>
      </c>
      <c r="F988">
        <v>0.07</v>
      </c>
      <c r="G988" t="s">
        <v>61</v>
      </c>
    </row>
    <row r="989" spans="1:7">
      <c r="A989">
        <v>43287</v>
      </c>
      <c r="B989" t="s">
        <v>67</v>
      </c>
      <c r="C989" t="s">
        <v>57</v>
      </c>
      <c r="D989">
        <v>22</v>
      </c>
      <c r="E989">
        <v>150</v>
      </c>
      <c r="F989">
        <v>0.09</v>
      </c>
      <c r="G989" t="s">
        <v>65</v>
      </c>
    </row>
    <row r="990" spans="1:7">
      <c r="A990">
        <v>43287</v>
      </c>
      <c r="B990" t="s">
        <v>44</v>
      </c>
      <c r="C990" t="s">
        <v>57</v>
      </c>
      <c r="D990">
        <v>5</v>
      </c>
      <c r="E990">
        <v>80</v>
      </c>
      <c r="F990">
        <v>0.09</v>
      </c>
      <c r="G990" t="s">
        <v>68</v>
      </c>
    </row>
    <row r="991" spans="1:7">
      <c r="A991">
        <v>43287</v>
      </c>
      <c r="B991" t="s">
        <v>44</v>
      </c>
      <c r="C991" t="s">
        <v>60</v>
      </c>
      <c r="D991">
        <v>16</v>
      </c>
      <c r="E991">
        <v>80</v>
      </c>
      <c r="F991">
        <v>0.1</v>
      </c>
      <c r="G991" t="s">
        <v>70</v>
      </c>
    </row>
    <row r="992" spans="1:7">
      <c r="A992">
        <v>43287</v>
      </c>
      <c r="B992" t="s">
        <v>67</v>
      </c>
      <c r="C992" t="s">
        <v>49</v>
      </c>
      <c r="D992">
        <v>23</v>
      </c>
      <c r="E992">
        <v>150</v>
      </c>
      <c r="F992">
        <v>0.11</v>
      </c>
      <c r="G992" t="s">
        <v>72</v>
      </c>
    </row>
    <row r="993" spans="1:7">
      <c r="A993">
        <v>43287</v>
      </c>
      <c r="B993" t="s">
        <v>63</v>
      </c>
      <c r="C993" t="s">
        <v>49</v>
      </c>
      <c r="D993">
        <v>4</v>
      </c>
      <c r="E993">
        <v>16</v>
      </c>
      <c r="F993">
        <v>0.09</v>
      </c>
      <c r="G993" t="s">
        <v>74</v>
      </c>
    </row>
    <row r="994" spans="1:7">
      <c r="A994">
        <v>43287</v>
      </c>
      <c r="B994" t="s">
        <v>63</v>
      </c>
      <c r="C994" t="s">
        <v>49</v>
      </c>
      <c r="D994">
        <v>4</v>
      </c>
      <c r="E994">
        <v>16</v>
      </c>
      <c r="F994">
        <v>0.07</v>
      </c>
      <c r="G994" t="s">
        <v>76</v>
      </c>
    </row>
    <row r="995" spans="1:7">
      <c r="A995">
        <v>43287</v>
      </c>
      <c r="B995" t="s">
        <v>63</v>
      </c>
      <c r="C995" t="s">
        <v>45</v>
      </c>
      <c r="D995">
        <v>16</v>
      </c>
      <c r="E995">
        <v>16</v>
      </c>
      <c r="F995">
        <v>0.03</v>
      </c>
      <c r="G995" t="s">
        <v>46</v>
      </c>
    </row>
    <row r="996" spans="1:7">
      <c r="A996">
        <v>43287</v>
      </c>
      <c r="B996" t="s">
        <v>48</v>
      </c>
      <c r="C996" t="s">
        <v>60</v>
      </c>
      <c r="D996">
        <v>18</v>
      </c>
      <c r="E996">
        <v>40</v>
      </c>
      <c r="F996">
        <v>0.04</v>
      </c>
      <c r="G996" t="s">
        <v>50</v>
      </c>
    </row>
    <row r="997" spans="1:7">
      <c r="A997">
        <v>43287</v>
      </c>
      <c r="B997" t="s">
        <v>44</v>
      </c>
      <c r="C997" t="s">
        <v>60</v>
      </c>
      <c r="D997">
        <v>21</v>
      </c>
      <c r="E997">
        <v>80</v>
      </c>
      <c r="F997">
        <v>0.02</v>
      </c>
      <c r="G997" t="s">
        <v>53</v>
      </c>
    </row>
    <row r="998" spans="1:7">
      <c r="A998">
        <v>43287</v>
      </c>
      <c r="B998" t="s">
        <v>44</v>
      </c>
      <c r="C998" t="s">
        <v>64</v>
      </c>
      <c r="D998">
        <v>10</v>
      </c>
      <c r="E998">
        <v>80</v>
      </c>
      <c r="F998">
        <v>0.06</v>
      </c>
      <c r="G998" t="s">
        <v>55</v>
      </c>
    </row>
    <row r="999" spans="1:7">
      <c r="A999">
        <v>43287</v>
      </c>
      <c r="B999" t="s">
        <v>52</v>
      </c>
      <c r="C999" t="s">
        <v>57</v>
      </c>
      <c r="D999">
        <v>7</v>
      </c>
      <c r="E999">
        <v>230</v>
      </c>
      <c r="F999">
        <v>0.01</v>
      </c>
      <c r="G999" t="s">
        <v>58</v>
      </c>
    </row>
    <row r="1000" spans="1:7">
      <c r="A1000">
        <v>43288</v>
      </c>
      <c r="B1000" t="s">
        <v>63</v>
      </c>
      <c r="C1000" t="s">
        <v>64</v>
      </c>
      <c r="D1000">
        <v>11</v>
      </c>
      <c r="E1000">
        <v>16</v>
      </c>
      <c r="F1000">
        <v>0.12</v>
      </c>
      <c r="G1000" t="s">
        <v>61</v>
      </c>
    </row>
    <row r="1001" spans="1:7">
      <c r="A1001">
        <v>43288</v>
      </c>
      <c r="B1001" t="s">
        <v>44</v>
      </c>
      <c r="C1001" t="s">
        <v>60</v>
      </c>
      <c r="D1001">
        <v>10</v>
      </c>
      <c r="E1001">
        <v>80</v>
      </c>
      <c r="F1001">
        <v>0.1</v>
      </c>
      <c r="G1001" t="s">
        <v>50</v>
      </c>
    </row>
    <row r="1002" spans="1:7">
      <c r="A1002">
        <v>43288</v>
      </c>
      <c r="B1002" t="s">
        <v>48</v>
      </c>
      <c r="C1002" t="s">
        <v>49</v>
      </c>
      <c r="D1002">
        <v>23</v>
      </c>
      <c r="E1002">
        <v>40</v>
      </c>
      <c r="F1002">
        <v>0.06</v>
      </c>
      <c r="G1002" t="s">
        <v>53</v>
      </c>
    </row>
    <row r="1003" spans="1:7">
      <c r="A1003">
        <v>43288</v>
      </c>
      <c r="B1003" t="s">
        <v>67</v>
      </c>
      <c r="C1003" t="s">
        <v>64</v>
      </c>
      <c r="D1003">
        <v>7</v>
      </c>
      <c r="E1003">
        <v>150</v>
      </c>
      <c r="F1003">
        <v>0.02</v>
      </c>
      <c r="G1003" t="s">
        <v>55</v>
      </c>
    </row>
    <row r="1004" spans="1:7">
      <c r="A1004">
        <v>43288</v>
      </c>
      <c r="B1004" t="s">
        <v>44</v>
      </c>
      <c r="C1004" t="s">
        <v>45</v>
      </c>
      <c r="D1004">
        <v>17</v>
      </c>
      <c r="E1004">
        <v>80</v>
      </c>
      <c r="F1004">
        <v>0.07</v>
      </c>
      <c r="G1004" t="s">
        <v>58</v>
      </c>
    </row>
    <row r="1005" spans="1:7">
      <c r="A1005">
        <v>43288</v>
      </c>
      <c r="B1005" t="s">
        <v>67</v>
      </c>
      <c r="C1005" t="s">
        <v>49</v>
      </c>
      <c r="D1005">
        <v>20</v>
      </c>
      <c r="E1005">
        <v>150</v>
      </c>
      <c r="F1005">
        <v>0.09</v>
      </c>
      <c r="G1005" t="s">
        <v>61</v>
      </c>
    </row>
    <row r="1006" spans="1:7">
      <c r="A1006">
        <v>43288</v>
      </c>
      <c r="B1006" t="s">
        <v>52</v>
      </c>
      <c r="C1006" t="s">
        <v>60</v>
      </c>
      <c r="D1006">
        <v>23</v>
      </c>
      <c r="E1006">
        <v>230</v>
      </c>
      <c r="F1006">
        <v>0.06</v>
      </c>
      <c r="G1006" t="s">
        <v>65</v>
      </c>
    </row>
    <row r="1007" spans="1:7">
      <c r="A1007">
        <v>43288</v>
      </c>
      <c r="B1007" t="s">
        <v>44</v>
      </c>
      <c r="C1007" t="s">
        <v>49</v>
      </c>
      <c r="D1007">
        <v>16</v>
      </c>
      <c r="E1007">
        <v>80</v>
      </c>
      <c r="F1007">
        <v>0.04</v>
      </c>
      <c r="G1007" t="s">
        <v>68</v>
      </c>
    </row>
    <row r="1008" spans="1:7">
      <c r="A1008">
        <v>43288</v>
      </c>
      <c r="B1008" t="s">
        <v>52</v>
      </c>
      <c r="C1008" t="s">
        <v>64</v>
      </c>
      <c r="D1008">
        <v>22</v>
      </c>
      <c r="E1008">
        <v>230</v>
      </c>
      <c r="F1008">
        <v>0.1</v>
      </c>
      <c r="G1008" t="s">
        <v>70</v>
      </c>
    </row>
    <row r="1009" spans="1:7">
      <c r="A1009">
        <v>43288</v>
      </c>
      <c r="B1009" t="s">
        <v>52</v>
      </c>
      <c r="C1009" t="s">
        <v>57</v>
      </c>
      <c r="D1009">
        <v>15</v>
      </c>
      <c r="E1009">
        <v>230</v>
      </c>
      <c r="F1009">
        <v>0.11</v>
      </c>
      <c r="G1009" t="s">
        <v>72</v>
      </c>
    </row>
    <row r="1010" spans="1:7">
      <c r="A1010">
        <v>43288</v>
      </c>
      <c r="B1010" t="s">
        <v>48</v>
      </c>
      <c r="C1010" t="s">
        <v>49</v>
      </c>
      <c r="D1010">
        <v>15</v>
      </c>
      <c r="E1010">
        <v>40</v>
      </c>
      <c r="F1010">
        <v>0.04</v>
      </c>
      <c r="G1010" t="s">
        <v>74</v>
      </c>
    </row>
    <row r="1011" spans="1:7">
      <c r="A1011">
        <v>43288</v>
      </c>
      <c r="B1011" t="s">
        <v>44</v>
      </c>
      <c r="C1011" t="s">
        <v>49</v>
      </c>
      <c r="D1011">
        <v>2</v>
      </c>
      <c r="E1011">
        <v>80</v>
      </c>
      <c r="F1011">
        <v>0.07</v>
      </c>
      <c r="G1011" t="s">
        <v>76</v>
      </c>
    </row>
    <row r="1012" spans="1:7">
      <c r="A1012">
        <v>43289</v>
      </c>
      <c r="B1012" t="s">
        <v>67</v>
      </c>
      <c r="C1012" t="s">
        <v>45</v>
      </c>
      <c r="D1012">
        <v>22</v>
      </c>
      <c r="E1012">
        <v>150</v>
      </c>
      <c r="F1012">
        <v>0.05</v>
      </c>
      <c r="G1012" t="s">
        <v>46</v>
      </c>
    </row>
    <row r="1013" spans="1:7">
      <c r="A1013">
        <v>43289</v>
      </c>
      <c r="B1013" t="s">
        <v>48</v>
      </c>
      <c r="C1013" t="s">
        <v>64</v>
      </c>
      <c r="D1013">
        <v>20</v>
      </c>
      <c r="E1013">
        <v>40</v>
      </c>
      <c r="F1013">
        <v>0.07</v>
      </c>
      <c r="G1013" t="s">
        <v>50</v>
      </c>
    </row>
    <row r="1014" spans="1:7">
      <c r="A1014">
        <v>43289</v>
      </c>
      <c r="B1014" t="s">
        <v>52</v>
      </c>
      <c r="C1014" t="s">
        <v>60</v>
      </c>
      <c r="D1014">
        <v>2</v>
      </c>
      <c r="E1014">
        <v>230</v>
      </c>
      <c r="F1014">
        <v>0.09</v>
      </c>
      <c r="G1014" t="s">
        <v>53</v>
      </c>
    </row>
    <row r="1015" spans="1:7">
      <c r="A1015">
        <v>43289</v>
      </c>
      <c r="B1015" t="s">
        <v>48</v>
      </c>
      <c r="C1015" t="s">
        <v>60</v>
      </c>
      <c r="D1015">
        <v>7</v>
      </c>
      <c r="E1015">
        <v>40</v>
      </c>
      <c r="F1015">
        <v>0.11</v>
      </c>
      <c r="G1015" t="s">
        <v>55</v>
      </c>
    </row>
    <row r="1016" spans="1:7">
      <c r="A1016">
        <v>43289</v>
      </c>
      <c r="B1016" t="s">
        <v>44</v>
      </c>
      <c r="C1016" t="s">
        <v>60</v>
      </c>
      <c r="D1016">
        <v>7</v>
      </c>
      <c r="E1016">
        <v>80</v>
      </c>
      <c r="F1016">
        <v>0.07</v>
      </c>
      <c r="G1016" t="s">
        <v>58</v>
      </c>
    </row>
    <row r="1017" spans="1:7">
      <c r="A1017">
        <v>43289</v>
      </c>
      <c r="B1017" t="s">
        <v>48</v>
      </c>
      <c r="C1017" t="s">
        <v>60</v>
      </c>
      <c r="D1017">
        <v>9</v>
      </c>
      <c r="E1017">
        <v>40</v>
      </c>
      <c r="F1017">
        <v>0.06</v>
      </c>
      <c r="G1017" t="s">
        <v>61</v>
      </c>
    </row>
    <row r="1018" spans="1:7">
      <c r="A1018">
        <v>43289</v>
      </c>
      <c r="B1018" t="s">
        <v>48</v>
      </c>
      <c r="C1018" t="s">
        <v>45</v>
      </c>
      <c r="D1018">
        <v>18</v>
      </c>
      <c r="E1018">
        <v>40</v>
      </c>
      <c r="F1018">
        <v>0.11</v>
      </c>
      <c r="G1018" t="s">
        <v>50</v>
      </c>
    </row>
    <row r="1019" spans="1:7">
      <c r="A1019">
        <v>43289</v>
      </c>
      <c r="B1019" t="s">
        <v>52</v>
      </c>
      <c r="C1019" t="s">
        <v>45</v>
      </c>
      <c r="D1019">
        <v>20</v>
      </c>
      <c r="E1019">
        <v>230</v>
      </c>
      <c r="F1019">
        <v>0.04</v>
      </c>
      <c r="G1019" t="s">
        <v>53</v>
      </c>
    </row>
    <row r="1020" spans="1:7">
      <c r="A1020">
        <v>43289</v>
      </c>
      <c r="B1020" t="s">
        <v>44</v>
      </c>
      <c r="C1020" t="s">
        <v>57</v>
      </c>
      <c r="D1020">
        <v>23</v>
      </c>
      <c r="E1020">
        <v>80</v>
      </c>
      <c r="F1020">
        <v>0.05</v>
      </c>
      <c r="G1020" t="s">
        <v>55</v>
      </c>
    </row>
    <row r="1021" spans="1:7">
      <c r="A1021">
        <v>43289</v>
      </c>
      <c r="B1021" t="s">
        <v>67</v>
      </c>
      <c r="C1021" t="s">
        <v>64</v>
      </c>
      <c r="D1021">
        <v>11</v>
      </c>
      <c r="E1021">
        <v>150</v>
      </c>
      <c r="F1021">
        <v>0.09</v>
      </c>
      <c r="G1021" t="s">
        <v>58</v>
      </c>
    </row>
    <row r="1022" spans="1:7">
      <c r="A1022">
        <v>43289</v>
      </c>
      <c r="B1022" t="s">
        <v>67</v>
      </c>
      <c r="C1022" t="s">
        <v>45</v>
      </c>
      <c r="D1022">
        <v>17</v>
      </c>
      <c r="E1022">
        <v>150</v>
      </c>
      <c r="F1022">
        <v>0.12</v>
      </c>
      <c r="G1022" t="s">
        <v>61</v>
      </c>
    </row>
    <row r="1023" spans="1:7">
      <c r="A1023">
        <v>43289</v>
      </c>
      <c r="B1023" t="s">
        <v>52</v>
      </c>
      <c r="C1023" t="s">
        <v>64</v>
      </c>
      <c r="D1023">
        <v>2</v>
      </c>
      <c r="E1023">
        <v>230</v>
      </c>
      <c r="F1023">
        <v>0.08</v>
      </c>
      <c r="G1023" t="s">
        <v>65</v>
      </c>
    </row>
    <row r="1024" spans="1:7">
      <c r="A1024">
        <v>43289</v>
      </c>
      <c r="B1024" t="s">
        <v>44</v>
      </c>
      <c r="C1024" t="s">
        <v>57</v>
      </c>
      <c r="D1024">
        <v>10</v>
      </c>
      <c r="E1024">
        <v>80</v>
      </c>
      <c r="F1024">
        <v>0.11</v>
      </c>
      <c r="G1024" t="s">
        <v>68</v>
      </c>
    </row>
    <row r="1025" spans="1:7">
      <c r="A1025">
        <v>43290</v>
      </c>
      <c r="B1025" t="s">
        <v>63</v>
      </c>
      <c r="C1025" t="s">
        <v>60</v>
      </c>
      <c r="D1025">
        <v>22</v>
      </c>
      <c r="E1025">
        <v>16</v>
      </c>
      <c r="F1025">
        <v>0.03</v>
      </c>
      <c r="G1025" t="s">
        <v>70</v>
      </c>
    </row>
    <row r="1026" spans="1:7">
      <c r="A1026">
        <v>43290</v>
      </c>
      <c r="B1026" t="s">
        <v>63</v>
      </c>
      <c r="C1026" t="s">
        <v>57</v>
      </c>
      <c r="D1026">
        <v>9</v>
      </c>
      <c r="E1026">
        <v>16</v>
      </c>
      <c r="F1026">
        <v>0.05</v>
      </c>
      <c r="G1026" t="s">
        <v>72</v>
      </c>
    </row>
    <row r="1027" spans="1:7">
      <c r="A1027">
        <v>43290</v>
      </c>
      <c r="B1027" t="s">
        <v>48</v>
      </c>
      <c r="C1027" t="s">
        <v>57</v>
      </c>
      <c r="D1027">
        <v>4</v>
      </c>
      <c r="E1027">
        <v>40</v>
      </c>
      <c r="F1027">
        <v>0.1</v>
      </c>
      <c r="G1027" t="s">
        <v>74</v>
      </c>
    </row>
    <row r="1028" spans="1:7">
      <c r="A1028">
        <v>43290</v>
      </c>
      <c r="B1028" t="s">
        <v>44</v>
      </c>
      <c r="C1028" t="s">
        <v>64</v>
      </c>
      <c r="D1028">
        <v>9</v>
      </c>
      <c r="E1028">
        <v>80</v>
      </c>
      <c r="F1028">
        <v>0.02</v>
      </c>
      <c r="G1028" t="s">
        <v>76</v>
      </c>
    </row>
    <row r="1029" spans="1:7">
      <c r="A1029">
        <v>43290</v>
      </c>
      <c r="B1029" t="s">
        <v>52</v>
      </c>
      <c r="C1029" t="s">
        <v>57</v>
      </c>
      <c r="D1029">
        <v>6</v>
      </c>
      <c r="E1029">
        <v>230</v>
      </c>
      <c r="F1029">
        <v>0.05</v>
      </c>
      <c r="G1029" t="s">
        <v>46</v>
      </c>
    </row>
    <row r="1030" spans="1:7">
      <c r="A1030">
        <v>43290</v>
      </c>
      <c r="B1030" t="s">
        <v>44</v>
      </c>
      <c r="C1030" t="s">
        <v>60</v>
      </c>
      <c r="D1030">
        <v>14</v>
      </c>
      <c r="E1030">
        <v>80</v>
      </c>
      <c r="F1030">
        <v>0.05</v>
      </c>
      <c r="G1030" t="s">
        <v>50</v>
      </c>
    </row>
    <row r="1031" spans="1:7">
      <c r="A1031">
        <v>43290</v>
      </c>
      <c r="B1031" t="s">
        <v>63</v>
      </c>
      <c r="C1031" t="s">
        <v>64</v>
      </c>
      <c r="D1031">
        <v>17</v>
      </c>
      <c r="E1031">
        <v>16</v>
      </c>
      <c r="F1031">
        <v>0.08</v>
      </c>
      <c r="G1031" t="s">
        <v>53</v>
      </c>
    </row>
    <row r="1032" spans="1:7">
      <c r="A1032">
        <v>43290</v>
      </c>
      <c r="B1032" t="s">
        <v>67</v>
      </c>
      <c r="C1032" t="s">
        <v>49</v>
      </c>
      <c r="D1032">
        <v>22</v>
      </c>
      <c r="E1032">
        <v>150</v>
      </c>
      <c r="F1032">
        <v>0.02</v>
      </c>
      <c r="G1032" t="s">
        <v>55</v>
      </c>
    </row>
    <row r="1033" spans="1:7">
      <c r="A1033">
        <v>43290</v>
      </c>
      <c r="B1033" t="s">
        <v>48</v>
      </c>
      <c r="C1033" t="s">
        <v>64</v>
      </c>
      <c r="D1033">
        <v>17</v>
      </c>
      <c r="E1033">
        <v>40</v>
      </c>
      <c r="F1033">
        <v>0.02</v>
      </c>
      <c r="G1033" t="s">
        <v>58</v>
      </c>
    </row>
    <row r="1034" spans="1:7">
      <c r="A1034">
        <v>43290</v>
      </c>
      <c r="B1034" t="s">
        <v>44</v>
      </c>
      <c r="C1034" t="s">
        <v>64</v>
      </c>
      <c r="D1034">
        <v>17</v>
      </c>
      <c r="E1034">
        <v>80</v>
      </c>
      <c r="F1034">
        <v>0.07</v>
      </c>
      <c r="G1034" t="s">
        <v>61</v>
      </c>
    </row>
    <row r="1035" spans="1:7">
      <c r="A1035">
        <v>43290</v>
      </c>
      <c r="B1035" t="s">
        <v>67</v>
      </c>
      <c r="C1035" t="s">
        <v>60</v>
      </c>
      <c r="D1035">
        <v>4</v>
      </c>
      <c r="E1035">
        <v>150</v>
      </c>
      <c r="F1035">
        <v>0.12</v>
      </c>
      <c r="G1035" t="s">
        <v>50</v>
      </c>
    </row>
    <row r="1036" spans="1:7">
      <c r="A1036">
        <v>43290</v>
      </c>
      <c r="B1036" t="s">
        <v>63</v>
      </c>
      <c r="C1036" t="s">
        <v>60</v>
      </c>
      <c r="D1036">
        <v>14</v>
      </c>
      <c r="E1036">
        <v>16</v>
      </c>
      <c r="F1036">
        <v>0.12</v>
      </c>
      <c r="G1036" t="s">
        <v>53</v>
      </c>
    </row>
    <row r="1037" spans="1:7">
      <c r="A1037">
        <v>43290</v>
      </c>
      <c r="B1037" t="s">
        <v>63</v>
      </c>
      <c r="C1037" t="s">
        <v>45</v>
      </c>
      <c r="D1037">
        <v>18</v>
      </c>
      <c r="E1037">
        <v>16</v>
      </c>
      <c r="F1037">
        <v>0.11</v>
      </c>
      <c r="G1037" t="s">
        <v>55</v>
      </c>
    </row>
    <row r="1038" spans="1:7">
      <c r="A1038">
        <v>43290</v>
      </c>
      <c r="B1038" t="s">
        <v>44</v>
      </c>
      <c r="C1038" t="s">
        <v>64</v>
      </c>
      <c r="D1038">
        <v>22</v>
      </c>
      <c r="E1038">
        <v>80</v>
      </c>
      <c r="F1038">
        <v>0.09</v>
      </c>
      <c r="G1038" t="s">
        <v>58</v>
      </c>
    </row>
    <row r="1039" spans="1:7">
      <c r="A1039">
        <v>43290</v>
      </c>
      <c r="B1039" t="s">
        <v>52</v>
      </c>
      <c r="C1039" t="s">
        <v>49</v>
      </c>
      <c r="D1039">
        <v>12</v>
      </c>
      <c r="E1039">
        <v>230</v>
      </c>
      <c r="F1039">
        <v>0.03</v>
      </c>
      <c r="G1039" t="s">
        <v>61</v>
      </c>
    </row>
    <row r="1040" spans="1:7">
      <c r="A1040">
        <v>43290</v>
      </c>
      <c r="B1040" t="s">
        <v>48</v>
      </c>
      <c r="C1040" t="s">
        <v>49</v>
      </c>
      <c r="D1040">
        <v>12</v>
      </c>
      <c r="E1040">
        <v>40</v>
      </c>
      <c r="F1040">
        <v>0.1</v>
      </c>
      <c r="G1040" t="s">
        <v>65</v>
      </c>
    </row>
    <row r="1041" spans="1:7">
      <c r="A1041">
        <v>43291</v>
      </c>
      <c r="B1041" t="s">
        <v>48</v>
      </c>
      <c r="C1041" t="s">
        <v>64</v>
      </c>
      <c r="D1041">
        <v>7</v>
      </c>
      <c r="E1041">
        <v>40</v>
      </c>
      <c r="F1041">
        <v>0.12</v>
      </c>
      <c r="G1041" t="s">
        <v>68</v>
      </c>
    </row>
    <row r="1042" spans="1:7">
      <c r="A1042">
        <v>43291</v>
      </c>
      <c r="B1042" t="s">
        <v>44</v>
      </c>
      <c r="C1042" t="s">
        <v>45</v>
      </c>
      <c r="D1042">
        <v>12</v>
      </c>
      <c r="E1042">
        <v>80</v>
      </c>
      <c r="F1042">
        <v>0.04</v>
      </c>
      <c r="G1042" t="s">
        <v>70</v>
      </c>
    </row>
    <row r="1043" spans="1:7">
      <c r="A1043">
        <v>43291</v>
      </c>
      <c r="B1043" t="s">
        <v>63</v>
      </c>
      <c r="C1043" t="s">
        <v>64</v>
      </c>
      <c r="D1043">
        <v>17</v>
      </c>
      <c r="E1043">
        <v>16</v>
      </c>
      <c r="F1043">
        <v>0.1</v>
      </c>
      <c r="G1043" t="s">
        <v>72</v>
      </c>
    </row>
    <row r="1044" spans="1:7">
      <c r="A1044">
        <v>43291</v>
      </c>
      <c r="B1044" t="s">
        <v>52</v>
      </c>
      <c r="C1044" t="s">
        <v>49</v>
      </c>
      <c r="D1044">
        <v>6</v>
      </c>
      <c r="E1044">
        <v>230</v>
      </c>
      <c r="F1044">
        <v>0.1</v>
      </c>
      <c r="G1044" t="s">
        <v>74</v>
      </c>
    </row>
    <row r="1045" spans="1:7">
      <c r="A1045">
        <v>43291</v>
      </c>
      <c r="B1045" t="s">
        <v>48</v>
      </c>
      <c r="C1045" t="s">
        <v>45</v>
      </c>
      <c r="D1045">
        <v>11</v>
      </c>
      <c r="E1045">
        <v>40</v>
      </c>
      <c r="F1045">
        <v>0.04</v>
      </c>
      <c r="G1045" t="s">
        <v>76</v>
      </c>
    </row>
    <row r="1046" spans="1:7">
      <c r="A1046">
        <v>43291</v>
      </c>
      <c r="B1046" t="s">
        <v>63</v>
      </c>
      <c r="C1046" t="s">
        <v>60</v>
      </c>
      <c r="D1046">
        <v>10</v>
      </c>
      <c r="E1046">
        <v>16</v>
      </c>
      <c r="F1046">
        <v>0.04</v>
      </c>
      <c r="G1046" t="s">
        <v>46</v>
      </c>
    </row>
    <row r="1047" spans="1:7">
      <c r="A1047">
        <v>43291</v>
      </c>
      <c r="B1047" t="s">
        <v>44</v>
      </c>
      <c r="C1047" t="s">
        <v>45</v>
      </c>
      <c r="D1047">
        <v>6</v>
      </c>
      <c r="E1047">
        <v>80</v>
      </c>
      <c r="F1047">
        <v>0.07</v>
      </c>
      <c r="G1047" t="s">
        <v>50</v>
      </c>
    </row>
    <row r="1048" spans="1:7">
      <c r="A1048">
        <v>43291</v>
      </c>
      <c r="B1048" t="s">
        <v>48</v>
      </c>
      <c r="C1048" t="s">
        <v>60</v>
      </c>
      <c r="D1048">
        <v>11</v>
      </c>
      <c r="E1048">
        <v>40</v>
      </c>
      <c r="F1048">
        <v>0.09</v>
      </c>
      <c r="G1048" t="s">
        <v>53</v>
      </c>
    </row>
    <row r="1049" spans="1:7">
      <c r="A1049">
        <v>43291</v>
      </c>
      <c r="B1049" t="s">
        <v>44</v>
      </c>
      <c r="C1049" t="s">
        <v>64</v>
      </c>
      <c r="D1049">
        <v>16</v>
      </c>
      <c r="E1049">
        <v>80</v>
      </c>
      <c r="F1049">
        <v>0.09</v>
      </c>
      <c r="G1049" t="s">
        <v>55</v>
      </c>
    </row>
    <row r="1050" spans="1:7">
      <c r="A1050">
        <v>43291</v>
      </c>
      <c r="B1050" t="s">
        <v>48</v>
      </c>
      <c r="C1050" t="s">
        <v>60</v>
      </c>
      <c r="D1050">
        <v>13</v>
      </c>
      <c r="E1050">
        <v>40</v>
      </c>
      <c r="F1050">
        <v>0.09</v>
      </c>
      <c r="G1050" t="s">
        <v>58</v>
      </c>
    </row>
    <row r="1051" spans="1:7">
      <c r="A1051">
        <v>43291</v>
      </c>
      <c r="B1051" t="s">
        <v>52</v>
      </c>
      <c r="C1051" t="s">
        <v>45</v>
      </c>
      <c r="D1051">
        <v>5</v>
      </c>
      <c r="E1051">
        <v>230</v>
      </c>
      <c r="F1051">
        <v>0.1</v>
      </c>
      <c r="G1051" t="s">
        <v>61</v>
      </c>
    </row>
    <row r="1052" spans="1:7">
      <c r="A1052">
        <v>43292</v>
      </c>
      <c r="B1052" t="s">
        <v>48</v>
      </c>
      <c r="C1052" t="s">
        <v>64</v>
      </c>
      <c r="D1052">
        <v>7</v>
      </c>
      <c r="E1052">
        <v>40</v>
      </c>
      <c r="F1052">
        <v>0.05</v>
      </c>
      <c r="G1052" t="s">
        <v>50</v>
      </c>
    </row>
    <row r="1053" spans="1:7">
      <c r="A1053">
        <v>43292</v>
      </c>
      <c r="B1053" t="s">
        <v>44</v>
      </c>
      <c r="C1053" t="s">
        <v>57</v>
      </c>
      <c r="D1053">
        <v>14</v>
      </c>
      <c r="E1053">
        <v>80</v>
      </c>
      <c r="F1053">
        <v>0.1</v>
      </c>
      <c r="G1053" t="s">
        <v>53</v>
      </c>
    </row>
    <row r="1054" spans="1:7">
      <c r="A1054">
        <v>43292</v>
      </c>
      <c r="B1054" t="s">
        <v>63</v>
      </c>
      <c r="C1054" t="s">
        <v>64</v>
      </c>
      <c r="D1054">
        <v>12</v>
      </c>
      <c r="E1054">
        <v>16</v>
      </c>
      <c r="F1054">
        <v>0.04</v>
      </c>
      <c r="G1054" t="s">
        <v>55</v>
      </c>
    </row>
    <row r="1055" spans="1:7">
      <c r="A1055">
        <v>43292</v>
      </c>
      <c r="B1055" t="s">
        <v>52</v>
      </c>
      <c r="C1055" t="s">
        <v>57</v>
      </c>
      <c r="D1055">
        <v>14</v>
      </c>
      <c r="E1055">
        <v>230</v>
      </c>
      <c r="F1055">
        <v>0.03</v>
      </c>
      <c r="G1055" t="s">
        <v>58</v>
      </c>
    </row>
    <row r="1056" spans="1:7">
      <c r="A1056">
        <v>43292</v>
      </c>
      <c r="B1056" t="s">
        <v>44</v>
      </c>
      <c r="C1056" t="s">
        <v>64</v>
      </c>
      <c r="D1056">
        <v>21</v>
      </c>
      <c r="E1056">
        <v>80</v>
      </c>
      <c r="F1056">
        <v>0.09</v>
      </c>
      <c r="G1056" t="s">
        <v>61</v>
      </c>
    </row>
    <row r="1057" spans="1:7">
      <c r="A1057">
        <v>43292</v>
      </c>
      <c r="B1057" t="s">
        <v>52</v>
      </c>
      <c r="C1057" t="s">
        <v>57</v>
      </c>
      <c r="D1057">
        <v>5</v>
      </c>
      <c r="E1057">
        <v>230</v>
      </c>
      <c r="F1057">
        <v>0.1</v>
      </c>
      <c r="G1057" t="s">
        <v>65</v>
      </c>
    </row>
    <row r="1058" spans="1:7">
      <c r="A1058">
        <v>43292</v>
      </c>
      <c r="B1058" t="s">
        <v>48</v>
      </c>
      <c r="C1058" t="s">
        <v>64</v>
      </c>
      <c r="D1058">
        <v>16</v>
      </c>
      <c r="E1058">
        <v>40</v>
      </c>
      <c r="F1058">
        <v>0.09</v>
      </c>
      <c r="G1058" t="s">
        <v>68</v>
      </c>
    </row>
    <row r="1059" spans="1:7">
      <c r="A1059">
        <v>43292</v>
      </c>
      <c r="B1059" t="s">
        <v>67</v>
      </c>
      <c r="C1059" t="s">
        <v>49</v>
      </c>
      <c r="D1059">
        <v>15</v>
      </c>
      <c r="E1059">
        <v>150</v>
      </c>
      <c r="F1059">
        <v>0.12</v>
      </c>
      <c r="G1059" t="s">
        <v>70</v>
      </c>
    </row>
    <row r="1060" spans="1:7">
      <c r="A1060">
        <v>43292</v>
      </c>
      <c r="B1060" t="s">
        <v>63</v>
      </c>
      <c r="C1060" t="s">
        <v>64</v>
      </c>
      <c r="D1060">
        <v>23</v>
      </c>
      <c r="E1060">
        <v>16</v>
      </c>
      <c r="F1060">
        <v>0.01</v>
      </c>
      <c r="G1060" t="s">
        <v>72</v>
      </c>
    </row>
    <row r="1061" spans="1:7">
      <c r="A1061">
        <v>43292</v>
      </c>
      <c r="B1061" t="s">
        <v>63</v>
      </c>
      <c r="C1061" t="s">
        <v>49</v>
      </c>
      <c r="D1061">
        <v>22</v>
      </c>
      <c r="E1061">
        <v>16</v>
      </c>
      <c r="F1061">
        <v>0.04</v>
      </c>
      <c r="G1061" t="s">
        <v>74</v>
      </c>
    </row>
    <row r="1062" spans="1:7">
      <c r="A1062">
        <v>43292</v>
      </c>
      <c r="B1062" t="s">
        <v>44</v>
      </c>
      <c r="C1062" t="s">
        <v>45</v>
      </c>
      <c r="D1062">
        <v>20</v>
      </c>
      <c r="E1062">
        <v>80</v>
      </c>
      <c r="F1062">
        <v>0.01</v>
      </c>
      <c r="G1062" t="s">
        <v>76</v>
      </c>
    </row>
    <row r="1063" spans="1:7">
      <c r="A1063">
        <v>43292</v>
      </c>
      <c r="B1063" t="s">
        <v>48</v>
      </c>
      <c r="C1063" t="s">
        <v>60</v>
      </c>
      <c r="D1063">
        <v>6</v>
      </c>
      <c r="E1063">
        <v>40</v>
      </c>
      <c r="F1063">
        <v>0.07</v>
      </c>
      <c r="G1063" t="s">
        <v>46</v>
      </c>
    </row>
    <row r="1064" spans="1:7">
      <c r="A1064">
        <v>43293</v>
      </c>
      <c r="B1064" t="s">
        <v>67</v>
      </c>
      <c r="C1064" t="s">
        <v>49</v>
      </c>
      <c r="D1064">
        <v>10</v>
      </c>
      <c r="E1064">
        <v>150</v>
      </c>
      <c r="F1064">
        <v>0.01</v>
      </c>
      <c r="G1064" t="s">
        <v>50</v>
      </c>
    </row>
    <row r="1065" spans="1:7">
      <c r="A1065">
        <v>43293</v>
      </c>
      <c r="B1065" t="s">
        <v>44</v>
      </c>
      <c r="C1065" t="s">
        <v>60</v>
      </c>
      <c r="D1065">
        <v>17</v>
      </c>
      <c r="E1065">
        <v>80</v>
      </c>
      <c r="F1065">
        <v>0.05</v>
      </c>
      <c r="G1065" t="s">
        <v>53</v>
      </c>
    </row>
    <row r="1066" spans="1:7">
      <c r="A1066">
        <v>43293</v>
      </c>
      <c r="B1066" t="s">
        <v>67</v>
      </c>
      <c r="C1066" t="s">
        <v>45</v>
      </c>
      <c r="D1066">
        <v>13</v>
      </c>
      <c r="E1066">
        <v>150</v>
      </c>
      <c r="F1066">
        <v>0.05</v>
      </c>
      <c r="G1066" t="s">
        <v>55</v>
      </c>
    </row>
    <row r="1067" spans="1:7">
      <c r="A1067">
        <v>43293</v>
      </c>
      <c r="B1067" t="s">
        <v>52</v>
      </c>
      <c r="C1067" t="s">
        <v>60</v>
      </c>
      <c r="D1067">
        <v>8</v>
      </c>
      <c r="E1067">
        <v>230</v>
      </c>
      <c r="F1067">
        <v>0.05</v>
      </c>
      <c r="G1067" t="s">
        <v>58</v>
      </c>
    </row>
    <row r="1068" spans="1:7">
      <c r="A1068">
        <v>43293</v>
      </c>
      <c r="B1068" t="s">
        <v>63</v>
      </c>
      <c r="C1068" t="s">
        <v>45</v>
      </c>
      <c r="D1068">
        <v>10</v>
      </c>
      <c r="E1068">
        <v>16</v>
      </c>
      <c r="F1068">
        <v>0.08</v>
      </c>
      <c r="G1068" t="s">
        <v>61</v>
      </c>
    </row>
    <row r="1069" spans="1:7">
      <c r="A1069">
        <v>43293</v>
      </c>
      <c r="B1069" t="s">
        <v>48</v>
      </c>
      <c r="C1069" t="s">
        <v>49</v>
      </c>
      <c r="D1069">
        <v>4</v>
      </c>
      <c r="E1069">
        <v>40</v>
      </c>
      <c r="F1069">
        <v>0.06</v>
      </c>
      <c r="G1069" t="s">
        <v>50</v>
      </c>
    </row>
    <row r="1070" spans="1:7">
      <c r="A1070">
        <v>43293</v>
      </c>
      <c r="B1070" t="s">
        <v>48</v>
      </c>
      <c r="C1070" t="s">
        <v>64</v>
      </c>
      <c r="D1070">
        <v>18</v>
      </c>
      <c r="E1070">
        <v>40</v>
      </c>
      <c r="F1070">
        <v>0.06</v>
      </c>
      <c r="G1070" t="s">
        <v>53</v>
      </c>
    </row>
    <row r="1071" spans="1:7">
      <c r="A1071">
        <v>43293</v>
      </c>
      <c r="B1071" t="s">
        <v>67</v>
      </c>
      <c r="C1071" t="s">
        <v>60</v>
      </c>
      <c r="D1071">
        <v>15</v>
      </c>
      <c r="E1071">
        <v>150</v>
      </c>
      <c r="F1071">
        <v>0.05</v>
      </c>
      <c r="G1071" t="s">
        <v>55</v>
      </c>
    </row>
    <row r="1072" spans="1:7">
      <c r="A1072">
        <v>43293</v>
      </c>
      <c r="B1072" t="s">
        <v>67</v>
      </c>
      <c r="C1072" t="s">
        <v>60</v>
      </c>
      <c r="D1072">
        <v>3</v>
      </c>
      <c r="E1072">
        <v>150</v>
      </c>
      <c r="F1072">
        <v>0.01</v>
      </c>
      <c r="G1072" t="s">
        <v>58</v>
      </c>
    </row>
    <row r="1073" spans="1:7">
      <c r="A1073">
        <v>43293</v>
      </c>
      <c r="B1073" t="s">
        <v>63</v>
      </c>
      <c r="C1073" t="s">
        <v>45</v>
      </c>
      <c r="D1073">
        <v>12</v>
      </c>
      <c r="E1073">
        <v>16</v>
      </c>
      <c r="F1073">
        <v>0.11</v>
      </c>
      <c r="G1073" t="s">
        <v>61</v>
      </c>
    </row>
    <row r="1074" spans="1:7">
      <c r="A1074">
        <v>43294</v>
      </c>
      <c r="B1074" t="s">
        <v>44</v>
      </c>
      <c r="C1074" t="s">
        <v>64</v>
      </c>
      <c r="D1074">
        <v>17</v>
      </c>
      <c r="E1074">
        <v>80</v>
      </c>
      <c r="F1074">
        <v>0.07</v>
      </c>
      <c r="G1074" t="s">
        <v>65</v>
      </c>
    </row>
    <row r="1075" spans="1:7">
      <c r="A1075">
        <v>43294</v>
      </c>
      <c r="B1075" t="s">
        <v>52</v>
      </c>
      <c r="C1075" t="s">
        <v>45</v>
      </c>
      <c r="D1075">
        <v>3</v>
      </c>
      <c r="E1075">
        <v>230</v>
      </c>
      <c r="F1075">
        <v>0.06</v>
      </c>
      <c r="G1075" t="s">
        <v>68</v>
      </c>
    </row>
    <row r="1076" spans="1:7">
      <c r="A1076">
        <v>43294</v>
      </c>
      <c r="B1076" t="s">
        <v>44</v>
      </c>
      <c r="C1076" t="s">
        <v>57</v>
      </c>
      <c r="D1076">
        <v>20</v>
      </c>
      <c r="E1076">
        <v>80</v>
      </c>
      <c r="F1076">
        <v>0.07</v>
      </c>
      <c r="G1076" t="s">
        <v>70</v>
      </c>
    </row>
    <row r="1077" spans="1:7">
      <c r="A1077">
        <v>43294</v>
      </c>
      <c r="B1077" t="s">
        <v>52</v>
      </c>
      <c r="C1077" t="s">
        <v>49</v>
      </c>
      <c r="D1077">
        <v>14</v>
      </c>
      <c r="E1077">
        <v>230</v>
      </c>
      <c r="F1077">
        <v>0.05</v>
      </c>
      <c r="G1077" t="s">
        <v>72</v>
      </c>
    </row>
    <row r="1078" spans="1:7">
      <c r="A1078">
        <v>43294</v>
      </c>
      <c r="B1078" t="s">
        <v>48</v>
      </c>
      <c r="C1078" t="s">
        <v>64</v>
      </c>
      <c r="D1078">
        <v>16</v>
      </c>
      <c r="E1078">
        <v>40</v>
      </c>
      <c r="F1078">
        <v>0.09</v>
      </c>
      <c r="G1078" t="s">
        <v>74</v>
      </c>
    </row>
    <row r="1079" spans="1:7">
      <c r="A1079">
        <v>43294</v>
      </c>
      <c r="B1079" t="s">
        <v>63</v>
      </c>
      <c r="C1079" t="s">
        <v>49</v>
      </c>
      <c r="D1079">
        <v>7</v>
      </c>
      <c r="E1079">
        <v>16</v>
      </c>
      <c r="F1079">
        <v>0.08</v>
      </c>
      <c r="G1079" t="s">
        <v>76</v>
      </c>
    </row>
    <row r="1080" spans="1:7">
      <c r="A1080">
        <v>43294</v>
      </c>
      <c r="B1080" t="s">
        <v>48</v>
      </c>
      <c r="C1080" t="s">
        <v>49</v>
      </c>
      <c r="D1080">
        <v>19</v>
      </c>
      <c r="E1080">
        <v>40</v>
      </c>
      <c r="F1080">
        <v>0.1</v>
      </c>
      <c r="G1080" t="s">
        <v>46</v>
      </c>
    </row>
    <row r="1081" spans="1:7">
      <c r="A1081">
        <v>43294</v>
      </c>
      <c r="B1081" t="s">
        <v>52</v>
      </c>
      <c r="C1081" t="s">
        <v>60</v>
      </c>
      <c r="D1081">
        <v>7</v>
      </c>
      <c r="E1081">
        <v>230</v>
      </c>
      <c r="F1081">
        <v>0.06</v>
      </c>
      <c r="G1081" t="s">
        <v>50</v>
      </c>
    </row>
    <row r="1082" spans="1:7">
      <c r="A1082">
        <v>43294</v>
      </c>
      <c r="B1082" t="s">
        <v>48</v>
      </c>
      <c r="C1082" t="s">
        <v>64</v>
      </c>
      <c r="D1082">
        <v>20</v>
      </c>
      <c r="E1082">
        <v>40</v>
      </c>
      <c r="F1082">
        <v>0.03</v>
      </c>
      <c r="G1082" t="s">
        <v>53</v>
      </c>
    </row>
    <row r="1083" spans="1:7">
      <c r="A1083">
        <v>43294</v>
      </c>
      <c r="B1083" t="s">
        <v>63</v>
      </c>
      <c r="C1083" t="s">
        <v>57</v>
      </c>
      <c r="D1083">
        <v>11</v>
      </c>
      <c r="E1083">
        <v>16</v>
      </c>
      <c r="F1083">
        <v>0.12</v>
      </c>
      <c r="G1083" t="s">
        <v>55</v>
      </c>
    </row>
    <row r="1084" spans="1:7">
      <c r="A1084">
        <v>43294</v>
      </c>
      <c r="B1084" t="s">
        <v>44</v>
      </c>
      <c r="C1084" t="s">
        <v>64</v>
      </c>
      <c r="D1084">
        <v>16</v>
      </c>
      <c r="E1084">
        <v>80</v>
      </c>
      <c r="F1084">
        <v>0.09</v>
      </c>
      <c r="G1084" t="s">
        <v>58</v>
      </c>
    </row>
    <row r="1085" spans="1:7">
      <c r="A1085">
        <v>43294</v>
      </c>
      <c r="B1085" t="s">
        <v>63</v>
      </c>
      <c r="C1085" t="s">
        <v>45</v>
      </c>
      <c r="D1085">
        <v>21</v>
      </c>
      <c r="E1085">
        <v>16</v>
      </c>
      <c r="F1085">
        <v>0.09</v>
      </c>
      <c r="G1085" t="s">
        <v>61</v>
      </c>
    </row>
    <row r="1086" spans="1:7">
      <c r="A1086">
        <v>43294</v>
      </c>
      <c r="B1086" t="s">
        <v>63</v>
      </c>
      <c r="C1086" t="s">
        <v>45</v>
      </c>
      <c r="D1086">
        <v>22</v>
      </c>
      <c r="E1086">
        <v>16</v>
      </c>
      <c r="F1086">
        <v>0.01</v>
      </c>
      <c r="G1086" t="s">
        <v>50</v>
      </c>
    </row>
    <row r="1087" spans="1:7">
      <c r="A1087">
        <v>43294</v>
      </c>
      <c r="B1087" t="s">
        <v>52</v>
      </c>
      <c r="C1087" t="s">
        <v>60</v>
      </c>
      <c r="D1087">
        <v>23</v>
      </c>
      <c r="E1087">
        <v>230</v>
      </c>
      <c r="F1087">
        <v>0.06</v>
      </c>
      <c r="G1087" t="s">
        <v>53</v>
      </c>
    </row>
    <row r="1088" spans="1:7">
      <c r="A1088">
        <v>43294</v>
      </c>
      <c r="B1088" t="s">
        <v>67</v>
      </c>
      <c r="C1088" t="s">
        <v>45</v>
      </c>
      <c r="D1088">
        <v>9</v>
      </c>
      <c r="E1088">
        <v>150</v>
      </c>
      <c r="F1088">
        <v>0.1</v>
      </c>
      <c r="G1088" t="s">
        <v>55</v>
      </c>
    </row>
    <row r="1089" spans="1:7">
      <c r="A1089">
        <v>43294</v>
      </c>
      <c r="B1089" t="s">
        <v>67</v>
      </c>
      <c r="C1089" t="s">
        <v>57</v>
      </c>
      <c r="D1089">
        <v>9</v>
      </c>
      <c r="E1089">
        <v>150</v>
      </c>
      <c r="F1089">
        <v>0.06</v>
      </c>
      <c r="G1089" t="s">
        <v>58</v>
      </c>
    </row>
    <row r="1090" spans="1:7">
      <c r="A1090">
        <v>43295</v>
      </c>
      <c r="B1090" t="s">
        <v>52</v>
      </c>
      <c r="C1090" t="s">
        <v>45</v>
      </c>
      <c r="D1090">
        <v>9</v>
      </c>
      <c r="E1090">
        <v>230</v>
      </c>
      <c r="F1090">
        <v>0.07</v>
      </c>
      <c r="G1090" t="s">
        <v>61</v>
      </c>
    </row>
    <row r="1091" spans="1:7">
      <c r="A1091">
        <v>43295</v>
      </c>
      <c r="B1091" t="s">
        <v>44</v>
      </c>
      <c r="C1091" t="s">
        <v>57</v>
      </c>
      <c r="D1091">
        <v>10</v>
      </c>
      <c r="E1091">
        <v>80</v>
      </c>
      <c r="F1091">
        <v>0.08</v>
      </c>
      <c r="G1091" t="s">
        <v>65</v>
      </c>
    </row>
    <row r="1092" spans="1:7">
      <c r="A1092">
        <v>43295</v>
      </c>
      <c r="B1092" t="s">
        <v>63</v>
      </c>
      <c r="C1092" t="s">
        <v>57</v>
      </c>
      <c r="D1092">
        <v>23</v>
      </c>
      <c r="E1092">
        <v>16</v>
      </c>
      <c r="F1092">
        <v>0.11</v>
      </c>
      <c r="G1092" t="s">
        <v>68</v>
      </c>
    </row>
    <row r="1093" spans="1:7">
      <c r="A1093">
        <v>43295</v>
      </c>
      <c r="B1093" t="s">
        <v>44</v>
      </c>
      <c r="C1093" t="s">
        <v>60</v>
      </c>
      <c r="D1093">
        <v>22</v>
      </c>
      <c r="E1093">
        <v>80</v>
      </c>
      <c r="F1093">
        <v>0.03</v>
      </c>
      <c r="G1093" t="s">
        <v>70</v>
      </c>
    </row>
    <row r="1094" spans="1:7">
      <c r="A1094">
        <v>43295</v>
      </c>
      <c r="B1094" t="s">
        <v>44</v>
      </c>
      <c r="C1094" t="s">
        <v>60</v>
      </c>
      <c r="D1094">
        <v>4</v>
      </c>
      <c r="E1094">
        <v>80</v>
      </c>
      <c r="F1094">
        <v>0.11</v>
      </c>
      <c r="G1094" t="s">
        <v>72</v>
      </c>
    </row>
    <row r="1095" spans="1:7">
      <c r="A1095">
        <v>43295</v>
      </c>
      <c r="B1095" t="s">
        <v>63</v>
      </c>
      <c r="C1095" t="s">
        <v>45</v>
      </c>
      <c r="D1095">
        <v>22</v>
      </c>
      <c r="E1095">
        <v>16</v>
      </c>
      <c r="F1095">
        <v>0.06</v>
      </c>
      <c r="G1095" t="s">
        <v>74</v>
      </c>
    </row>
    <row r="1096" spans="1:7">
      <c r="A1096">
        <v>43295</v>
      </c>
      <c r="B1096" t="s">
        <v>48</v>
      </c>
      <c r="C1096" t="s">
        <v>49</v>
      </c>
      <c r="D1096">
        <v>15</v>
      </c>
      <c r="E1096">
        <v>40</v>
      </c>
      <c r="F1096">
        <v>0.02</v>
      </c>
      <c r="G1096" t="s">
        <v>76</v>
      </c>
    </row>
    <row r="1097" spans="1:7">
      <c r="A1097">
        <v>43295</v>
      </c>
      <c r="B1097" t="s">
        <v>48</v>
      </c>
      <c r="C1097" t="s">
        <v>64</v>
      </c>
      <c r="D1097">
        <v>7</v>
      </c>
      <c r="E1097">
        <v>40</v>
      </c>
      <c r="F1097">
        <v>0.04</v>
      </c>
      <c r="G1097" t="s">
        <v>46</v>
      </c>
    </row>
    <row r="1098" spans="1:7">
      <c r="A1098">
        <v>43295</v>
      </c>
      <c r="B1098" t="s">
        <v>63</v>
      </c>
      <c r="C1098" t="s">
        <v>64</v>
      </c>
      <c r="D1098">
        <v>2</v>
      </c>
      <c r="E1098">
        <v>16</v>
      </c>
      <c r="F1098">
        <v>0.04</v>
      </c>
      <c r="G1098" t="s">
        <v>50</v>
      </c>
    </row>
    <row r="1099" spans="1:7">
      <c r="A1099">
        <v>43295</v>
      </c>
      <c r="B1099" t="s">
        <v>44</v>
      </c>
      <c r="C1099" t="s">
        <v>60</v>
      </c>
      <c r="D1099">
        <v>7</v>
      </c>
      <c r="E1099">
        <v>80</v>
      </c>
      <c r="F1099">
        <v>0.02</v>
      </c>
      <c r="G1099" t="s">
        <v>53</v>
      </c>
    </row>
    <row r="1100" spans="1:7">
      <c r="A1100">
        <v>43296</v>
      </c>
      <c r="B1100" t="s">
        <v>63</v>
      </c>
      <c r="C1100" t="s">
        <v>64</v>
      </c>
      <c r="D1100">
        <v>22</v>
      </c>
      <c r="E1100">
        <v>16</v>
      </c>
      <c r="F1100">
        <v>0.12</v>
      </c>
      <c r="G1100" t="s">
        <v>55</v>
      </c>
    </row>
    <row r="1101" spans="1:7">
      <c r="A1101">
        <v>43296</v>
      </c>
      <c r="B1101" t="s">
        <v>48</v>
      </c>
      <c r="C1101" t="s">
        <v>49</v>
      </c>
      <c r="D1101">
        <v>21</v>
      </c>
      <c r="E1101">
        <v>40</v>
      </c>
      <c r="F1101">
        <v>0.03</v>
      </c>
      <c r="G1101" t="s">
        <v>58</v>
      </c>
    </row>
    <row r="1102" spans="1:7">
      <c r="A1102">
        <v>43296</v>
      </c>
      <c r="B1102" t="s">
        <v>44</v>
      </c>
      <c r="C1102" t="s">
        <v>45</v>
      </c>
      <c r="D1102">
        <v>6</v>
      </c>
      <c r="E1102">
        <v>80</v>
      </c>
      <c r="F1102">
        <v>0.01</v>
      </c>
      <c r="G1102" t="s">
        <v>61</v>
      </c>
    </row>
    <row r="1103" spans="1:7">
      <c r="A1103">
        <v>43296</v>
      </c>
      <c r="B1103" t="s">
        <v>44</v>
      </c>
      <c r="C1103" t="s">
        <v>64</v>
      </c>
      <c r="D1103">
        <v>13</v>
      </c>
      <c r="E1103">
        <v>80</v>
      </c>
      <c r="F1103">
        <v>0.05</v>
      </c>
      <c r="G1103" t="s">
        <v>50</v>
      </c>
    </row>
    <row r="1104" spans="1:7">
      <c r="A1104">
        <v>43296</v>
      </c>
      <c r="B1104" t="s">
        <v>44</v>
      </c>
      <c r="C1104" t="s">
        <v>60</v>
      </c>
      <c r="D1104">
        <v>11</v>
      </c>
      <c r="E1104">
        <v>80</v>
      </c>
      <c r="F1104">
        <v>0.01</v>
      </c>
      <c r="G1104" t="s">
        <v>53</v>
      </c>
    </row>
    <row r="1105" spans="1:7">
      <c r="A1105">
        <v>43296</v>
      </c>
      <c r="B1105" t="s">
        <v>48</v>
      </c>
      <c r="C1105" t="s">
        <v>45</v>
      </c>
      <c r="D1105">
        <v>18</v>
      </c>
      <c r="E1105">
        <v>40</v>
      </c>
      <c r="F1105">
        <v>0.06</v>
      </c>
      <c r="G1105" t="s">
        <v>55</v>
      </c>
    </row>
    <row r="1106" spans="1:7">
      <c r="A1106">
        <v>43296</v>
      </c>
      <c r="B1106" t="s">
        <v>67</v>
      </c>
      <c r="C1106" t="s">
        <v>60</v>
      </c>
      <c r="D1106">
        <v>7</v>
      </c>
      <c r="E1106">
        <v>150</v>
      </c>
      <c r="F1106">
        <v>0.05</v>
      </c>
      <c r="G1106" t="s">
        <v>58</v>
      </c>
    </row>
    <row r="1107" spans="1:7">
      <c r="A1107">
        <v>43296</v>
      </c>
      <c r="B1107" t="s">
        <v>48</v>
      </c>
      <c r="C1107" t="s">
        <v>45</v>
      </c>
      <c r="D1107">
        <v>2</v>
      </c>
      <c r="E1107">
        <v>40</v>
      </c>
      <c r="F1107">
        <v>0.12</v>
      </c>
      <c r="G1107" t="s">
        <v>61</v>
      </c>
    </row>
    <row r="1108" spans="1:7">
      <c r="A1108">
        <v>43296</v>
      </c>
      <c r="B1108" t="s">
        <v>44</v>
      </c>
      <c r="C1108" t="s">
        <v>49</v>
      </c>
      <c r="D1108">
        <v>14</v>
      </c>
      <c r="E1108">
        <v>80</v>
      </c>
      <c r="F1108">
        <v>0.06</v>
      </c>
      <c r="G1108" t="s">
        <v>65</v>
      </c>
    </row>
    <row r="1109" spans="1:7">
      <c r="A1109">
        <v>43296</v>
      </c>
      <c r="B1109" t="s">
        <v>67</v>
      </c>
      <c r="C1109" t="s">
        <v>64</v>
      </c>
      <c r="D1109">
        <v>7</v>
      </c>
      <c r="E1109">
        <v>150</v>
      </c>
      <c r="F1109">
        <v>0.03</v>
      </c>
      <c r="G1109" t="s">
        <v>68</v>
      </c>
    </row>
    <row r="1110" spans="1:7">
      <c r="A1110">
        <v>43296</v>
      </c>
      <c r="B1110" t="s">
        <v>63</v>
      </c>
      <c r="C1110" t="s">
        <v>60</v>
      </c>
      <c r="D1110">
        <v>10</v>
      </c>
      <c r="E1110">
        <v>16</v>
      </c>
      <c r="F1110">
        <v>0.01</v>
      </c>
      <c r="G1110" t="s">
        <v>70</v>
      </c>
    </row>
    <row r="1111" spans="1:7">
      <c r="A1111">
        <v>43297</v>
      </c>
      <c r="B1111" t="s">
        <v>48</v>
      </c>
      <c r="C1111" t="s">
        <v>49</v>
      </c>
      <c r="D1111">
        <v>7</v>
      </c>
      <c r="E1111">
        <v>40</v>
      </c>
      <c r="F1111">
        <v>0.01</v>
      </c>
      <c r="G1111" t="s">
        <v>72</v>
      </c>
    </row>
    <row r="1112" spans="1:7">
      <c r="A1112">
        <v>43297</v>
      </c>
      <c r="B1112" t="s">
        <v>63</v>
      </c>
      <c r="C1112" t="s">
        <v>60</v>
      </c>
      <c r="D1112">
        <v>7</v>
      </c>
      <c r="E1112">
        <v>16</v>
      </c>
      <c r="F1112">
        <v>0.08</v>
      </c>
      <c r="G1112" t="s">
        <v>74</v>
      </c>
    </row>
    <row r="1113" spans="1:7">
      <c r="A1113">
        <v>43297</v>
      </c>
      <c r="B1113" t="s">
        <v>67</v>
      </c>
      <c r="C1113" t="s">
        <v>57</v>
      </c>
      <c r="D1113">
        <v>15</v>
      </c>
      <c r="E1113">
        <v>150</v>
      </c>
      <c r="F1113">
        <v>0.05</v>
      </c>
      <c r="G1113" t="s">
        <v>76</v>
      </c>
    </row>
    <row r="1114" spans="1:7">
      <c r="A1114">
        <v>43297</v>
      </c>
      <c r="B1114" t="s">
        <v>44</v>
      </c>
      <c r="C1114" t="s">
        <v>45</v>
      </c>
      <c r="D1114">
        <v>7</v>
      </c>
      <c r="E1114">
        <v>80</v>
      </c>
      <c r="F1114">
        <v>0.02</v>
      </c>
      <c r="G1114" t="s">
        <v>46</v>
      </c>
    </row>
    <row r="1115" spans="1:7">
      <c r="A1115">
        <v>43297</v>
      </c>
      <c r="B1115" t="s">
        <v>48</v>
      </c>
      <c r="C1115" t="s">
        <v>57</v>
      </c>
      <c r="D1115">
        <v>6</v>
      </c>
      <c r="E1115">
        <v>40</v>
      </c>
      <c r="F1115">
        <v>0.06</v>
      </c>
      <c r="G1115" t="s">
        <v>50</v>
      </c>
    </row>
    <row r="1116" spans="1:7">
      <c r="A1116">
        <v>43297</v>
      </c>
      <c r="B1116" t="s">
        <v>52</v>
      </c>
      <c r="C1116" t="s">
        <v>45</v>
      </c>
      <c r="D1116">
        <v>3</v>
      </c>
      <c r="E1116">
        <v>230</v>
      </c>
      <c r="F1116">
        <v>0.06</v>
      </c>
      <c r="G1116" t="s">
        <v>53</v>
      </c>
    </row>
    <row r="1117" spans="1:7">
      <c r="A1117">
        <v>43297</v>
      </c>
      <c r="B1117" t="s">
        <v>67</v>
      </c>
      <c r="C1117" t="s">
        <v>57</v>
      </c>
      <c r="D1117">
        <v>20</v>
      </c>
      <c r="E1117">
        <v>150</v>
      </c>
      <c r="F1117">
        <v>0.04</v>
      </c>
      <c r="G1117" t="s">
        <v>55</v>
      </c>
    </row>
    <row r="1118" spans="1:7">
      <c r="A1118">
        <v>43297</v>
      </c>
      <c r="B1118" t="s">
        <v>52</v>
      </c>
      <c r="C1118" t="s">
        <v>57</v>
      </c>
      <c r="D1118">
        <v>20</v>
      </c>
      <c r="E1118">
        <v>230</v>
      </c>
      <c r="F1118">
        <v>0.06</v>
      </c>
      <c r="G1118" t="s">
        <v>58</v>
      </c>
    </row>
    <row r="1119" spans="1:7">
      <c r="A1119">
        <v>43297</v>
      </c>
      <c r="B1119" t="s">
        <v>63</v>
      </c>
      <c r="C1119" t="s">
        <v>57</v>
      </c>
      <c r="D1119">
        <v>14</v>
      </c>
      <c r="E1119">
        <v>16</v>
      </c>
      <c r="F1119">
        <v>0.01</v>
      </c>
      <c r="G1119" t="s">
        <v>61</v>
      </c>
    </row>
    <row r="1120" spans="1:7">
      <c r="A1120">
        <v>43297</v>
      </c>
      <c r="B1120" t="s">
        <v>67</v>
      </c>
      <c r="C1120" t="s">
        <v>57</v>
      </c>
      <c r="D1120">
        <v>20</v>
      </c>
      <c r="E1120">
        <v>150</v>
      </c>
      <c r="F1120">
        <v>0.04</v>
      </c>
      <c r="G1120" t="s">
        <v>50</v>
      </c>
    </row>
    <row r="1121" spans="1:7">
      <c r="A1121">
        <v>43297</v>
      </c>
      <c r="B1121" t="s">
        <v>44</v>
      </c>
      <c r="C1121" t="s">
        <v>45</v>
      </c>
      <c r="D1121">
        <v>17</v>
      </c>
      <c r="E1121">
        <v>80</v>
      </c>
      <c r="F1121">
        <v>0.09</v>
      </c>
      <c r="G1121" t="s">
        <v>53</v>
      </c>
    </row>
    <row r="1122" spans="1:7">
      <c r="A1122">
        <v>43298</v>
      </c>
      <c r="B1122" t="s">
        <v>67</v>
      </c>
      <c r="C1122" t="s">
        <v>57</v>
      </c>
      <c r="D1122">
        <v>20</v>
      </c>
      <c r="E1122">
        <v>150</v>
      </c>
      <c r="F1122">
        <v>0.12</v>
      </c>
      <c r="G1122" t="s">
        <v>55</v>
      </c>
    </row>
    <row r="1123" spans="1:7">
      <c r="A1123">
        <v>43298</v>
      </c>
      <c r="B1123" t="s">
        <v>63</v>
      </c>
      <c r="C1123" t="s">
        <v>57</v>
      </c>
      <c r="D1123">
        <v>11</v>
      </c>
      <c r="E1123">
        <v>16</v>
      </c>
      <c r="F1123">
        <v>0.04</v>
      </c>
      <c r="G1123" t="s">
        <v>58</v>
      </c>
    </row>
    <row r="1124" spans="1:7">
      <c r="A1124">
        <v>43298</v>
      </c>
      <c r="B1124" t="s">
        <v>52</v>
      </c>
      <c r="C1124" t="s">
        <v>64</v>
      </c>
      <c r="D1124">
        <v>7</v>
      </c>
      <c r="E1124">
        <v>230</v>
      </c>
      <c r="F1124">
        <v>0.05</v>
      </c>
      <c r="G1124" t="s">
        <v>61</v>
      </c>
    </row>
    <row r="1125" spans="1:7">
      <c r="A1125">
        <v>43298</v>
      </c>
      <c r="B1125" t="s">
        <v>48</v>
      </c>
      <c r="C1125" t="s">
        <v>49</v>
      </c>
      <c r="D1125">
        <v>14</v>
      </c>
      <c r="E1125">
        <v>40</v>
      </c>
      <c r="F1125">
        <v>0.06</v>
      </c>
      <c r="G1125" t="s">
        <v>65</v>
      </c>
    </row>
    <row r="1126" spans="1:7">
      <c r="A1126">
        <v>43298</v>
      </c>
      <c r="B1126" t="s">
        <v>44</v>
      </c>
      <c r="C1126" t="s">
        <v>49</v>
      </c>
      <c r="D1126">
        <v>13</v>
      </c>
      <c r="E1126">
        <v>80</v>
      </c>
      <c r="F1126">
        <v>0.06</v>
      </c>
      <c r="G1126" t="s">
        <v>68</v>
      </c>
    </row>
    <row r="1127" spans="1:7">
      <c r="A1127">
        <v>43298</v>
      </c>
      <c r="B1127" t="s">
        <v>63</v>
      </c>
      <c r="C1127" t="s">
        <v>57</v>
      </c>
      <c r="D1127">
        <v>17</v>
      </c>
      <c r="E1127">
        <v>16</v>
      </c>
      <c r="F1127">
        <v>0.05</v>
      </c>
      <c r="G1127" t="s">
        <v>70</v>
      </c>
    </row>
    <row r="1128" spans="1:7">
      <c r="A1128">
        <v>43298</v>
      </c>
      <c r="B1128" t="s">
        <v>52</v>
      </c>
      <c r="C1128" t="s">
        <v>57</v>
      </c>
      <c r="D1128">
        <v>12</v>
      </c>
      <c r="E1128">
        <v>230</v>
      </c>
      <c r="F1128">
        <v>0.03</v>
      </c>
      <c r="G1128" t="s">
        <v>72</v>
      </c>
    </row>
    <row r="1129" spans="1:7">
      <c r="A1129">
        <v>43298</v>
      </c>
      <c r="B1129" t="s">
        <v>48</v>
      </c>
      <c r="C1129" t="s">
        <v>49</v>
      </c>
      <c r="D1129">
        <v>4</v>
      </c>
      <c r="E1129">
        <v>40</v>
      </c>
      <c r="F1129">
        <v>0.12</v>
      </c>
      <c r="G1129" t="s">
        <v>74</v>
      </c>
    </row>
    <row r="1130" spans="1:7">
      <c r="A1130">
        <v>43298</v>
      </c>
      <c r="B1130" t="s">
        <v>63</v>
      </c>
      <c r="C1130" t="s">
        <v>45</v>
      </c>
      <c r="D1130">
        <v>20</v>
      </c>
      <c r="E1130">
        <v>16</v>
      </c>
      <c r="F1130">
        <v>0.01</v>
      </c>
      <c r="G1130" t="s">
        <v>76</v>
      </c>
    </row>
    <row r="1131" spans="1:7">
      <c r="A1131">
        <v>43298</v>
      </c>
      <c r="B1131" t="s">
        <v>44</v>
      </c>
      <c r="C1131" t="s">
        <v>60</v>
      </c>
      <c r="D1131">
        <v>8</v>
      </c>
      <c r="E1131">
        <v>80</v>
      </c>
      <c r="F1131">
        <v>0.06</v>
      </c>
      <c r="G1131" t="s">
        <v>46</v>
      </c>
    </row>
    <row r="1132" spans="1:7">
      <c r="A1132">
        <v>43298</v>
      </c>
      <c r="B1132" t="s">
        <v>44</v>
      </c>
      <c r="C1132" t="s">
        <v>45</v>
      </c>
      <c r="D1132">
        <v>18</v>
      </c>
      <c r="E1132">
        <v>80</v>
      </c>
      <c r="F1132">
        <v>0.02</v>
      </c>
      <c r="G1132" t="s">
        <v>50</v>
      </c>
    </row>
    <row r="1133" spans="1:7">
      <c r="A1133">
        <v>43298</v>
      </c>
      <c r="B1133" t="s">
        <v>63</v>
      </c>
      <c r="C1133" t="s">
        <v>57</v>
      </c>
      <c r="D1133">
        <v>6</v>
      </c>
      <c r="E1133">
        <v>16</v>
      </c>
      <c r="F1133">
        <v>0.06</v>
      </c>
      <c r="G1133" t="s">
        <v>53</v>
      </c>
    </row>
    <row r="1134" spans="1:7">
      <c r="A1134">
        <v>43298</v>
      </c>
      <c r="B1134" t="s">
        <v>44</v>
      </c>
      <c r="C1134" t="s">
        <v>45</v>
      </c>
      <c r="D1134">
        <v>9</v>
      </c>
      <c r="E1134">
        <v>80</v>
      </c>
      <c r="F1134">
        <v>0.04</v>
      </c>
      <c r="G1134" t="s">
        <v>55</v>
      </c>
    </row>
    <row r="1135" spans="1:7">
      <c r="A1135">
        <v>43299</v>
      </c>
      <c r="B1135" t="s">
        <v>44</v>
      </c>
      <c r="C1135" t="s">
        <v>57</v>
      </c>
      <c r="D1135">
        <v>8</v>
      </c>
      <c r="E1135">
        <v>80</v>
      </c>
      <c r="F1135">
        <v>0.02</v>
      </c>
      <c r="G1135" t="s">
        <v>58</v>
      </c>
    </row>
    <row r="1136" spans="1:7">
      <c r="A1136">
        <v>43299</v>
      </c>
      <c r="B1136" t="s">
        <v>67</v>
      </c>
      <c r="C1136" t="s">
        <v>60</v>
      </c>
      <c r="D1136">
        <v>6</v>
      </c>
      <c r="E1136">
        <v>150</v>
      </c>
      <c r="F1136">
        <v>0.03</v>
      </c>
      <c r="G1136" t="s">
        <v>61</v>
      </c>
    </row>
    <row r="1137" spans="1:7">
      <c r="A1137">
        <v>43299</v>
      </c>
      <c r="B1137" t="s">
        <v>63</v>
      </c>
      <c r="C1137" t="s">
        <v>60</v>
      </c>
      <c r="D1137">
        <v>14</v>
      </c>
      <c r="E1137">
        <v>16</v>
      </c>
      <c r="F1137">
        <v>0.12</v>
      </c>
      <c r="G1137" t="s">
        <v>50</v>
      </c>
    </row>
    <row r="1138" spans="1:7">
      <c r="A1138">
        <v>43299</v>
      </c>
      <c r="B1138" t="s">
        <v>44</v>
      </c>
      <c r="C1138" t="s">
        <v>57</v>
      </c>
      <c r="D1138">
        <v>6</v>
      </c>
      <c r="E1138">
        <v>80</v>
      </c>
      <c r="F1138">
        <v>0.09</v>
      </c>
      <c r="G1138" t="s">
        <v>53</v>
      </c>
    </row>
    <row r="1139" spans="1:7">
      <c r="A1139">
        <v>43299</v>
      </c>
      <c r="B1139" t="s">
        <v>48</v>
      </c>
      <c r="C1139" t="s">
        <v>64</v>
      </c>
      <c r="D1139">
        <v>23</v>
      </c>
      <c r="E1139">
        <v>40</v>
      </c>
      <c r="F1139">
        <v>0.04</v>
      </c>
      <c r="G1139" t="s">
        <v>55</v>
      </c>
    </row>
    <row r="1140" spans="1:7">
      <c r="A1140">
        <v>43299</v>
      </c>
      <c r="B1140" t="s">
        <v>48</v>
      </c>
      <c r="C1140" t="s">
        <v>57</v>
      </c>
      <c r="D1140">
        <v>12</v>
      </c>
      <c r="E1140">
        <v>40</v>
      </c>
      <c r="F1140">
        <v>0.02</v>
      </c>
      <c r="G1140" t="s">
        <v>58</v>
      </c>
    </row>
    <row r="1141" spans="1:7">
      <c r="A1141">
        <v>43299</v>
      </c>
      <c r="B1141" t="s">
        <v>48</v>
      </c>
      <c r="C1141" t="s">
        <v>60</v>
      </c>
      <c r="D1141">
        <v>22</v>
      </c>
      <c r="E1141">
        <v>40</v>
      </c>
      <c r="F1141">
        <v>0.01</v>
      </c>
      <c r="G1141" t="s">
        <v>61</v>
      </c>
    </row>
    <row r="1142" spans="1:7">
      <c r="A1142">
        <v>43299</v>
      </c>
      <c r="B1142" t="s">
        <v>67</v>
      </c>
      <c r="C1142" t="s">
        <v>60</v>
      </c>
      <c r="D1142">
        <v>6</v>
      </c>
      <c r="E1142">
        <v>150</v>
      </c>
      <c r="F1142">
        <v>0.03</v>
      </c>
      <c r="G1142" t="s">
        <v>65</v>
      </c>
    </row>
    <row r="1143" spans="1:7">
      <c r="A1143">
        <v>43299</v>
      </c>
      <c r="B1143" t="s">
        <v>63</v>
      </c>
      <c r="C1143" t="s">
        <v>64</v>
      </c>
      <c r="D1143">
        <v>19</v>
      </c>
      <c r="E1143">
        <v>16</v>
      </c>
      <c r="F1143">
        <v>0.02</v>
      </c>
      <c r="G1143" t="s">
        <v>68</v>
      </c>
    </row>
    <row r="1144" spans="1:7">
      <c r="A1144">
        <v>43299</v>
      </c>
      <c r="B1144" t="s">
        <v>48</v>
      </c>
      <c r="C1144" t="s">
        <v>57</v>
      </c>
      <c r="D1144">
        <v>2</v>
      </c>
      <c r="E1144">
        <v>40</v>
      </c>
      <c r="F1144">
        <v>0.02</v>
      </c>
      <c r="G1144" t="s">
        <v>70</v>
      </c>
    </row>
    <row r="1145" spans="1:7">
      <c r="A1145">
        <v>43300</v>
      </c>
      <c r="B1145" t="s">
        <v>48</v>
      </c>
      <c r="C1145" t="s">
        <v>60</v>
      </c>
      <c r="D1145">
        <v>22</v>
      </c>
      <c r="E1145">
        <v>40</v>
      </c>
      <c r="F1145">
        <v>0.01</v>
      </c>
      <c r="G1145" t="s">
        <v>72</v>
      </c>
    </row>
    <row r="1146" spans="1:7">
      <c r="A1146">
        <v>43300</v>
      </c>
      <c r="B1146" t="s">
        <v>52</v>
      </c>
      <c r="C1146" t="s">
        <v>60</v>
      </c>
      <c r="D1146">
        <v>3</v>
      </c>
      <c r="E1146">
        <v>230</v>
      </c>
      <c r="F1146">
        <v>0.01</v>
      </c>
      <c r="G1146" t="s">
        <v>74</v>
      </c>
    </row>
    <row r="1147" spans="1:7">
      <c r="A1147">
        <v>43300</v>
      </c>
      <c r="B1147" t="s">
        <v>48</v>
      </c>
      <c r="C1147" t="s">
        <v>60</v>
      </c>
      <c r="D1147">
        <v>23</v>
      </c>
      <c r="E1147">
        <v>40</v>
      </c>
      <c r="F1147">
        <v>0.06</v>
      </c>
      <c r="G1147" t="s">
        <v>76</v>
      </c>
    </row>
    <row r="1148" spans="1:7">
      <c r="A1148">
        <v>43300</v>
      </c>
      <c r="B1148" t="s">
        <v>48</v>
      </c>
      <c r="C1148" t="s">
        <v>64</v>
      </c>
      <c r="D1148">
        <v>5</v>
      </c>
      <c r="E1148">
        <v>40</v>
      </c>
      <c r="F1148">
        <v>0.03</v>
      </c>
      <c r="G1148" t="s">
        <v>46</v>
      </c>
    </row>
    <row r="1149" spans="1:7">
      <c r="A1149">
        <v>43300</v>
      </c>
      <c r="B1149" t="s">
        <v>44</v>
      </c>
      <c r="C1149" t="s">
        <v>45</v>
      </c>
      <c r="D1149">
        <v>8</v>
      </c>
      <c r="E1149">
        <v>80</v>
      </c>
      <c r="F1149">
        <v>0.08</v>
      </c>
      <c r="G1149" t="s">
        <v>50</v>
      </c>
    </row>
    <row r="1150" spans="1:7">
      <c r="A1150">
        <v>43300</v>
      </c>
      <c r="B1150" t="s">
        <v>48</v>
      </c>
      <c r="C1150" t="s">
        <v>57</v>
      </c>
      <c r="D1150">
        <v>18</v>
      </c>
      <c r="E1150">
        <v>40</v>
      </c>
      <c r="F1150">
        <v>0.03</v>
      </c>
      <c r="G1150" t="s">
        <v>53</v>
      </c>
    </row>
    <row r="1151" spans="1:7">
      <c r="A1151">
        <v>43300</v>
      </c>
      <c r="B1151" t="s">
        <v>48</v>
      </c>
      <c r="C1151" t="s">
        <v>64</v>
      </c>
      <c r="D1151">
        <v>20</v>
      </c>
      <c r="E1151">
        <v>40</v>
      </c>
      <c r="F1151">
        <v>0.1</v>
      </c>
      <c r="G1151" t="s">
        <v>55</v>
      </c>
    </row>
    <row r="1152" spans="1:7">
      <c r="A1152">
        <v>43300</v>
      </c>
      <c r="B1152" t="s">
        <v>48</v>
      </c>
      <c r="C1152" t="s">
        <v>57</v>
      </c>
      <c r="D1152">
        <v>2</v>
      </c>
      <c r="E1152">
        <v>40</v>
      </c>
      <c r="F1152">
        <v>0.03</v>
      </c>
      <c r="G1152" t="s">
        <v>58</v>
      </c>
    </row>
    <row r="1153" spans="1:7">
      <c r="A1153">
        <v>43300</v>
      </c>
      <c r="B1153" t="s">
        <v>52</v>
      </c>
      <c r="C1153" t="s">
        <v>45</v>
      </c>
      <c r="D1153">
        <v>15</v>
      </c>
      <c r="E1153">
        <v>230</v>
      </c>
      <c r="F1153">
        <v>0.05</v>
      </c>
      <c r="G1153" t="s">
        <v>61</v>
      </c>
    </row>
    <row r="1154" spans="1:7">
      <c r="A1154">
        <v>43300</v>
      </c>
      <c r="B1154" t="s">
        <v>67</v>
      </c>
      <c r="C1154" t="s">
        <v>60</v>
      </c>
      <c r="D1154">
        <v>15</v>
      </c>
      <c r="E1154">
        <v>150</v>
      </c>
      <c r="F1154">
        <v>0.08</v>
      </c>
      <c r="G1154" t="s">
        <v>50</v>
      </c>
    </row>
    <row r="1155" spans="1:7">
      <c r="A1155">
        <v>43300</v>
      </c>
      <c r="B1155" t="s">
        <v>67</v>
      </c>
      <c r="C1155" t="s">
        <v>60</v>
      </c>
      <c r="D1155">
        <v>22</v>
      </c>
      <c r="E1155">
        <v>150</v>
      </c>
      <c r="F1155">
        <v>0.05</v>
      </c>
      <c r="G1155" t="s">
        <v>53</v>
      </c>
    </row>
    <row r="1156" spans="1:7">
      <c r="A1156">
        <v>43300</v>
      </c>
      <c r="B1156" t="s">
        <v>52</v>
      </c>
      <c r="C1156" t="s">
        <v>49</v>
      </c>
      <c r="D1156">
        <v>19</v>
      </c>
      <c r="E1156">
        <v>230</v>
      </c>
      <c r="F1156">
        <v>0.11</v>
      </c>
      <c r="G1156" t="s">
        <v>55</v>
      </c>
    </row>
    <row r="1157" spans="1:7">
      <c r="A1157">
        <v>43300</v>
      </c>
      <c r="B1157" t="s">
        <v>44</v>
      </c>
      <c r="C1157" t="s">
        <v>49</v>
      </c>
      <c r="D1157">
        <v>10</v>
      </c>
      <c r="E1157">
        <v>80</v>
      </c>
      <c r="F1157">
        <v>0.11</v>
      </c>
      <c r="G1157" t="s">
        <v>58</v>
      </c>
    </row>
    <row r="1158" spans="1:7">
      <c r="A1158">
        <v>43300</v>
      </c>
      <c r="B1158" t="s">
        <v>48</v>
      </c>
      <c r="C1158" t="s">
        <v>60</v>
      </c>
      <c r="D1158">
        <v>18</v>
      </c>
      <c r="E1158">
        <v>40</v>
      </c>
      <c r="F1158">
        <v>0.06</v>
      </c>
      <c r="G1158" t="s">
        <v>61</v>
      </c>
    </row>
    <row r="1159" spans="1:7">
      <c r="A1159">
        <v>43300</v>
      </c>
      <c r="B1159" t="s">
        <v>44</v>
      </c>
      <c r="C1159" t="s">
        <v>60</v>
      </c>
      <c r="D1159">
        <v>16</v>
      </c>
      <c r="E1159">
        <v>80</v>
      </c>
      <c r="F1159">
        <v>0.05</v>
      </c>
      <c r="G1159" t="s">
        <v>65</v>
      </c>
    </row>
    <row r="1160" spans="1:7">
      <c r="A1160">
        <v>43300</v>
      </c>
      <c r="B1160" t="s">
        <v>67</v>
      </c>
      <c r="C1160" t="s">
        <v>64</v>
      </c>
      <c r="D1160">
        <v>17</v>
      </c>
      <c r="E1160">
        <v>150</v>
      </c>
      <c r="F1160">
        <v>0.02</v>
      </c>
      <c r="G1160" t="s">
        <v>68</v>
      </c>
    </row>
    <row r="1161" spans="1:7">
      <c r="A1161">
        <v>43301</v>
      </c>
      <c r="B1161" t="s">
        <v>52</v>
      </c>
      <c r="C1161" t="s">
        <v>45</v>
      </c>
      <c r="D1161">
        <v>8</v>
      </c>
      <c r="E1161">
        <v>230</v>
      </c>
      <c r="F1161">
        <v>0.03</v>
      </c>
      <c r="G1161" t="s">
        <v>70</v>
      </c>
    </row>
    <row r="1162" spans="1:7">
      <c r="A1162">
        <v>43301</v>
      </c>
      <c r="B1162" t="s">
        <v>44</v>
      </c>
      <c r="C1162" t="s">
        <v>60</v>
      </c>
      <c r="D1162">
        <v>11</v>
      </c>
      <c r="E1162">
        <v>80</v>
      </c>
      <c r="F1162">
        <v>0.01</v>
      </c>
      <c r="G1162" t="s">
        <v>72</v>
      </c>
    </row>
    <row r="1163" spans="1:7">
      <c r="A1163">
        <v>43301</v>
      </c>
      <c r="B1163" t="s">
        <v>48</v>
      </c>
      <c r="C1163" t="s">
        <v>45</v>
      </c>
      <c r="D1163">
        <v>5</v>
      </c>
      <c r="E1163">
        <v>40</v>
      </c>
      <c r="F1163">
        <v>0.06</v>
      </c>
      <c r="G1163" t="s">
        <v>74</v>
      </c>
    </row>
    <row r="1164" spans="1:7">
      <c r="A1164">
        <v>43301</v>
      </c>
      <c r="B1164" t="s">
        <v>48</v>
      </c>
      <c r="C1164" t="s">
        <v>64</v>
      </c>
      <c r="D1164">
        <v>11</v>
      </c>
      <c r="E1164">
        <v>40</v>
      </c>
      <c r="F1164">
        <v>0.05</v>
      </c>
      <c r="G1164" t="s">
        <v>76</v>
      </c>
    </row>
    <row r="1165" spans="1:7">
      <c r="A1165">
        <v>43301</v>
      </c>
      <c r="B1165" t="s">
        <v>67</v>
      </c>
      <c r="C1165" t="s">
        <v>60</v>
      </c>
      <c r="D1165">
        <v>20</v>
      </c>
      <c r="E1165">
        <v>150</v>
      </c>
      <c r="F1165">
        <v>0.1</v>
      </c>
      <c r="G1165" t="s">
        <v>46</v>
      </c>
    </row>
    <row r="1166" spans="1:7">
      <c r="A1166">
        <v>43301</v>
      </c>
      <c r="B1166" t="s">
        <v>67</v>
      </c>
      <c r="C1166" t="s">
        <v>57</v>
      </c>
      <c r="D1166">
        <v>11</v>
      </c>
      <c r="E1166">
        <v>150</v>
      </c>
      <c r="F1166">
        <v>0.11</v>
      </c>
      <c r="G1166" t="s">
        <v>50</v>
      </c>
    </row>
    <row r="1167" spans="1:7">
      <c r="A1167">
        <v>43301</v>
      </c>
      <c r="B1167" t="s">
        <v>44</v>
      </c>
      <c r="C1167" t="s">
        <v>60</v>
      </c>
      <c r="D1167">
        <v>2</v>
      </c>
      <c r="E1167">
        <v>80</v>
      </c>
      <c r="F1167">
        <v>0.08</v>
      </c>
      <c r="G1167" t="s">
        <v>53</v>
      </c>
    </row>
    <row r="1168" spans="1:7">
      <c r="A1168">
        <v>43301</v>
      </c>
      <c r="B1168" t="s">
        <v>67</v>
      </c>
      <c r="C1168" t="s">
        <v>49</v>
      </c>
      <c r="D1168">
        <v>16</v>
      </c>
      <c r="E1168">
        <v>150</v>
      </c>
      <c r="F1168">
        <v>0.08</v>
      </c>
      <c r="G1168" t="s">
        <v>55</v>
      </c>
    </row>
    <row r="1169" spans="1:7">
      <c r="A1169">
        <v>43301</v>
      </c>
      <c r="B1169" t="s">
        <v>63</v>
      </c>
      <c r="C1169" t="s">
        <v>45</v>
      </c>
      <c r="D1169">
        <v>20</v>
      </c>
      <c r="E1169">
        <v>16</v>
      </c>
      <c r="F1169">
        <v>0.11</v>
      </c>
      <c r="G1169" t="s">
        <v>58</v>
      </c>
    </row>
    <row r="1170" spans="1:7">
      <c r="A1170">
        <v>43301</v>
      </c>
      <c r="B1170" t="s">
        <v>52</v>
      </c>
      <c r="C1170" t="s">
        <v>57</v>
      </c>
      <c r="D1170">
        <v>2</v>
      </c>
      <c r="E1170">
        <v>230</v>
      </c>
      <c r="F1170">
        <v>0.09</v>
      </c>
      <c r="G1170" t="s">
        <v>61</v>
      </c>
    </row>
    <row r="1171" spans="1:7">
      <c r="A1171">
        <v>43301</v>
      </c>
      <c r="B1171" t="s">
        <v>67</v>
      </c>
      <c r="C1171" t="s">
        <v>45</v>
      </c>
      <c r="D1171">
        <v>20</v>
      </c>
      <c r="E1171">
        <v>150</v>
      </c>
      <c r="F1171">
        <v>0.04</v>
      </c>
      <c r="G1171" t="s">
        <v>50</v>
      </c>
    </row>
    <row r="1172" spans="1:7">
      <c r="A1172">
        <v>43301</v>
      </c>
      <c r="B1172" t="s">
        <v>67</v>
      </c>
      <c r="C1172" t="s">
        <v>45</v>
      </c>
      <c r="D1172">
        <v>22</v>
      </c>
      <c r="E1172">
        <v>150</v>
      </c>
      <c r="F1172">
        <v>0.07</v>
      </c>
      <c r="G1172" t="s">
        <v>53</v>
      </c>
    </row>
    <row r="1173" spans="1:7">
      <c r="A1173">
        <v>43301</v>
      </c>
      <c r="B1173" t="s">
        <v>67</v>
      </c>
      <c r="C1173" t="s">
        <v>57</v>
      </c>
      <c r="D1173">
        <v>22</v>
      </c>
      <c r="E1173">
        <v>150</v>
      </c>
      <c r="F1173">
        <v>0.04</v>
      </c>
      <c r="G1173" t="s">
        <v>55</v>
      </c>
    </row>
    <row r="1174" spans="1:7">
      <c r="A1174">
        <v>43301</v>
      </c>
      <c r="B1174" t="s">
        <v>48</v>
      </c>
      <c r="C1174" t="s">
        <v>45</v>
      </c>
      <c r="D1174">
        <v>23</v>
      </c>
      <c r="E1174">
        <v>40</v>
      </c>
      <c r="F1174">
        <v>0.07</v>
      </c>
      <c r="G1174" t="s">
        <v>58</v>
      </c>
    </row>
    <row r="1175" spans="1:7">
      <c r="A1175">
        <v>43302</v>
      </c>
      <c r="B1175" t="s">
        <v>63</v>
      </c>
      <c r="C1175" t="s">
        <v>57</v>
      </c>
      <c r="D1175">
        <v>11</v>
      </c>
      <c r="E1175">
        <v>16</v>
      </c>
      <c r="F1175">
        <v>0.04</v>
      </c>
      <c r="G1175" t="s">
        <v>61</v>
      </c>
    </row>
    <row r="1176" spans="1:7">
      <c r="A1176">
        <v>43302</v>
      </c>
      <c r="B1176" t="s">
        <v>52</v>
      </c>
      <c r="C1176" t="s">
        <v>49</v>
      </c>
      <c r="D1176">
        <v>11</v>
      </c>
      <c r="E1176">
        <v>230</v>
      </c>
      <c r="F1176">
        <v>0.1</v>
      </c>
      <c r="G1176" t="s">
        <v>65</v>
      </c>
    </row>
    <row r="1177" spans="1:7">
      <c r="A1177">
        <v>43302</v>
      </c>
      <c r="B1177" t="s">
        <v>52</v>
      </c>
      <c r="C1177" t="s">
        <v>45</v>
      </c>
      <c r="D1177">
        <v>7</v>
      </c>
      <c r="E1177">
        <v>230</v>
      </c>
      <c r="F1177">
        <v>0.08</v>
      </c>
      <c r="G1177" t="s">
        <v>68</v>
      </c>
    </row>
    <row r="1178" spans="1:7">
      <c r="A1178">
        <v>43302</v>
      </c>
      <c r="B1178" t="s">
        <v>67</v>
      </c>
      <c r="C1178" t="s">
        <v>49</v>
      </c>
      <c r="D1178">
        <v>13</v>
      </c>
      <c r="E1178">
        <v>150</v>
      </c>
      <c r="F1178">
        <v>0.08</v>
      </c>
      <c r="G1178" t="s">
        <v>70</v>
      </c>
    </row>
    <row r="1179" spans="1:7">
      <c r="A1179">
        <v>43302</v>
      </c>
      <c r="B1179" t="s">
        <v>52</v>
      </c>
      <c r="C1179" t="s">
        <v>60</v>
      </c>
      <c r="D1179">
        <v>16</v>
      </c>
      <c r="E1179">
        <v>230</v>
      </c>
      <c r="F1179">
        <v>0.11</v>
      </c>
      <c r="G1179" t="s">
        <v>72</v>
      </c>
    </row>
    <row r="1180" spans="1:7">
      <c r="A1180">
        <v>43302</v>
      </c>
      <c r="B1180" t="s">
        <v>52</v>
      </c>
      <c r="C1180" t="s">
        <v>64</v>
      </c>
      <c r="D1180">
        <v>20</v>
      </c>
      <c r="E1180">
        <v>230</v>
      </c>
      <c r="F1180">
        <v>0.09</v>
      </c>
      <c r="G1180" t="s">
        <v>74</v>
      </c>
    </row>
    <row r="1181" spans="1:7">
      <c r="A1181">
        <v>43302</v>
      </c>
      <c r="B1181" t="s">
        <v>48</v>
      </c>
      <c r="C1181" t="s">
        <v>57</v>
      </c>
      <c r="D1181">
        <v>20</v>
      </c>
      <c r="E1181">
        <v>40</v>
      </c>
      <c r="F1181">
        <v>0.01</v>
      </c>
      <c r="G1181" t="s">
        <v>76</v>
      </c>
    </row>
    <row r="1182" spans="1:7">
      <c r="A1182">
        <v>43302</v>
      </c>
      <c r="B1182" t="s">
        <v>44</v>
      </c>
      <c r="C1182" t="s">
        <v>45</v>
      </c>
      <c r="D1182">
        <v>20</v>
      </c>
      <c r="E1182">
        <v>80</v>
      </c>
      <c r="F1182">
        <v>0.01</v>
      </c>
      <c r="G1182" t="s">
        <v>46</v>
      </c>
    </row>
    <row r="1183" spans="1:7">
      <c r="A1183">
        <v>43302</v>
      </c>
      <c r="B1183" t="s">
        <v>67</v>
      </c>
      <c r="C1183" t="s">
        <v>45</v>
      </c>
      <c r="D1183">
        <v>5</v>
      </c>
      <c r="E1183">
        <v>150</v>
      </c>
      <c r="F1183">
        <v>0.11</v>
      </c>
      <c r="G1183" t="s">
        <v>50</v>
      </c>
    </row>
    <row r="1184" spans="1:7">
      <c r="A1184">
        <v>43303</v>
      </c>
      <c r="B1184" t="s">
        <v>48</v>
      </c>
      <c r="C1184" t="s">
        <v>57</v>
      </c>
      <c r="D1184">
        <v>4</v>
      </c>
      <c r="E1184">
        <v>40</v>
      </c>
      <c r="F1184">
        <v>0.11</v>
      </c>
      <c r="G1184" t="s">
        <v>53</v>
      </c>
    </row>
    <row r="1185" spans="1:7">
      <c r="A1185">
        <v>43303</v>
      </c>
      <c r="B1185" t="s">
        <v>63</v>
      </c>
      <c r="C1185" t="s">
        <v>45</v>
      </c>
      <c r="D1185">
        <v>7</v>
      </c>
      <c r="E1185">
        <v>16</v>
      </c>
      <c r="F1185">
        <v>0.12</v>
      </c>
      <c r="G1185" t="s">
        <v>55</v>
      </c>
    </row>
    <row r="1186" spans="1:7">
      <c r="A1186">
        <v>43303</v>
      </c>
      <c r="B1186" t="s">
        <v>63</v>
      </c>
      <c r="C1186" t="s">
        <v>49</v>
      </c>
      <c r="D1186">
        <v>22</v>
      </c>
      <c r="E1186">
        <v>16</v>
      </c>
      <c r="F1186">
        <v>0.01</v>
      </c>
      <c r="G1186" t="s">
        <v>58</v>
      </c>
    </row>
    <row r="1187" spans="1:7">
      <c r="A1187">
        <v>43303</v>
      </c>
      <c r="B1187" t="s">
        <v>48</v>
      </c>
      <c r="C1187" t="s">
        <v>60</v>
      </c>
      <c r="D1187">
        <v>15</v>
      </c>
      <c r="E1187">
        <v>40</v>
      </c>
      <c r="F1187">
        <v>0.03</v>
      </c>
      <c r="G1187" t="s">
        <v>61</v>
      </c>
    </row>
    <row r="1188" spans="1:7">
      <c r="A1188">
        <v>43303</v>
      </c>
      <c r="B1188" t="s">
        <v>44</v>
      </c>
      <c r="C1188" t="s">
        <v>49</v>
      </c>
      <c r="D1188">
        <v>14</v>
      </c>
      <c r="E1188">
        <v>80</v>
      </c>
      <c r="F1188">
        <v>0.11</v>
      </c>
      <c r="G1188" t="s">
        <v>50</v>
      </c>
    </row>
    <row r="1189" spans="1:7">
      <c r="A1189">
        <v>43303</v>
      </c>
      <c r="B1189" t="s">
        <v>63</v>
      </c>
      <c r="C1189" t="s">
        <v>49</v>
      </c>
      <c r="D1189">
        <v>15</v>
      </c>
      <c r="E1189">
        <v>16</v>
      </c>
      <c r="F1189">
        <v>0.02</v>
      </c>
      <c r="G1189" t="s">
        <v>53</v>
      </c>
    </row>
    <row r="1190" spans="1:7">
      <c r="A1190">
        <v>43304</v>
      </c>
      <c r="B1190" t="s">
        <v>44</v>
      </c>
      <c r="C1190" t="s">
        <v>60</v>
      </c>
      <c r="D1190">
        <v>19</v>
      </c>
      <c r="E1190">
        <v>80</v>
      </c>
      <c r="F1190">
        <v>0.02</v>
      </c>
      <c r="G1190" t="s">
        <v>55</v>
      </c>
    </row>
    <row r="1191" spans="1:7">
      <c r="A1191">
        <v>43304</v>
      </c>
      <c r="B1191" t="s">
        <v>48</v>
      </c>
      <c r="C1191" t="s">
        <v>64</v>
      </c>
      <c r="D1191">
        <v>20</v>
      </c>
      <c r="E1191">
        <v>40</v>
      </c>
      <c r="F1191">
        <v>0.05</v>
      </c>
      <c r="G1191" t="s">
        <v>58</v>
      </c>
    </row>
    <row r="1192" spans="1:7">
      <c r="A1192">
        <v>43304</v>
      </c>
      <c r="B1192" t="s">
        <v>48</v>
      </c>
      <c r="C1192" t="s">
        <v>60</v>
      </c>
      <c r="D1192">
        <v>11</v>
      </c>
      <c r="E1192">
        <v>40</v>
      </c>
      <c r="F1192">
        <v>0.06</v>
      </c>
      <c r="G1192" t="s">
        <v>61</v>
      </c>
    </row>
    <row r="1193" spans="1:7">
      <c r="A1193">
        <v>43304</v>
      </c>
      <c r="B1193" t="s">
        <v>67</v>
      </c>
      <c r="C1193" t="s">
        <v>57</v>
      </c>
      <c r="D1193">
        <v>11</v>
      </c>
      <c r="E1193">
        <v>150</v>
      </c>
      <c r="F1193">
        <v>0.05</v>
      </c>
      <c r="G1193" t="s">
        <v>65</v>
      </c>
    </row>
    <row r="1194" spans="1:7">
      <c r="A1194">
        <v>43304</v>
      </c>
      <c r="B1194" t="s">
        <v>44</v>
      </c>
      <c r="C1194" t="s">
        <v>60</v>
      </c>
      <c r="D1194">
        <v>23</v>
      </c>
      <c r="E1194">
        <v>80</v>
      </c>
      <c r="F1194">
        <v>0.11</v>
      </c>
      <c r="G1194" t="s">
        <v>68</v>
      </c>
    </row>
    <row r="1195" spans="1:7">
      <c r="A1195">
        <v>43304</v>
      </c>
      <c r="B1195" t="s">
        <v>44</v>
      </c>
      <c r="C1195" t="s">
        <v>45</v>
      </c>
      <c r="D1195">
        <v>8</v>
      </c>
      <c r="E1195">
        <v>80</v>
      </c>
      <c r="F1195">
        <v>0.09</v>
      </c>
      <c r="G1195" t="s">
        <v>70</v>
      </c>
    </row>
    <row r="1196" spans="1:7">
      <c r="A1196">
        <v>43304</v>
      </c>
      <c r="B1196" t="s">
        <v>48</v>
      </c>
      <c r="C1196" t="s">
        <v>60</v>
      </c>
      <c r="D1196">
        <v>9</v>
      </c>
      <c r="E1196">
        <v>40</v>
      </c>
      <c r="F1196">
        <v>0.06</v>
      </c>
      <c r="G1196" t="s">
        <v>72</v>
      </c>
    </row>
    <row r="1197" spans="1:7">
      <c r="A1197">
        <v>43304</v>
      </c>
      <c r="B1197" t="s">
        <v>52</v>
      </c>
      <c r="C1197" t="s">
        <v>64</v>
      </c>
      <c r="D1197">
        <v>13</v>
      </c>
      <c r="E1197">
        <v>230</v>
      </c>
      <c r="F1197">
        <v>0.06</v>
      </c>
      <c r="G1197" t="s">
        <v>74</v>
      </c>
    </row>
    <row r="1198" spans="1:7">
      <c r="A1198">
        <v>43304</v>
      </c>
      <c r="B1198" t="s">
        <v>48</v>
      </c>
      <c r="C1198" t="s">
        <v>60</v>
      </c>
      <c r="D1198">
        <v>22</v>
      </c>
      <c r="E1198">
        <v>40</v>
      </c>
      <c r="F1198">
        <v>0.01</v>
      </c>
      <c r="G1198" t="s">
        <v>76</v>
      </c>
    </row>
    <row r="1199" spans="1:7">
      <c r="A1199">
        <v>43304</v>
      </c>
      <c r="B1199" t="s">
        <v>63</v>
      </c>
      <c r="C1199" t="s">
        <v>64</v>
      </c>
      <c r="D1199">
        <v>14</v>
      </c>
      <c r="E1199">
        <v>16</v>
      </c>
      <c r="F1199">
        <v>0.06</v>
      </c>
      <c r="G1199" t="s">
        <v>46</v>
      </c>
    </row>
    <row r="1200" spans="1:7">
      <c r="A1200">
        <v>43305</v>
      </c>
      <c r="B1200" t="s">
        <v>44</v>
      </c>
      <c r="C1200" t="s">
        <v>49</v>
      </c>
      <c r="D1200">
        <v>5</v>
      </c>
      <c r="E1200">
        <v>80</v>
      </c>
      <c r="F1200">
        <v>0.04</v>
      </c>
      <c r="G1200" t="s">
        <v>50</v>
      </c>
    </row>
    <row r="1201" spans="1:7">
      <c r="A1201">
        <v>43305</v>
      </c>
      <c r="B1201" t="s">
        <v>67</v>
      </c>
      <c r="C1201" t="s">
        <v>64</v>
      </c>
      <c r="D1201">
        <v>18</v>
      </c>
      <c r="E1201">
        <v>150</v>
      </c>
      <c r="F1201">
        <v>0.12</v>
      </c>
      <c r="G1201" t="s">
        <v>53</v>
      </c>
    </row>
    <row r="1202" spans="1:7">
      <c r="A1202">
        <v>43305</v>
      </c>
      <c r="B1202" t="s">
        <v>52</v>
      </c>
      <c r="C1202" t="s">
        <v>57</v>
      </c>
      <c r="D1202">
        <v>14</v>
      </c>
      <c r="E1202">
        <v>230</v>
      </c>
      <c r="F1202">
        <v>0.12</v>
      </c>
      <c r="G1202" t="s">
        <v>55</v>
      </c>
    </row>
    <row r="1203" spans="1:7">
      <c r="A1203">
        <v>43305</v>
      </c>
      <c r="B1203" t="s">
        <v>52</v>
      </c>
      <c r="C1203" t="s">
        <v>64</v>
      </c>
      <c r="D1203">
        <v>20</v>
      </c>
      <c r="E1203">
        <v>230</v>
      </c>
      <c r="F1203">
        <v>0.11</v>
      </c>
      <c r="G1203" t="s">
        <v>58</v>
      </c>
    </row>
    <row r="1204" spans="1:7">
      <c r="A1204">
        <v>43305</v>
      </c>
      <c r="B1204" t="s">
        <v>63</v>
      </c>
      <c r="C1204" t="s">
        <v>64</v>
      </c>
      <c r="D1204">
        <v>3</v>
      </c>
      <c r="E1204">
        <v>16</v>
      </c>
      <c r="F1204">
        <v>0.03</v>
      </c>
      <c r="G1204" t="s">
        <v>61</v>
      </c>
    </row>
    <row r="1205" spans="1:7">
      <c r="A1205">
        <v>43305</v>
      </c>
      <c r="B1205" t="s">
        <v>52</v>
      </c>
      <c r="C1205" t="s">
        <v>57</v>
      </c>
      <c r="D1205">
        <v>20</v>
      </c>
      <c r="E1205">
        <v>230</v>
      </c>
      <c r="F1205">
        <v>0.06</v>
      </c>
      <c r="G1205" t="s">
        <v>50</v>
      </c>
    </row>
    <row r="1206" spans="1:7">
      <c r="A1206">
        <v>43305</v>
      </c>
      <c r="B1206" t="s">
        <v>44</v>
      </c>
      <c r="C1206" t="s">
        <v>64</v>
      </c>
      <c r="D1206">
        <v>9</v>
      </c>
      <c r="E1206">
        <v>80</v>
      </c>
      <c r="F1206">
        <v>0.02</v>
      </c>
      <c r="G1206" t="s">
        <v>53</v>
      </c>
    </row>
    <row r="1207" spans="1:7">
      <c r="A1207">
        <v>43305</v>
      </c>
      <c r="B1207" t="s">
        <v>63</v>
      </c>
      <c r="C1207" t="s">
        <v>60</v>
      </c>
      <c r="D1207">
        <v>22</v>
      </c>
      <c r="E1207">
        <v>16</v>
      </c>
      <c r="F1207">
        <v>0.03</v>
      </c>
      <c r="G1207" t="s">
        <v>55</v>
      </c>
    </row>
    <row r="1208" spans="1:7">
      <c r="A1208">
        <v>43305</v>
      </c>
      <c r="B1208" t="s">
        <v>44</v>
      </c>
      <c r="C1208" t="s">
        <v>49</v>
      </c>
      <c r="D1208">
        <v>15</v>
      </c>
      <c r="E1208">
        <v>80</v>
      </c>
      <c r="F1208">
        <v>0.12</v>
      </c>
      <c r="G1208" t="s">
        <v>58</v>
      </c>
    </row>
    <row r="1209" spans="1:7">
      <c r="A1209">
        <v>43305</v>
      </c>
      <c r="B1209" t="s">
        <v>67</v>
      </c>
      <c r="C1209" t="s">
        <v>45</v>
      </c>
      <c r="D1209">
        <v>11</v>
      </c>
      <c r="E1209">
        <v>150</v>
      </c>
      <c r="F1209">
        <v>0.05</v>
      </c>
      <c r="G1209" t="s">
        <v>61</v>
      </c>
    </row>
    <row r="1210" spans="1:7">
      <c r="A1210">
        <v>43305</v>
      </c>
      <c r="B1210" t="s">
        <v>52</v>
      </c>
      <c r="C1210" t="s">
        <v>60</v>
      </c>
      <c r="D1210">
        <v>11</v>
      </c>
      <c r="E1210">
        <v>230</v>
      </c>
      <c r="F1210">
        <v>0.12</v>
      </c>
      <c r="G1210" t="s">
        <v>65</v>
      </c>
    </row>
    <row r="1211" spans="1:7">
      <c r="A1211">
        <v>43305</v>
      </c>
      <c r="B1211" t="s">
        <v>67</v>
      </c>
      <c r="C1211" t="s">
        <v>45</v>
      </c>
      <c r="D1211">
        <v>20</v>
      </c>
      <c r="E1211">
        <v>150</v>
      </c>
      <c r="F1211">
        <v>0.01</v>
      </c>
      <c r="G1211" t="s">
        <v>68</v>
      </c>
    </row>
    <row r="1212" spans="1:7">
      <c r="A1212">
        <v>43305</v>
      </c>
      <c r="B1212" t="s">
        <v>48</v>
      </c>
      <c r="C1212" t="s">
        <v>57</v>
      </c>
      <c r="D1212">
        <v>11</v>
      </c>
      <c r="E1212">
        <v>40</v>
      </c>
      <c r="F1212">
        <v>0.12</v>
      </c>
      <c r="G1212" t="s">
        <v>70</v>
      </c>
    </row>
    <row r="1213" spans="1:7">
      <c r="A1213">
        <v>43306</v>
      </c>
      <c r="B1213" t="s">
        <v>52</v>
      </c>
      <c r="C1213" t="s">
        <v>57</v>
      </c>
      <c r="D1213">
        <v>12</v>
      </c>
      <c r="E1213">
        <v>230</v>
      </c>
      <c r="F1213">
        <v>0.06</v>
      </c>
      <c r="G1213" t="s">
        <v>72</v>
      </c>
    </row>
    <row r="1214" spans="1:7">
      <c r="A1214">
        <v>43306</v>
      </c>
      <c r="B1214" t="s">
        <v>48</v>
      </c>
      <c r="C1214" t="s">
        <v>45</v>
      </c>
      <c r="D1214">
        <v>15</v>
      </c>
      <c r="E1214">
        <v>40</v>
      </c>
      <c r="F1214">
        <v>0.06</v>
      </c>
      <c r="G1214" t="s">
        <v>74</v>
      </c>
    </row>
    <row r="1215" spans="1:7">
      <c r="A1215">
        <v>43306</v>
      </c>
      <c r="B1215" t="s">
        <v>48</v>
      </c>
      <c r="C1215" t="s">
        <v>60</v>
      </c>
      <c r="D1215">
        <v>13</v>
      </c>
      <c r="E1215">
        <v>40</v>
      </c>
      <c r="F1215">
        <v>0.09</v>
      </c>
      <c r="G1215" t="s">
        <v>76</v>
      </c>
    </row>
    <row r="1216" spans="1:7">
      <c r="A1216">
        <v>43306</v>
      </c>
      <c r="B1216" t="s">
        <v>48</v>
      </c>
      <c r="C1216" t="s">
        <v>64</v>
      </c>
      <c r="D1216">
        <v>4</v>
      </c>
      <c r="E1216">
        <v>40</v>
      </c>
      <c r="F1216">
        <v>0.09</v>
      </c>
      <c r="G1216" t="s">
        <v>46</v>
      </c>
    </row>
    <row r="1217" spans="1:7">
      <c r="A1217">
        <v>43306</v>
      </c>
      <c r="B1217" t="s">
        <v>52</v>
      </c>
      <c r="C1217" t="s">
        <v>60</v>
      </c>
      <c r="D1217">
        <v>18</v>
      </c>
      <c r="E1217">
        <v>230</v>
      </c>
      <c r="F1217">
        <v>0.01</v>
      </c>
      <c r="G1217" t="s">
        <v>50</v>
      </c>
    </row>
    <row r="1218" spans="1:7">
      <c r="A1218">
        <v>43306</v>
      </c>
      <c r="B1218" t="s">
        <v>63</v>
      </c>
      <c r="C1218" t="s">
        <v>45</v>
      </c>
      <c r="D1218">
        <v>7</v>
      </c>
      <c r="E1218">
        <v>16</v>
      </c>
      <c r="F1218">
        <v>0.02</v>
      </c>
      <c r="G1218" t="s">
        <v>53</v>
      </c>
    </row>
    <row r="1219" spans="1:7">
      <c r="A1219">
        <v>43306</v>
      </c>
      <c r="B1219" t="s">
        <v>63</v>
      </c>
      <c r="C1219" t="s">
        <v>57</v>
      </c>
      <c r="D1219">
        <v>6</v>
      </c>
      <c r="E1219">
        <v>16</v>
      </c>
      <c r="F1219">
        <v>0.07</v>
      </c>
      <c r="G1219" t="s">
        <v>55</v>
      </c>
    </row>
    <row r="1220" spans="1:7">
      <c r="A1220">
        <v>43306</v>
      </c>
      <c r="B1220" t="s">
        <v>52</v>
      </c>
      <c r="C1220" t="s">
        <v>60</v>
      </c>
      <c r="D1220">
        <v>8</v>
      </c>
      <c r="E1220">
        <v>230</v>
      </c>
      <c r="F1220">
        <v>0.05</v>
      </c>
      <c r="G1220" t="s">
        <v>58</v>
      </c>
    </row>
    <row r="1221" spans="1:7">
      <c r="A1221">
        <v>43306</v>
      </c>
      <c r="B1221" t="s">
        <v>63</v>
      </c>
      <c r="C1221" t="s">
        <v>57</v>
      </c>
      <c r="D1221">
        <v>12</v>
      </c>
      <c r="E1221">
        <v>16</v>
      </c>
      <c r="F1221">
        <v>0.11</v>
      </c>
      <c r="G1221" t="s">
        <v>61</v>
      </c>
    </row>
    <row r="1222" spans="1:7">
      <c r="A1222">
        <v>43306</v>
      </c>
      <c r="B1222" t="s">
        <v>52</v>
      </c>
      <c r="C1222" t="s">
        <v>45</v>
      </c>
      <c r="D1222">
        <v>11</v>
      </c>
      <c r="E1222">
        <v>230</v>
      </c>
      <c r="F1222">
        <v>0.02</v>
      </c>
      <c r="G1222" t="s">
        <v>50</v>
      </c>
    </row>
    <row r="1223" spans="1:7">
      <c r="A1223">
        <v>43306</v>
      </c>
      <c r="B1223" t="s">
        <v>63</v>
      </c>
      <c r="C1223" t="s">
        <v>57</v>
      </c>
      <c r="D1223">
        <v>3</v>
      </c>
      <c r="E1223">
        <v>16</v>
      </c>
      <c r="F1223">
        <v>0.05</v>
      </c>
      <c r="G1223" t="s">
        <v>53</v>
      </c>
    </row>
    <row r="1224" spans="1:7">
      <c r="A1224">
        <v>43307</v>
      </c>
      <c r="B1224" t="s">
        <v>67</v>
      </c>
      <c r="C1224" t="s">
        <v>49</v>
      </c>
      <c r="D1224">
        <v>16</v>
      </c>
      <c r="E1224">
        <v>150</v>
      </c>
      <c r="F1224">
        <v>0.05</v>
      </c>
      <c r="G1224" t="s">
        <v>55</v>
      </c>
    </row>
    <row r="1225" spans="1:7">
      <c r="A1225">
        <v>43307</v>
      </c>
      <c r="B1225" t="s">
        <v>52</v>
      </c>
      <c r="C1225" t="s">
        <v>60</v>
      </c>
      <c r="D1225">
        <v>8</v>
      </c>
      <c r="E1225">
        <v>230</v>
      </c>
      <c r="F1225">
        <v>0.01</v>
      </c>
      <c r="G1225" t="s">
        <v>58</v>
      </c>
    </row>
    <row r="1226" spans="1:7">
      <c r="A1226">
        <v>43307</v>
      </c>
      <c r="B1226" t="s">
        <v>44</v>
      </c>
      <c r="C1226" t="s">
        <v>57</v>
      </c>
      <c r="D1226">
        <v>16</v>
      </c>
      <c r="E1226">
        <v>80</v>
      </c>
      <c r="F1226">
        <v>0.04</v>
      </c>
      <c r="G1226" t="s">
        <v>61</v>
      </c>
    </row>
    <row r="1227" spans="1:7">
      <c r="A1227">
        <v>43307</v>
      </c>
      <c r="B1227" t="s">
        <v>63</v>
      </c>
      <c r="C1227" t="s">
        <v>60</v>
      </c>
      <c r="D1227">
        <v>18</v>
      </c>
      <c r="E1227">
        <v>16</v>
      </c>
      <c r="F1227">
        <v>0.04</v>
      </c>
      <c r="G1227" t="s">
        <v>65</v>
      </c>
    </row>
    <row r="1228" spans="1:7">
      <c r="A1228">
        <v>43307</v>
      </c>
      <c r="B1228" t="s">
        <v>48</v>
      </c>
      <c r="C1228" t="s">
        <v>64</v>
      </c>
      <c r="D1228">
        <v>14</v>
      </c>
      <c r="E1228">
        <v>40</v>
      </c>
      <c r="F1228">
        <v>0.11</v>
      </c>
      <c r="G1228" t="s">
        <v>68</v>
      </c>
    </row>
    <row r="1229" spans="1:7">
      <c r="A1229">
        <v>43307</v>
      </c>
      <c r="B1229" t="s">
        <v>63</v>
      </c>
      <c r="C1229" t="s">
        <v>49</v>
      </c>
      <c r="D1229">
        <v>21</v>
      </c>
      <c r="E1229">
        <v>16</v>
      </c>
      <c r="F1229">
        <v>0.02</v>
      </c>
      <c r="G1229" t="s">
        <v>70</v>
      </c>
    </row>
    <row r="1230" spans="1:7">
      <c r="A1230">
        <v>43307</v>
      </c>
      <c r="B1230" t="s">
        <v>63</v>
      </c>
      <c r="C1230" t="s">
        <v>49</v>
      </c>
      <c r="D1230">
        <v>7</v>
      </c>
      <c r="E1230">
        <v>16</v>
      </c>
      <c r="F1230">
        <v>0.08</v>
      </c>
      <c r="G1230" t="s">
        <v>72</v>
      </c>
    </row>
    <row r="1231" spans="1:7">
      <c r="A1231">
        <v>43307</v>
      </c>
      <c r="B1231" t="s">
        <v>44</v>
      </c>
      <c r="C1231" t="s">
        <v>57</v>
      </c>
      <c r="D1231">
        <v>7</v>
      </c>
      <c r="E1231">
        <v>80</v>
      </c>
      <c r="F1231">
        <v>0.05</v>
      </c>
      <c r="G1231" t="s">
        <v>74</v>
      </c>
    </row>
    <row r="1232" spans="1:7">
      <c r="A1232">
        <v>43307</v>
      </c>
      <c r="B1232" t="s">
        <v>48</v>
      </c>
      <c r="C1232" t="s">
        <v>64</v>
      </c>
      <c r="D1232">
        <v>16</v>
      </c>
      <c r="E1232">
        <v>40</v>
      </c>
      <c r="F1232">
        <v>0.09</v>
      </c>
      <c r="G1232" t="s">
        <v>76</v>
      </c>
    </row>
    <row r="1233" spans="1:7">
      <c r="A1233">
        <v>43307</v>
      </c>
      <c r="B1233" t="s">
        <v>52</v>
      </c>
      <c r="C1233" t="s">
        <v>64</v>
      </c>
      <c r="D1233">
        <v>22</v>
      </c>
      <c r="E1233">
        <v>230</v>
      </c>
      <c r="F1233">
        <v>0.1</v>
      </c>
      <c r="G1233" t="s">
        <v>46</v>
      </c>
    </row>
    <row r="1234" spans="1:7">
      <c r="A1234">
        <v>43307</v>
      </c>
      <c r="B1234" t="s">
        <v>48</v>
      </c>
      <c r="C1234" t="s">
        <v>49</v>
      </c>
      <c r="D1234">
        <v>4</v>
      </c>
      <c r="E1234">
        <v>40</v>
      </c>
      <c r="F1234">
        <v>0.03</v>
      </c>
      <c r="G1234" t="s">
        <v>50</v>
      </c>
    </row>
    <row r="1235" spans="1:7">
      <c r="A1235">
        <v>43307</v>
      </c>
      <c r="B1235" t="s">
        <v>52</v>
      </c>
      <c r="C1235" t="s">
        <v>64</v>
      </c>
      <c r="D1235">
        <v>3</v>
      </c>
      <c r="E1235">
        <v>230</v>
      </c>
      <c r="F1235">
        <v>0.1</v>
      </c>
      <c r="G1235" t="s">
        <v>53</v>
      </c>
    </row>
    <row r="1236" spans="1:7">
      <c r="A1236">
        <v>43307</v>
      </c>
      <c r="B1236" t="s">
        <v>44</v>
      </c>
      <c r="C1236" t="s">
        <v>49</v>
      </c>
      <c r="D1236">
        <v>14</v>
      </c>
      <c r="E1236">
        <v>80</v>
      </c>
      <c r="F1236">
        <v>0.11</v>
      </c>
      <c r="G1236" t="s">
        <v>55</v>
      </c>
    </row>
    <row r="1237" spans="1:7">
      <c r="A1237">
        <v>43308</v>
      </c>
      <c r="B1237" t="s">
        <v>48</v>
      </c>
      <c r="C1237" t="s">
        <v>64</v>
      </c>
      <c r="D1237">
        <v>21</v>
      </c>
      <c r="E1237">
        <v>40</v>
      </c>
      <c r="F1237">
        <v>0.01</v>
      </c>
      <c r="G1237" t="s">
        <v>58</v>
      </c>
    </row>
    <row r="1238" spans="1:7">
      <c r="A1238">
        <v>43308</v>
      </c>
      <c r="B1238" t="s">
        <v>63</v>
      </c>
      <c r="C1238" t="s">
        <v>49</v>
      </c>
      <c r="D1238">
        <v>20</v>
      </c>
      <c r="E1238">
        <v>16</v>
      </c>
      <c r="F1238">
        <v>0.06</v>
      </c>
      <c r="G1238" t="s">
        <v>61</v>
      </c>
    </row>
    <row r="1239" spans="1:7">
      <c r="A1239">
        <v>43308</v>
      </c>
      <c r="B1239" t="s">
        <v>44</v>
      </c>
      <c r="C1239" t="s">
        <v>64</v>
      </c>
      <c r="D1239">
        <v>22</v>
      </c>
      <c r="E1239">
        <v>80</v>
      </c>
      <c r="F1239">
        <v>0.11</v>
      </c>
      <c r="G1239" t="s">
        <v>50</v>
      </c>
    </row>
    <row r="1240" spans="1:7">
      <c r="A1240">
        <v>43308</v>
      </c>
      <c r="B1240" t="s">
        <v>48</v>
      </c>
      <c r="C1240" t="s">
        <v>45</v>
      </c>
      <c r="D1240">
        <v>7</v>
      </c>
      <c r="E1240">
        <v>40</v>
      </c>
      <c r="F1240">
        <v>0.1</v>
      </c>
      <c r="G1240" t="s">
        <v>53</v>
      </c>
    </row>
    <row r="1241" spans="1:7">
      <c r="A1241">
        <v>43308</v>
      </c>
      <c r="B1241" t="s">
        <v>67</v>
      </c>
      <c r="C1241" t="s">
        <v>49</v>
      </c>
      <c r="D1241">
        <v>16</v>
      </c>
      <c r="E1241">
        <v>150</v>
      </c>
      <c r="F1241">
        <v>0.05</v>
      </c>
      <c r="G1241" t="s">
        <v>55</v>
      </c>
    </row>
    <row r="1242" spans="1:7">
      <c r="A1242">
        <v>43308</v>
      </c>
      <c r="B1242" t="s">
        <v>52</v>
      </c>
      <c r="C1242" t="s">
        <v>49</v>
      </c>
      <c r="D1242">
        <v>7</v>
      </c>
      <c r="E1242">
        <v>230</v>
      </c>
      <c r="F1242">
        <v>0.05</v>
      </c>
      <c r="G1242" t="s">
        <v>58</v>
      </c>
    </row>
    <row r="1243" spans="1:7">
      <c r="A1243">
        <v>43308</v>
      </c>
      <c r="B1243" t="s">
        <v>67</v>
      </c>
      <c r="C1243" t="s">
        <v>45</v>
      </c>
      <c r="D1243">
        <v>20</v>
      </c>
      <c r="E1243">
        <v>150</v>
      </c>
      <c r="F1243">
        <v>0.03</v>
      </c>
      <c r="G1243" t="s">
        <v>61</v>
      </c>
    </row>
    <row r="1244" spans="1:7">
      <c r="A1244">
        <v>43308</v>
      </c>
      <c r="B1244" t="s">
        <v>67</v>
      </c>
      <c r="C1244" t="s">
        <v>49</v>
      </c>
      <c r="D1244">
        <v>16</v>
      </c>
      <c r="E1244">
        <v>150</v>
      </c>
      <c r="F1244">
        <v>0.03</v>
      </c>
      <c r="G1244" t="s">
        <v>65</v>
      </c>
    </row>
    <row r="1245" spans="1:7">
      <c r="A1245">
        <v>43308</v>
      </c>
      <c r="B1245" t="s">
        <v>63</v>
      </c>
      <c r="C1245" t="s">
        <v>60</v>
      </c>
      <c r="D1245">
        <v>10</v>
      </c>
      <c r="E1245">
        <v>16</v>
      </c>
      <c r="F1245">
        <v>0.04</v>
      </c>
      <c r="G1245" t="s">
        <v>68</v>
      </c>
    </row>
    <row r="1246" spans="1:7">
      <c r="A1246">
        <v>43308</v>
      </c>
      <c r="B1246" t="s">
        <v>44</v>
      </c>
      <c r="C1246" t="s">
        <v>64</v>
      </c>
      <c r="D1246">
        <v>6</v>
      </c>
      <c r="E1246">
        <v>80</v>
      </c>
      <c r="F1246">
        <v>0.09</v>
      </c>
      <c r="G1246" t="s">
        <v>70</v>
      </c>
    </row>
    <row r="1247" spans="1:7">
      <c r="A1247">
        <v>43308</v>
      </c>
      <c r="B1247" t="s">
        <v>44</v>
      </c>
      <c r="C1247" t="s">
        <v>45</v>
      </c>
      <c r="D1247">
        <v>17</v>
      </c>
      <c r="E1247">
        <v>80</v>
      </c>
      <c r="F1247">
        <v>0.09</v>
      </c>
      <c r="G1247" t="s">
        <v>72</v>
      </c>
    </row>
    <row r="1248" spans="1:7">
      <c r="A1248">
        <v>43308</v>
      </c>
      <c r="B1248" t="s">
        <v>48</v>
      </c>
      <c r="C1248" t="s">
        <v>45</v>
      </c>
      <c r="D1248">
        <v>19</v>
      </c>
      <c r="E1248">
        <v>40</v>
      </c>
      <c r="F1248">
        <v>0.04</v>
      </c>
      <c r="G1248" t="s">
        <v>74</v>
      </c>
    </row>
    <row r="1249" spans="1:7">
      <c r="A1249">
        <v>43308</v>
      </c>
      <c r="B1249" t="s">
        <v>48</v>
      </c>
      <c r="C1249" t="s">
        <v>64</v>
      </c>
      <c r="D1249">
        <v>16</v>
      </c>
      <c r="E1249">
        <v>40</v>
      </c>
      <c r="F1249">
        <v>0.09</v>
      </c>
      <c r="G1249" t="s">
        <v>76</v>
      </c>
    </row>
    <row r="1250" spans="1:7">
      <c r="A1250">
        <v>43308</v>
      </c>
      <c r="B1250" t="s">
        <v>63</v>
      </c>
      <c r="C1250" t="s">
        <v>45</v>
      </c>
      <c r="D1250">
        <v>4</v>
      </c>
      <c r="E1250">
        <v>16</v>
      </c>
      <c r="F1250">
        <v>0.12</v>
      </c>
      <c r="G1250" t="s">
        <v>46</v>
      </c>
    </row>
    <row r="1251" spans="1:7">
      <c r="A1251">
        <v>43308</v>
      </c>
      <c r="B1251" t="s">
        <v>67</v>
      </c>
      <c r="C1251" t="s">
        <v>60</v>
      </c>
      <c r="D1251">
        <v>9</v>
      </c>
      <c r="E1251">
        <v>150</v>
      </c>
      <c r="F1251">
        <v>0.02</v>
      </c>
      <c r="G1251" t="s">
        <v>50</v>
      </c>
    </row>
    <row r="1252" spans="1:7">
      <c r="A1252">
        <v>43308</v>
      </c>
      <c r="B1252" t="s">
        <v>63</v>
      </c>
      <c r="C1252" t="s">
        <v>45</v>
      </c>
      <c r="D1252">
        <v>11</v>
      </c>
      <c r="E1252">
        <v>16</v>
      </c>
      <c r="F1252">
        <v>0.09</v>
      </c>
      <c r="G1252" t="s">
        <v>53</v>
      </c>
    </row>
    <row r="1253" spans="1:7">
      <c r="A1253">
        <v>43308</v>
      </c>
      <c r="B1253" t="s">
        <v>44</v>
      </c>
      <c r="C1253" t="s">
        <v>49</v>
      </c>
      <c r="D1253">
        <v>17</v>
      </c>
      <c r="E1253">
        <v>80</v>
      </c>
      <c r="F1253">
        <v>0.03</v>
      </c>
      <c r="G1253" t="s">
        <v>55</v>
      </c>
    </row>
    <row r="1254" spans="1:7">
      <c r="A1254">
        <v>43309</v>
      </c>
      <c r="B1254" t="s">
        <v>67</v>
      </c>
      <c r="C1254" t="s">
        <v>45</v>
      </c>
      <c r="D1254">
        <v>3</v>
      </c>
      <c r="E1254">
        <v>150</v>
      </c>
      <c r="F1254">
        <v>0.03</v>
      </c>
      <c r="G1254" t="s">
        <v>58</v>
      </c>
    </row>
    <row r="1255" spans="1:7">
      <c r="A1255">
        <v>43309</v>
      </c>
      <c r="B1255" t="s">
        <v>52</v>
      </c>
      <c r="C1255" t="s">
        <v>60</v>
      </c>
      <c r="D1255">
        <v>2</v>
      </c>
      <c r="E1255">
        <v>230</v>
      </c>
      <c r="F1255">
        <v>0.08</v>
      </c>
      <c r="G1255" t="s">
        <v>61</v>
      </c>
    </row>
    <row r="1256" spans="1:7">
      <c r="A1256">
        <v>43309</v>
      </c>
      <c r="B1256" t="s">
        <v>52</v>
      </c>
      <c r="C1256" t="s">
        <v>60</v>
      </c>
      <c r="D1256">
        <v>17</v>
      </c>
      <c r="E1256">
        <v>230</v>
      </c>
      <c r="F1256">
        <v>0.12</v>
      </c>
      <c r="G1256" t="s">
        <v>50</v>
      </c>
    </row>
    <row r="1257" spans="1:7">
      <c r="A1257">
        <v>43309</v>
      </c>
      <c r="B1257" t="s">
        <v>67</v>
      </c>
      <c r="C1257" t="s">
        <v>49</v>
      </c>
      <c r="D1257">
        <v>2</v>
      </c>
      <c r="E1257">
        <v>150</v>
      </c>
      <c r="F1257">
        <v>0.09</v>
      </c>
      <c r="G1257" t="s">
        <v>53</v>
      </c>
    </row>
    <row r="1258" spans="1:7">
      <c r="A1258">
        <v>43309</v>
      </c>
      <c r="B1258" t="s">
        <v>48</v>
      </c>
      <c r="C1258" t="s">
        <v>60</v>
      </c>
      <c r="D1258">
        <v>18</v>
      </c>
      <c r="E1258">
        <v>40</v>
      </c>
      <c r="F1258">
        <v>0.06</v>
      </c>
      <c r="G1258" t="s">
        <v>55</v>
      </c>
    </row>
    <row r="1259" spans="1:7">
      <c r="A1259">
        <v>43309</v>
      </c>
      <c r="B1259" t="s">
        <v>67</v>
      </c>
      <c r="C1259" t="s">
        <v>57</v>
      </c>
      <c r="D1259">
        <v>18</v>
      </c>
      <c r="E1259">
        <v>150</v>
      </c>
      <c r="F1259">
        <v>0.06</v>
      </c>
      <c r="G1259" t="s">
        <v>58</v>
      </c>
    </row>
    <row r="1260" spans="1:7">
      <c r="A1260">
        <v>43309</v>
      </c>
      <c r="B1260" t="s">
        <v>48</v>
      </c>
      <c r="C1260" t="s">
        <v>49</v>
      </c>
      <c r="D1260">
        <v>12</v>
      </c>
      <c r="E1260">
        <v>40</v>
      </c>
      <c r="F1260">
        <v>0.1</v>
      </c>
      <c r="G1260" t="s">
        <v>61</v>
      </c>
    </row>
    <row r="1261" spans="1:7">
      <c r="A1261">
        <v>43309</v>
      </c>
      <c r="B1261" t="s">
        <v>44</v>
      </c>
      <c r="C1261" t="s">
        <v>45</v>
      </c>
      <c r="D1261">
        <v>21</v>
      </c>
      <c r="E1261">
        <v>80</v>
      </c>
      <c r="F1261">
        <v>0.04</v>
      </c>
      <c r="G1261" t="s">
        <v>65</v>
      </c>
    </row>
    <row r="1262" spans="1:7">
      <c r="A1262">
        <v>43309</v>
      </c>
      <c r="B1262" t="s">
        <v>48</v>
      </c>
      <c r="C1262" t="s">
        <v>64</v>
      </c>
      <c r="D1262">
        <v>3</v>
      </c>
      <c r="E1262">
        <v>40</v>
      </c>
      <c r="F1262">
        <v>0.03</v>
      </c>
      <c r="G1262" t="s">
        <v>68</v>
      </c>
    </row>
    <row r="1263" spans="1:7">
      <c r="A1263">
        <v>43309</v>
      </c>
      <c r="B1263" t="s">
        <v>44</v>
      </c>
      <c r="C1263" t="s">
        <v>64</v>
      </c>
      <c r="D1263">
        <v>22</v>
      </c>
      <c r="E1263">
        <v>80</v>
      </c>
      <c r="F1263">
        <v>0.1</v>
      </c>
      <c r="G1263" t="s">
        <v>70</v>
      </c>
    </row>
    <row r="1264" spans="1:7">
      <c r="A1264">
        <v>43309</v>
      </c>
      <c r="B1264" t="s">
        <v>48</v>
      </c>
      <c r="C1264" t="s">
        <v>64</v>
      </c>
      <c r="D1264">
        <v>16</v>
      </c>
      <c r="E1264">
        <v>40</v>
      </c>
      <c r="F1264">
        <v>0.11</v>
      </c>
      <c r="G1264" t="s">
        <v>72</v>
      </c>
    </row>
    <row r="1265" spans="1:7">
      <c r="A1265">
        <v>43309</v>
      </c>
      <c r="B1265" t="s">
        <v>63</v>
      </c>
      <c r="C1265" t="s">
        <v>45</v>
      </c>
      <c r="D1265">
        <v>11</v>
      </c>
      <c r="E1265">
        <v>16</v>
      </c>
      <c r="F1265">
        <v>0.09</v>
      </c>
      <c r="G1265" t="s">
        <v>74</v>
      </c>
    </row>
    <row r="1266" spans="1:7">
      <c r="A1266">
        <v>43310</v>
      </c>
      <c r="B1266" t="s">
        <v>44</v>
      </c>
      <c r="C1266" t="s">
        <v>57</v>
      </c>
      <c r="D1266">
        <v>10</v>
      </c>
      <c r="E1266">
        <v>80</v>
      </c>
      <c r="F1266">
        <v>0.08</v>
      </c>
      <c r="G1266" t="s">
        <v>76</v>
      </c>
    </row>
    <row r="1267" spans="1:7">
      <c r="A1267">
        <v>43310</v>
      </c>
      <c r="B1267" t="s">
        <v>63</v>
      </c>
      <c r="C1267" t="s">
        <v>57</v>
      </c>
      <c r="D1267">
        <v>12</v>
      </c>
      <c r="E1267">
        <v>16</v>
      </c>
      <c r="F1267">
        <v>0.03</v>
      </c>
      <c r="G1267" t="s">
        <v>46</v>
      </c>
    </row>
    <row r="1268" spans="1:7">
      <c r="A1268">
        <v>43310</v>
      </c>
      <c r="B1268" t="s">
        <v>67</v>
      </c>
      <c r="C1268" t="s">
        <v>45</v>
      </c>
      <c r="D1268">
        <v>8</v>
      </c>
      <c r="E1268">
        <v>150</v>
      </c>
      <c r="F1268">
        <v>0.09</v>
      </c>
      <c r="G1268" t="s">
        <v>50</v>
      </c>
    </row>
    <row r="1269" spans="1:7">
      <c r="A1269">
        <v>43310</v>
      </c>
      <c r="B1269" t="s">
        <v>48</v>
      </c>
      <c r="C1269" t="s">
        <v>64</v>
      </c>
      <c r="D1269">
        <v>10</v>
      </c>
      <c r="E1269">
        <v>40</v>
      </c>
      <c r="F1269">
        <v>0.03</v>
      </c>
      <c r="G1269" t="s">
        <v>53</v>
      </c>
    </row>
    <row r="1270" spans="1:7">
      <c r="A1270">
        <v>43310</v>
      </c>
      <c r="B1270" t="s">
        <v>67</v>
      </c>
      <c r="C1270" t="s">
        <v>45</v>
      </c>
      <c r="D1270">
        <v>7</v>
      </c>
      <c r="E1270">
        <v>150</v>
      </c>
      <c r="F1270">
        <v>0.02</v>
      </c>
      <c r="G1270" t="s">
        <v>55</v>
      </c>
    </row>
    <row r="1271" spans="1:7">
      <c r="A1271">
        <v>43310</v>
      </c>
      <c r="B1271" t="s">
        <v>63</v>
      </c>
      <c r="C1271" t="s">
        <v>57</v>
      </c>
      <c r="D1271">
        <v>6</v>
      </c>
      <c r="E1271">
        <v>16</v>
      </c>
      <c r="F1271">
        <v>0.01</v>
      </c>
      <c r="G1271" t="s">
        <v>58</v>
      </c>
    </row>
    <row r="1272" spans="1:7">
      <c r="A1272">
        <v>43310</v>
      </c>
      <c r="B1272" t="s">
        <v>44</v>
      </c>
      <c r="C1272" t="s">
        <v>60</v>
      </c>
      <c r="D1272">
        <v>15</v>
      </c>
      <c r="E1272">
        <v>80</v>
      </c>
      <c r="F1272">
        <v>0.08</v>
      </c>
      <c r="G1272" t="s">
        <v>61</v>
      </c>
    </row>
    <row r="1273" spans="1:7">
      <c r="A1273">
        <v>43310</v>
      </c>
      <c r="B1273" t="s">
        <v>63</v>
      </c>
      <c r="C1273" t="s">
        <v>64</v>
      </c>
      <c r="D1273">
        <v>13</v>
      </c>
      <c r="E1273">
        <v>16</v>
      </c>
      <c r="F1273">
        <v>0.07</v>
      </c>
      <c r="G1273" t="s">
        <v>50</v>
      </c>
    </row>
    <row r="1274" spans="1:7">
      <c r="A1274">
        <v>43310</v>
      </c>
      <c r="B1274" t="s">
        <v>52</v>
      </c>
      <c r="C1274" t="s">
        <v>60</v>
      </c>
      <c r="D1274">
        <v>19</v>
      </c>
      <c r="E1274">
        <v>230</v>
      </c>
      <c r="F1274">
        <v>0.06</v>
      </c>
      <c r="G1274" t="s">
        <v>53</v>
      </c>
    </row>
    <row r="1275" spans="1:7">
      <c r="A1275">
        <v>43310</v>
      </c>
      <c r="B1275" t="s">
        <v>44</v>
      </c>
      <c r="C1275" t="s">
        <v>60</v>
      </c>
      <c r="D1275">
        <v>21</v>
      </c>
      <c r="E1275">
        <v>80</v>
      </c>
      <c r="F1275">
        <v>0.05</v>
      </c>
      <c r="G1275" t="s">
        <v>55</v>
      </c>
    </row>
    <row r="1276" spans="1:7">
      <c r="A1276">
        <v>43310</v>
      </c>
      <c r="B1276" t="s">
        <v>44</v>
      </c>
      <c r="C1276" t="s">
        <v>49</v>
      </c>
      <c r="D1276">
        <v>5</v>
      </c>
      <c r="E1276">
        <v>80</v>
      </c>
      <c r="F1276">
        <v>0.07</v>
      </c>
      <c r="G1276" t="s">
        <v>58</v>
      </c>
    </row>
    <row r="1277" spans="1:7">
      <c r="A1277">
        <v>43310</v>
      </c>
      <c r="B1277" t="s">
        <v>63</v>
      </c>
      <c r="C1277" t="s">
        <v>57</v>
      </c>
      <c r="D1277">
        <v>8</v>
      </c>
      <c r="E1277">
        <v>16</v>
      </c>
      <c r="F1277">
        <v>0.03</v>
      </c>
      <c r="G1277" t="s">
        <v>61</v>
      </c>
    </row>
    <row r="1278" spans="1:7">
      <c r="A1278">
        <v>43310</v>
      </c>
      <c r="B1278" t="s">
        <v>63</v>
      </c>
      <c r="C1278" t="s">
        <v>57</v>
      </c>
      <c r="D1278">
        <v>12</v>
      </c>
      <c r="E1278">
        <v>16</v>
      </c>
      <c r="F1278">
        <v>0.11</v>
      </c>
      <c r="G1278" t="s">
        <v>65</v>
      </c>
    </row>
    <row r="1279" spans="1:7">
      <c r="A1279">
        <v>43310</v>
      </c>
      <c r="B1279" t="s">
        <v>44</v>
      </c>
      <c r="C1279" t="s">
        <v>60</v>
      </c>
      <c r="D1279">
        <v>22</v>
      </c>
      <c r="E1279">
        <v>80</v>
      </c>
      <c r="F1279">
        <v>0.03</v>
      </c>
      <c r="G1279" t="s">
        <v>68</v>
      </c>
    </row>
    <row r="1280" spans="1:7">
      <c r="A1280">
        <v>43310</v>
      </c>
      <c r="B1280" t="s">
        <v>48</v>
      </c>
      <c r="C1280" t="s">
        <v>45</v>
      </c>
      <c r="D1280">
        <v>5</v>
      </c>
      <c r="E1280">
        <v>40</v>
      </c>
      <c r="F1280">
        <v>0.09</v>
      </c>
      <c r="G1280" t="s">
        <v>70</v>
      </c>
    </row>
    <row r="1281" spans="1:7">
      <c r="A1281">
        <v>43311</v>
      </c>
      <c r="B1281" t="s">
        <v>67</v>
      </c>
      <c r="C1281" t="s">
        <v>49</v>
      </c>
      <c r="D1281">
        <v>23</v>
      </c>
      <c r="E1281">
        <v>150</v>
      </c>
      <c r="F1281">
        <v>0.11</v>
      </c>
      <c r="G1281" t="s">
        <v>72</v>
      </c>
    </row>
    <row r="1282" spans="1:7">
      <c r="A1282">
        <v>43311</v>
      </c>
      <c r="B1282" t="s">
        <v>44</v>
      </c>
      <c r="C1282" t="s">
        <v>45</v>
      </c>
      <c r="D1282">
        <v>16</v>
      </c>
      <c r="E1282">
        <v>80</v>
      </c>
      <c r="F1282">
        <v>0.03</v>
      </c>
      <c r="G1282" t="s">
        <v>74</v>
      </c>
    </row>
    <row r="1283" spans="1:7">
      <c r="A1283">
        <v>43311</v>
      </c>
      <c r="B1283" t="s">
        <v>67</v>
      </c>
      <c r="C1283" t="s">
        <v>64</v>
      </c>
      <c r="D1283">
        <v>15</v>
      </c>
      <c r="E1283">
        <v>150</v>
      </c>
      <c r="F1283">
        <v>0.07</v>
      </c>
      <c r="G1283" t="s">
        <v>76</v>
      </c>
    </row>
    <row r="1284" spans="1:7">
      <c r="A1284">
        <v>43311</v>
      </c>
      <c r="B1284" t="s">
        <v>48</v>
      </c>
      <c r="C1284" t="s">
        <v>45</v>
      </c>
      <c r="D1284">
        <v>20</v>
      </c>
      <c r="E1284">
        <v>40</v>
      </c>
      <c r="F1284">
        <v>0.04</v>
      </c>
      <c r="G1284" t="s">
        <v>46</v>
      </c>
    </row>
    <row r="1285" spans="1:7">
      <c r="A1285">
        <v>43311</v>
      </c>
      <c r="B1285" t="s">
        <v>52</v>
      </c>
      <c r="C1285" t="s">
        <v>57</v>
      </c>
      <c r="D1285">
        <v>10</v>
      </c>
      <c r="E1285">
        <v>230</v>
      </c>
      <c r="F1285">
        <v>0.02</v>
      </c>
      <c r="G1285" t="s">
        <v>50</v>
      </c>
    </row>
    <row r="1286" spans="1:7">
      <c r="A1286">
        <v>43311</v>
      </c>
      <c r="B1286" t="s">
        <v>44</v>
      </c>
      <c r="C1286" t="s">
        <v>49</v>
      </c>
      <c r="D1286">
        <v>9</v>
      </c>
      <c r="E1286">
        <v>80</v>
      </c>
      <c r="F1286">
        <v>0.03</v>
      </c>
      <c r="G1286" t="s">
        <v>53</v>
      </c>
    </row>
    <row r="1287" spans="1:7">
      <c r="A1287">
        <v>43311</v>
      </c>
      <c r="B1287" t="s">
        <v>52</v>
      </c>
      <c r="C1287" t="s">
        <v>45</v>
      </c>
      <c r="D1287">
        <v>16</v>
      </c>
      <c r="E1287">
        <v>230</v>
      </c>
      <c r="F1287">
        <v>0.07</v>
      </c>
      <c r="G1287" t="s">
        <v>55</v>
      </c>
    </row>
    <row r="1288" spans="1:7">
      <c r="A1288">
        <v>43311</v>
      </c>
      <c r="B1288" t="s">
        <v>44</v>
      </c>
      <c r="C1288" t="s">
        <v>49</v>
      </c>
      <c r="D1288">
        <v>21</v>
      </c>
      <c r="E1288">
        <v>80</v>
      </c>
      <c r="F1288">
        <v>0.04</v>
      </c>
      <c r="G1288" t="s">
        <v>58</v>
      </c>
    </row>
    <row r="1289" spans="1:7">
      <c r="A1289">
        <v>43311</v>
      </c>
      <c r="B1289" t="s">
        <v>44</v>
      </c>
      <c r="C1289" t="s">
        <v>49</v>
      </c>
      <c r="D1289">
        <v>9</v>
      </c>
      <c r="E1289">
        <v>80</v>
      </c>
      <c r="F1289">
        <v>0.03</v>
      </c>
      <c r="G1289" t="s">
        <v>61</v>
      </c>
    </row>
    <row r="1290" spans="1:7">
      <c r="A1290">
        <v>43311</v>
      </c>
      <c r="B1290" t="s">
        <v>48</v>
      </c>
      <c r="C1290" t="s">
        <v>49</v>
      </c>
      <c r="D1290">
        <v>4</v>
      </c>
      <c r="E1290">
        <v>40</v>
      </c>
      <c r="F1290">
        <v>0.12</v>
      </c>
      <c r="G1290" t="s">
        <v>50</v>
      </c>
    </row>
    <row r="1291" spans="1:7">
      <c r="A1291">
        <v>43311</v>
      </c>
      <c r="B1291" t="s">
        <v>52</v>
      </c>
      <c r="C1291" t="s">
        <v>57</v>
      </c>
      <c r="D1291">
        <v>5</v>
      </c>
      <c r="E1291">
        <v>230</v>
      </c>
      <c r="F1291">
        <v>0.01</v>
      </c>
      <c r="G1291" t="s">
        <v>53</v>
      </c>
    </row>
    <row r="1292" spans="1:7">
      <c r="A1292">
        <v>43311</v>
      </c>
      <c r="B1292" t="s">
        <v>63</v>
      </c>
      <c r="C1292" t="s">
        <v>45</v>
      </c>
      <c r="D1292">
        <v>18</v>
      </c>
      <c r="E1292">
        <v>16</v>
      </c>
      <c r="F1292">
        <v>0.05</v>
      </c>
      <c r="G1292" t="s">
        <v>55</v>
      </c>
    </row>
    <row r="1293" spans="1:7">
      <c r="A1293">
        <v>43312</v>
      </c>
      <c r="B1293" t="s">
        <v>44</v>
      </c>
      <c r="C1293" t="s">
        <v>57</v>
      </c>
      <c r="D1293">
        <v>6</v>
      </c>
      <c r="E1293">
        <v>80</v>
      </c>
      <c r="F1293">
        <v>0.01</v>
      </c>
      <c r="G1293" t="s">
        <v>58</v>
      </c>
    </row>
    <row r="1294" spans="1:7">
      <c r="A1294">
        <v>43312</v>
      </c>
      <c r="B1294" t="s">
        <v>67</v>
      </c>
      <c r="C1294" t="s">
        <v>64</v>
      </c>
      <c r="D1294">
        <v>4</v>
      </c>
      <c r="E1294">
        <v>150</v>
      </c>
      <c r="F1294">
        <v>0.05</v>
      </c>
      <c r="G1294" t="s">
        <v>61</v>
      </c>
    </row>
    <row r="1295" spans="1:7">
      <c r="A1295">
        <v>43312</v>
      </c>
      <c r="B1295" t="s">
        <v>52</v>
      </c>
      <c r="C1295" t="s">
        <v>64</v>
      </c>
      <c r="D1295">
        <v>21</v>
      </c>
      <c r="E1295">
        <v>230</v>
      </c>
      <c r="F1295">
        <v>0.05</v>
      </c>
      <c r="G1295" t="s">
        <v>65</v>
      </c>
    </row>
    <row r="1296" spans="1:7">
      <c r="A1296">
        <v>43312</v>
      </c>
      <c r="B1296" t="s">
        <v>67</v>
      </c>
      <c r="C1296" t="s">
        <v>45</v>
      </c>
      <c r="D1296">
        <v>4</v>
      </c>
      <c r="E1296">
        <v>150</v>
      </c>
      <c r="F1296">
        <v>0.06</v>
      </c>
      <c r="G1296" t="s">
        <v>68</v>
      </c>
    </row>
    <row r="1297" spans="1:7">
      <c r="A1297">
        <v>43312</v>
      </c>
      <c r="B1297" t="s">
        <v>44</v>
      </c>
      <c r="C1297" t="s">
        <v>49</v>
      </c>
      <c r="D1297">
        <v>2</v>
      </c>
      <c r="E1297">
        <v>80</v>
      </c>
      <c r="F1297">
        <v>0.04</v>
      </c>
      <c r="G1297" t="s">
        <v>70</v>
      </c>
    </row>
    <row r="1298" spans="1:7">
      <c r="A1298">
        <v>43312</v>
      </c>
      <c r="B1298" t="s">
        <v>63</v>
      </c>
      <c r="C1298" t="s">
        <v>49</v>
      </c>
      <c r="D1298">
        <v>5</v>
      </c>
      <c r="E1298">
        <v>16</v>
      </c>
      <c r="F1298">
        <v>0.11</v>
      </c>
      <c r="G1298" t="s">
        <v>72</v>
      </c>
    </row>
    <row r="1299" spans="1:7">
      <c r="A1299">
        <v>43312</v>
      </c>
      <c r="B1299" t="s">
        <v>67</v>
      </c>
      <c r="C1299" t="s">
        <v>64</v>
      </c>
      <c r="D1299">
        <v>23</v>
      </c>
      <c r="E1299">
        <v>150</v>
      </c>
      <c r="F1299">
        <v>0.08</v>
      </c>
      <c r="G1299" t="s">
        <v>74</v>
      </c>
    </row>
    <row r="1300" spans="1:7">
      <c r="A1300">
        <v>43312</v>
      </c>
      <c r="B1300" t="s">
        <v>44</v>
      </c>
      <c r="C1300" t="s">
        <v>49</v>
      </c>
      <c r="D1300">
        <v>3</v>
      </c>
      <c r="E1300">
        <v>80</v>
      </c>
      <c r="F1300">
        <v>0.02</v>
      </c>
      <c r="G1300" t="s">
        <v>76</v>
      </c>
    </row>
    <row r="1301" spans="1:7">
      <c r="A1301">
        <v>43312</v>
      </c>
      <c r="B1301" t="s">
        <v>52</v>
      </c>
      <c r="C1301" t="s">
        <v>64</v>
      </c>
      <c r="D1301">
        <v>17</v>
      </c>
      <c r="E1301">
        <v>230</v>
      </c>
      <c r="F1301">
        <v>0.11</v>
      </c>
      <c r="G1301" t="s">
        <v>46</v>
      </c>
    </row>
    <row r="1302" spans="1:7">
      <c r="A1302">
        <v>43312</v>
      </c>
      <c r="B1302" t="s">
        <v>48</v>
      </c>
      <c r="C1302" t="s">
        <v>57</v>
      </c>
      <c r="D1302">
        <v>11</v>
      </c>
      <c r="E1302">
        <v>40</v>
      </c>
      <c r="F1302">
        <v>0.05</v>
      </c>
      <c r="G1302" t="s">
        <v>50</v>
      </c>
    </row>
    <row r="1303" spans="1:7">
      <c r="A1303">
        <v>43312</v>
      </c>
      <c r="B1303" t="s">
        <v>52</v>
      </c>
      <c r="C1303" t="s">
        <v>45</v>
      </c>
      <c r="D1303">
        <v>7</v>
      </c>
      <c r="E1303">
        <v>230</v>
      </c>
      <c r="F1303">
        <v>0.02</v>
      </c>
      <c r="G1303" t="s">
        <v>53</v>
      </c>
    </row>
    <row r="1304" spans="1:7">
      <c r="A1304">
        <v>43312</v>
      </c>
      <c r="B1304" t="s">
        <v>48</v>
      </c>
      <c r="C1304" t="s">
        <v>57</v>
      </c>
      <c r="D1304">
        <v>13</v>
      </c>
      <c r="E1304">
        <v>40</v>
      </c>
      <c r="F1304">
        <v>0.02</v>
      </c>
      <c r="G1304" t="s">
        <v>55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8"/>
  <sheetViews>
    <sheetView workbookViewId="0">
      <selection activeCell="E8" sqref="E8"/>
    </sheetView>
  </sheetViews>
  <sheetFormatPr defaultColWidth="9" defaultRowHeight="14.4" outlineLevelRow="7" outlineLevelCol="6"/>
  <sheetData>
    <row r="3" spans="2:5">
      <c r="B3" s="13" t="s">
        <v>19</v>
      </c>
      <c r="C3" s="13" t="s">
        <v>20</v>
      </c>
      <c r="D3" s="13"/>
      <c r="E3" s="13"/>
    </row>
    <row r="4" spans="2:7">
      <c r="B4" t="s">
        <v>21</v>
      </c>
      <c r="E4">
        <f>COUNTA(Data3[Total Sales])</f>
        <v>1300</v>
      </c>
      <c r="G4" t="s">
        <v>1365</v>
      </c>
    </row>
    <row r="5" spans="2:5">
      <c r="B5" t="s">
        <v>22</v>
      </c>
      <c r="E5">
        <f>SUM(Data3[Quantity])</f>
        <v>16638</v>
      </c>
    </row>
    <row r="6" spans="2:6">
      <c r="B6" t="s">
        <v>23</v>
      </c>
      <c r="E6">
        <f>SUM(Data3[Commission])</f>
        <v>79.8300000000003</v>
      </c>
      <c r="F6">
        <f>SUM(Data3[Commission])</f>
        <v>79.8300000000003</v>
      </c>
    </row>
    <row r="7" spans="2:5">
      <c r="B7" t="s">
        <v>1366</v>
      </c>
      <c r="E7">
        <f>SUM(Data3[Price])</f>
        <v>126920</v>
      </c>
    </row>
    <row r="8" spans="2:5">
      <c r="B8" t="s">
        <v>25</v>
      </c>
      <c r="E8">
        <f>SUM(Data3[Net Sales])</f>
        <v>1484332.56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3:G235"/>
  <sheetViews>
    <sheetView zoomScale="91" zoomScaleNormal="91" workbookViewId="0">
      <selection activeCell="G241" sqref="G241"/>
    </sheetView>
  </sheetViews>
  <sheetFormatPr defaultColWidth="9" defaultRowHeight="14.4" outlineLevelCol="6"/>
  <cols>
    <col min="2" max="2" width="13.2222222222222"/>
    <col min="3" max="3" width="13.1111111111111"/>
    <col min="4" max="4" width="17.8888888888889"/>
    <col min="5" max="5" width="13.1111111111111"/>
    <col min="6" max="6" width="12.5555555555556"/>
    <col min="7" max="7" width="19.6666666666667"/>
    <col min="8" max="8" width="15.7777777777778" customWidth="1"/>
  </cols>
  <sheetData>
    <row r="13" spans="2:2">
      <c r="B13" t="s">
        <v>28</v>
      </c>
    </row>
    <row r="14" spans="2:2">
      <c r="B14" t="s">
        <v>29</v>
      </c>
    </row>
    <row r="15" spans="2:2">
      <c r="B15" t="s">
        <v>30</v>
      </c>
    </row>
    <row r="16" spans="2:2">
      <c r="B16" t="s">
        <v>31</v>
      </c>
    </row>
    <row r="17" spans="2:2">
      <c r="B17" t="s">
        <v>32</v>
      </c>
    </row>
    <row r="20" spans="2:2">
      <c r="B20" t="s">
        <v>28</v>
      </c>
    </row>
    <row r="21" spans="3:4">
      <c r="C21" t="s">
        <v>1367</v>
      </c>
      <c r="D21" t="s">
        <v>1368</v>
      </c>
    </row>
    <row r="22" spans="3:4">
      <c r="C22" s="8" t="s">
        <v>63</v>
      </c>
      <c r="D22">
        <v>49136</v>
      </c>
    </row>
    <row r="23" spans="3:4">
      <c r="C23" s="8" t="s">
        <v>52</v>
      </c>
      <c r="D23">
        <v>609040</v>
      </c>
    </row>
    <row r="24" spans="3:4">
      <c r="C24" s="8" t="s">
        <v>44</v>
      </c>
      <c r="D24">
        <v>305520</v>
      </c>
    </row>
    <row r="25" spans="3:4">
      <c r="C25" s="8" t="s">
        <v>67</v>
      </c>
      <c r="D25">
        <v>460050</v>
      </c>
    </row>
    <row r="26" spans="3:4">
      <c r="C26" s="8" t="s">
        <v>48</v>
      </c>
      <c r="D26">
        <v>160720</v>
      </c>
    </row>
    <row r="27" spans="3:4">
      <c r="C27" s="8" t="s">
        <v>1369</v>
      </c>
      <c r="D27">
        <v>1584466</v>
      </c>
    </row>
    <row r="30" spans="2:2">
      <c r="B30" t="s">
        <v>29</v>
      </c>
    </row>
    <row r="34" spans="3:4">
      <c r="C34" t="s">
        <v>1367</v>
      </c>
      <c r="D34" t="s">
        <v>1370</v>
      </c>
    </row>
    <row r="35" spans="3:4">
      <c r="C35" s="8" t="s">
        <v>64</v>
      </c>
      <c r="D35">
        <v>257</v>
      </c>
    </row>
    <row r="36" spans="3:4">
      <c r="C36" s="8" t="s">
        <v>45</v>
      </c>
      <c r="D36">
        <v>277</v>
      </c>
    </row>
    <row r="37" spans="3:4">
      <c r="C37" s="8" t="s">
        <v>57</v>
      </c>
      <c r="D37">
        <v>257</v>
      </c>
    </row>
    <row r="38" spans="3:4">
      <c r="C38" s="8" t="s">
        <v>49</v>
      </c>
      <c r="D38">
        <v>240</v>
      </c>
    </row>
    <row r="39" spans="3:4">
      <c r="C39" s="8" t="s">
        <v>60</v>
      </c>
      <c r="D39">
        <v>269</v>
      </c>
    </row>
    <row r="40" spans="3:4">
      <c r="C40" s="8" t="s">
        <v>1369</v>
      </c>
      <c r="D40">
        <v>1300</v>
      </c>
    </row>
    <row r="49" spans="2:2">
      <c r="B49" t="s">
        <v>31</v>
      </c>
    </row>
    <row r="52" spans="4:5">
      <c r="D52" t="s">
        <v>1367</v>
      </c>
      <c r="E52" t="s">
        <v>1370</v>
      </c>
    </row>
    <row r="53" spans="4:5">
      <c r="D53" s="8" t="s">
        <v>61</v>
      </c>
      <c r="E53">
        <v>104</v>
      </c>
    </row>
    <row r="54" spans="4:5">
      <c r="D54" s="8" t="s">
        <v>55</v>
      </c>
      <c r="E54">
        <v>105</v>
      </c>
    </row>
    <row r="55" spans="4:5">
      <c r="D55" s="8" t="s">
        <v>65</v>
      </c>
      <c r="E55">
        <v>120</v>
      </c>
    </row>
    <row r="56" spans="4:5">
      <c r="D56" s="8" t="s">
        <v>70</v>
      </c>
      <c r="E56">
        <v>163</v>
      </c>
    </row>
    <row r="57" spans="4:5">
      <c r="D57" s="8" t="s">
        <v>74</v>
      </c>
      <c r="E57">
        <v>68</v>
      </c>
    </row>
    <row r="58" spans="4:5">
      <c r="D58" s="8" t="s">
        <v>72</v>
      </c>
      <c r="E58">
        <v>119</v>
      </c>
    </row>
    <row r="59" spans="4:5">
      <c r="D59" s="8" t="s">
        <v>68</v>
      </c>
      <c r="E59">
        <v>119</v>
      </c>
    </row>
    <row r="60" spans="4:5">
      <c r="D60" s="8" t="s">
        <v>76</v>
      </c>
      <c r="E60">
        <v>68</v>
      </c>
    </row>
    <row r="61" spans="4:5">
      <c r="D61" s="8" t="s">
        <v>53</v>
      </c>
      <c r="E61">
        <v>150</v>
      </c>
    </row>
    <row r="62" spans="4:5">
      <c r="D62" s="8" t="s">
        <v>46</v>
      </c>
      <c r="E62">
        <v>76</v>
      </c>
    </row>
    <row r="63" spans="4:5">
      <c r="D63" s="8" t="s">
        <v>50</v>
      </c>
      <c r="E63">
        <v>105</v>
      </c>
    </row>
    <row r="64" spans="4:5">
      <c r="D64" s="8" t="s">
        <v>58</v>
      </c>
      <c r="E64">
        <v>103</v>
      </c>
    </row>
    <row r="65" spans="4:5">
      <c r="D65" s="8" t="s">
        <v>1369</v>
      </c>
      <c r="E65">
        <v>1300</v>
      </c>
    </row>
    <row r="68" spans="2:2">
      <c r="B68" t="s">
        <v>30</v>
      </c>
    </row>
    <row r="71" spans="2:3">
      <c r="B71" t="s">
        <v>1367</v>
      </c>
      <c r="C71" t="s">
        <v>1368</v>
      </c>
    </row>
    <row r="72" spans="2:3">
      <c r="B72" s="8" t="s">
        <v>61</v>
      </c>
      <c r="C72">
        <v>120408</v>
      </c>
    </row>
    <row r="73" spans="2:3">
      <c r="B73" s="8" t="s">
        <v>55</v>
      </c>
      <c r="C73">
        <v>128512</v>
      </c>
    </row>
    <row r="74" spans="2:3">
      <c r="B74" s="8" t="s">
        <v>65</v>
      </c>
      <c r="C74">
        <v>157020</v>
      </c>
    </row>
    <row r="75" spans="2:3">
      <c r="B75" s="8" t="s">
        <v>70</v>
      </c>
      <c r="C75">
        <v>196034</v>
      </c>
    </row>
    <row r="76" spans="2:3">
      <c r="B76" s="8" t="s">
        <v>74</v>
      </c>
      <c r="C76">
        <v>94774</v>
      </c>
    </row>
    <row r="77" spans="2:3">
      <c r="B77" s="8" t="s">
        <v>72</v>
      </c>
      <c r="C77">
        <v>130490</v>
      </c>
    </row>
    <row r="78" spans="2:3">
      <c r="B78" s="8" t="s">
        <v>68</v>
      </c>
      <c r="C78">
        <v>145128</v>
      </c>
    </row>
    <row r="79" spans="2:3">
      <c r="B79" s="8" t="s">
        <v>76</v>
      </c>
      <c r="C79">
        <v>78416</v>
      </c>
    </row>
    <row r="80" spans="2:3">
      <c r="B80" s="8" t="s">
        <v>53</v>
      </c>
      <c r="C80">
        <v>191256</v>
      </c>
    </row>
    <row r="81" spans="2:3">
      <c r="B81" s="8" t="s">
        <v>46</v>
      </c>
      <c r="C81">
        <v>80594</v>
      </c>
    </row>
    <row r="82" spans="2:3">
      <c r="B82" s="8" t="s">
        <v>50</v>
      </c>
      <c r="C82">
        <v>124640</v>
      </c>
    </row>
    <row r="83" spans="2:3">
      <c r="B83" s="8" t="s">
        <v>58</v>
      </c>
      <c r="C83">
        <v>137194</v>
      </c>
    </row>
    <row r="84" spans="2:3">
      <c r="B84" s="8" t="s">
        <v>1369</v>
      </c>
      <c r="C84">
        <v>1584466</v>
      </c>
    </row>
    <row r="87" spans="3:3">
      <c r="C87" t="s">
        <v>1371</v>
      </c>
    </row>
    <row r="88" spans="3:4">
      <c r="C88" t="s">
        <v>1367</v>
      </c>
      <c r="D88" t="s">
        <v>1372</v>
      </c>
    </row>
    <row r="89" spans="3:4">
      <c r="C89" s="8" t="s">
        <v>48</v>
      </c>
      <c r="D89">
        <v>312</v>
      </c>
    </row>
    <row r="90" spans="3:4">
      <c r="C90" s="8" t="s">
        <v>1369</v>
      </c>
      <c r="D90">
        <v>312</v>
      </c>
    </row>
    <row r="107" spans="2:2">
      <c r="B107" t="s">
        <v>28</v>
      </c>
    </row>
    <row r="108" spans="2:2">
      <c r="B108" t="s">
        <v>29</v>
      </c>
    </row>
    <row r="109" spans="2:2">
      <c r="B109" t="s">
        <v>30</v>
      </c>
    </row>
    <row r="110" spans="2:2">
      <c r="B110" t="s">
        <v>31</v>
      </c>
    </row>
    <row r="111" spans="2:2">
      <c r="B111" t="s">
        <v>32</v>
      </c>
    </row>
    <row r="115" spans="2:2">
      <c r="B115">
        <v>1</v>
      </c>
    </row>
    <row r="117" spans="3:4">
      <c r="C117" t="s">
        <v>1367</v>
      </c>
      <c r="D117" t="s">
        <v>1368</v>
      </c>
    </row>
    <row r="118" spans="3:4">
      <c r="C118" s="8" t="s">
        <v>63</v>
      </c>
      <c r="D118">
        <v>49136</v>
      </c>
    </row>
    <row r="119" spans="3:4">
      <c r="C119" s="8" t="s">
        <v>52</v>
      </c>
      <c r="D119">
        <v>609040</v>
      </c>
    </row>
    <row r="120" spans="3:4">
      <c r="C120" s="8" t="s">
        <v>44</v>
      </c>
      <c r="D120">
        <v>305520</v>
      </c>
    </row>
    <row r="121" spans="3:4">
      <c r="C121" s="8" t="s">
        <v>67</v>
      </c>
      <c r="D121">
        <v>460050</v>
      </c>
    </row>
    <row r="122" spans="3:4">
      <c r="C122" s="8" t="s">
        <v>48</v>
      </c>
      <c r="D122">
        <v>160720</v>
      </c>
    </row>
    <row r="123" spans="3:4">
      <c r="C123" s="8" t="s">
        <v>1369</v>
      </c>
      <c r="D123">
        <v>1584466</v>
      </c>
    </row>
    <row r="129" spans="3:3">
      <c r="C129">
        <v>2</v>
      </c>
    </row>
    <row r="130" spans="3:4">
      <c r="C130" t="s">
        <v>1367</v>
      </c>
      <c r="D130" t="s">
        <v>1368</v>
      </c>
    </row>
    <row r="131" spans="3:4">
      <c r="C131" s="8" t="s">
        <v>64</v>
      </c>
      <c r="D131">
        <v>306530</v>
      </c>
    </row>
    <row r="132" spans="3:4">
      <c r="C132" s="8" t="s">
        <v>45</v>
      </c>
      <c r="D132">
        <v>319900</v>
      </c>
    </row>
    <row r="133" spans="3:4">
      <c r="C133" s="8" t="s">
        <v>57</v>
      </c>
      <c r="D133">
        <v>307656</v>
      </c>
    </row>
    <row r="134" spans="3:4">
      <c r="C134" s="8" t="s">
        <v>49</v>
      </c>
      <c r="D134">
        <v>320898</v>
      </c>
    </row>
    <row r="135" spans="3:4">
      <c r="C135" s="8" t="s">
        <v>60</v>
      </c>
      <c r="D135">
        <v>329482</v>
      </c>
    </row>
    <row r="136" spans="3:4">
      <c r="C136" s="8" t="s">
        <v>1369</v>
      </c>
      <c r="D136">
        <v>1584466</v>
      </c>
    </row>
    <row r="146" spans="2:2">
      <c r="B146" t="s">
        <v>1373</v>
      </c>
    </row>
    <row r="147" spans="2:2">
      <c r="B147" s="9"/>
    </row>
    <row r="148" spans="2:6">
      <c r="B148" s="10" t="s">
        <v>1374</v>
      </c>
      <c r="E148" t="s">
        <v>1367</v>
      </c>
      <c r="F148" t="s">
        <v>1375</v>
      </c>
    </row>
    <row r="149" spans="2:6">
      <c r="B149" s="9"/>
      <c r="E149" s="11">
        <v>43282</v>
      </c>
      <c r="F149">
        <v>3748</v>
      </c>
    </row>
    <row r="150" spans="2:6">
      <c r="B150" s="9"/>
      <c r="E150" s="11">
        <v>43283</v>
      </c>
      <c r="F150">
        <v>2786</v>
      </c>
    </row>
    <row r="151" spans="2:6">
      <c r="B151" s="12"/>
      <c r="E151" s="11">
        <v>43284</v>
      </c>
      <c r="F151">
        <v>3212</v>
      </c>
    </row>
    <row r="152" spans="2:6">
      <c r="B152" s="12" t="s">
        <v>1376</v>
      </c>
      <c r="E152" s="11">
        <v>43285</v>
      </c>
      <c r="F152">
        <v>3518</v>
      </c>
    </row>
    <row r="153" spans="2:6">
      <c r="B153" s="12"/>
      <c r="E153" s="11">
        <v>43286</v>
      </c>
      <c r="F153">
        <v>4606</v>
      </c>
    </row>
    <row r="154" spans="2:6">
      <c r="B154" s="12" t="s">
        <v>1377</v>
      </c>
      <c r="E154" s="11">
        <v>43287</v>
      </c>
      <c r="F154">
        <v>4808</v>
      </c>
    </row>
    <row r="155" spans="2:6">
      <c r="B155" s="9"/>
      <c r="E155" s="11">
        <v>43288</v>
      </c>
      <c r="F155">
        <v>5530</v>
      </c>
    </row>
    <row r="156" spans="2:6">
      <c r="B156" s="10"/>
      <c r="E156" s="11">
        <v>43289</v>
      </c>
      <c r="F156">
        <v>4846</v>
      </c>
    </row>
    <row r="157" spans="2:6">
      <c r="B157" s="9"/>
      <c r="E157" s="11">
        <v>43290</v>
      </c>
      <c r="F157">
        <v>3158</v>
      </c>
    </row>
    <row r="158" spans="2:6">
      <c r="B158" s="9"/>
      <c r="E158" s="11">
        <v>43291</v>
      </c>
      <c r="F158">
        <v>4648</v>
      </c>
    </row>
    <row r="159" spans="2:6">
      <c r="B159" s="12"/>
      <c r="E159" s="11">
        <v>43292</v>
      </c>
      <c r="F159">
        <v>3696</v>
      </c>
    </row>
    <row r="160" spans="2:6">
      <c r="B160" s="12"/>
      <c r="E160" s="11">
        <v>43293</v>
      </c>
      <c r="F160">
        <v>3072</v>
      </c>
    </row>
    <row r="161" spans="2:6">
      <c r="B161" s="12"/>
      <c r="E161" s="11">
        <v>43294</v>
      </c>
      <c r="F161">
        <v>4322</v>
      </c>
    </row>
    <row r="162" spans="2:6">
      <c r="B162" s="12"/>
      <c r="E162" s="11">
        <v>43295</v>
      </c>
      <c r="F162">
        <v>4856</v>
      </c>
    </row>
    <row r="163" spans="2:6">
      <c r="B163" s="9"/>
      <c r="E163" s="11">
        <v>43296</v>
      </c>
      <c r="F163">
        <v>3736</v>
      </c>
    </row>
    <row r="164" spans="2:6">
      <c r="B164" s="10"/>
      <c r="E164" s="11">
        <v>43297</v>
      </c>
      <c r="F164">
        <v>4598</v>
      </c>
    </row>
    <row r="165" spans="2:6">
      <c r="B165" s="9"/>
      <c r="E165" s="11">
        <v>43298</v>
      </c>
      <c r="F165">
        <v>3460</v>
      </c>
    </row>
    <row r="166" spans="2:6">
      <c r="B166" s="9"/>
      <c r="E166" s="11">
        <v>43299</v>
      </c>
      <c r="F166">
        <v>3734</v>
      </c>
    </row>
    <row r="167" spans="2:6">
      <c r="B167" s="12"/>
      <c r="E167" s="11">
        <v>43300</v>
      </c>
      <c r="F167">
        <v>4758</v>
      </c>
    </row>
    <row r="168" spans="2:6">
      <c r="B168" s="12"/>
      <c r="E168" s="11">
        <v>43301</v>
      </c>
      <c r="F168">
        <v>4346</v>
      </c>
    </row>
    <row r="169" spans="2:6">
      <c r="B169" s="12"/>
      <c r="E169" s="11">
        <v>43302</v>
      </c>
      <c r="F169">
        <v>4552</v>
      </c>
    </row>
    <row r="170" spans="2:6">
      <c r="B170" s="12"/>
      <c r="E170" s="11">
        <v>43303</v>
      </c>
      <c r="F170">
        <v>3004</v>
      </c>
    </row>
    <row r="171" spans="5:6">
      <c r="E171" s="11">
        <v>43304</v>
      </c>
      <c r="F171">
        <v>3764</v>
      </c>
    </row>
    <row r="172" spans="5:6">
      <c r="E172" s="11">
        <v>43305</v>
      </c>
      <c r="F172">
        <v>5120</v>
      </c>
    </row>
    <row r="173" spans="5:6">
      <c r="E173" s="11">
        <v>43306</v>
      </c>
      <c r="F173">
        <v>4770</v>
      </c>
    </row>
    <row r="174" spans="5:6">
      <c r="E174" s="11">
        <v>43307</v>
      </c>
      <c r="F174">
        <v>4300</v>
      </c>
    </row>
    <row r="175" spans="5:6">
      <c r="E175" s="11">
        <v>43308</v>
      </c>
      <c r="F175">
        <v>5628</v>
      </c>
    </row>
    <row r="176" spans="5:6">
      <c r="E176" s="11">
        <v>43309</v>
      </c>
      <c r="F176">
        <v>4218</v>
      </c>
    </row>
    <row r="177" spans="5:6">
      <c r="E177" s="11">
        <v>43310</v>
      </c>
      <c r="F177">
        <v>4314</v>
      </c>
    </row>
    <row r="178" spans="5:6">
      <c r="E178" s="11">
        <v>43311</v>
      </c>
      <c r="F178">
        <v>3152</v>
      </c>
    </row>
    <row r="179" spans="5:6">
      <c r="E179" s="11">
        <v>43312</v>
      </c>
      <c r="F179">
        <v>2660</v>
      </c>
    </row>
    <row r="180" spans="5:6">
      <c r="E180" s="8" t="s">
        <v>1369</v>
      </c>
      <c r="F180">
        <v>126920</v>
      </c>
    </row>
    <row r="184" spans="2:2">
      <c r="B184" s="10" t="s">
        <v>1378</v>
      </c>
    </row>
    <row r="185" spans="2:2">
      <c r="B185" s="9"/>
    </row>
    <row r="186" spans="2:7">
      <c r="B186" s="9"/>
      <c r="F186" t="s">
        <v>1367</v>
      </c>
      <c r="G186" t="s">
        <v>1379</v>
      </c>
    </row>
    <row r="187" spans="2:7">
      <c r="B187" s="12"/>
      <c r="F187" s="8" t="s">
        <v>61</v>
      </c>
      <c r="G187">
        <v>1276</v>
      </c>
    </row>
    <row r="188" spans="2:7">
      <c r="B188" s="12" t="s">
        <v>1380</v>
      </c>
      <c r="F188" s="8" t="s">
        <v>55</v>
      </c>
      <c r="G188">
        <v>1433</v>
      </c>
    </row>
    <row r="189" spans="2:7">
      <c r="B189" s="12"/>
      <c r="F189" s="8" t="s">
        <v>65</v>
      </c>
      <c r="G189">
        <v>1577</v>
      </c>
    </row>
    <row r="190" spans="2:7">
      <c r="B190" s="12" t="s">
        <v>1381</v>
      </c>
      <c r="F190" s="8" t="s">
        <v>70</v>
      </c>
      <c r="G190">
        <v>2036</v>
      </c>
    </row>
    <row r="191" spans="2:7">
      <c r="B191" s="9"/>
      <c r="F191" s="8" t="s">
        <v>74</v>
      </c>
      <c r="G191">
        <v>887</v>
      </c>
    </row>
    <row r="192" spans="2:7">
      <c r="B192" s="10"/>
      <c r="F192" s="8" t="s">
        <v>72</v>
      </c>
      <c r="G192">
        <v>1535</v>
      </c>
    </row>
    <row r="193" spans="2:7">
      <c r="B193" s="9"/>
      <c r="F193" s="8" t="s">
        <v>68</v>
      </c>
      <c r="G193">
        <v>1461</v>
      </c>
    </row>
    <row r="194" spans="2:7">
      <c r="B194" s="9"/>
      <c r="F194" s="8" t="s">
        <v>76</v>
      </c>
      <c r="G194">
        <v>865</v>
      </c>
    </row>
    <row r="195" spans="2:7">
      <c r="B195" s="12"/>
      <c r="F195" s="8" t="s">
        <v>53</v>
      </c>
      <c r="G195">
        <v>2018</v>
      </c>
    </row>
    <row r="196" spans="2:7">
      <c r="B196" s="12"/>
      <c r="F196" s="8" t="s">
        <v>46</v>
      </c>
      <c r="G196">
        <v>953</v>
      </c>
    </row>
    <row r="197" spans="2:7">
      <c r="B197" s="12"/>
      <c r="F197" s="8" t="s">
        <v>50</v>
      </c>
      <c r="G197">
        <v>1253</v>
      </c>
    </row>
    <row r="198" spans="2:7">
      <c r="B198" s="12"/>
      <c r="F198" s="8" t="s">
        <v>58</v>
      </c>
      <c r="G198">
        <v>1344</v>
      </c>
    </row>
    <row r="199" spans="6:7">
      <c r="F199" s="8" t="s">
        <v>1369</v>
      </c>
      <c r="G199">
        <v>16638</v>
      </c>
    </row>
    <row r="208" spans="2:2">
      <c r="B208" s="10" t="s">
        <v>1382</v>
      </c>
    </row>
    <row r="209" spans="2:6">
      <c r="B209" s="9"/>
      <c r="E209" t="s">
        <v>1367</v>
      </c>
      <c r="F209" t="s">
        <v>1375</v>
      </c>
    </row>
    <row r="210" spans="2:6">
      <c r="B210" s="9"/>
      <c r="E210" s="8" t="s">
        <v>64</v>
      </c>
      <c r="F210">
        <v>22462</v>
      </c>
    </row>
    <row r="211" spans="2:6">
      <c r="B211" s="12"/>
      <c r="E211" s="8" t="s">
        <v>45</v>
      </c>
      <c r="F211">
        <v>26956</v>
      </c>
    </row>
    <row r="212" spans="2:6">
      <c r="B212" s="12" t="s">
        <v>1383</v>
      </c>
      <c r="E212" s="8" t="s">
        <v>57</v>
      </c>
      <c r="F212">
        <v>25822</v>
      </c>
    </row>
    <row r="213" spans="2:6">
      <c r="B213" s="12"/>
      <c r="E213" s="8" t="s">
        <v>49</v>
      </c>
      <c r="F213">
        <v>24780</v>
      </c>
    </row>
    <row r="214" spans="2:6">
      <c r="B214" s="12" t="s">
        <v>1384</v>
      </c>
      <c r="E214" s="8" t="s">
        <v>60</v>
      </c>
      <c r="F214">
        <v>26900</v>
      </c>
    </row>
    <row r="215" spans="5:6">
      <c r="E215" s="8" t="s">
        <v>1369</v>
      </c>
      <c r="F215">
        <v>126920</v>
      </c>
    </row>
    <row r="229" spans="6:7">
      <c r="F229" t="s">
        <v>1367</v>
      </c>
      <c r="G229" t="s">
        <v>1385</v>
      </c>
    </row>
    <row r="230" spans="6:7">
      <c r="F230" s="8" t="s">
        <v>64</v>
      </c>
      <c r="G230">
        <v>13.9844357976654</v>
      </c>
    </row>
    <row r="231" spans="6:7">
      <c r="F231" s="8" t="s">
        <v>45</v>
      </c>
      <c r="G231">
        <v>12.9819494584838</v>
      </c>
    </row>
    <row r="232" spans="6:7">
      <c r="F232" s="8" t="s">
        <v>57</v>
      </c>
      <c r="G232">
        <v>11.3657587548638</v>
      </c>
    </row>
    <row r="233" spans="6:7">
      <c r="F233" s="8" t="s">
        <v>49</v>
      </c>
      <c r="G233">
        <v>12.6875</v>
      </c>
    </row>
    <row r="234" spans="6:7">
      <c r="F234" s="8" t="s">
        <v>60</v>
      </c>
      <c r="G234">
        <v>12.9442379182156</v>
      </c>
    </row>
    <row r="235" spans="6:7">
      <c r="F235" s="8" t="s">
        <v>1369</v>
      </c>
      <c r="G235">
        <v>12.7984615384615</v>
      </c>
    </row>
  </sheetData>
  <pageMargins left="0.7" right="0.7" top="0.75" bottom="0.75" header="0.3" footer="0.3"/>
  <headerFooter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1:AH15"/>
  <sheetViews>
    <sheetView showGridLines="0" zoomScale="70" zoomScaleNormal="70" workbookViewId="0">
      <selection activeCell="P21" sqref="P21"/>
    </sheetView>
  </sheetViews>
  <sheetFormatPr defaultColWidth="9" defaultRowHeight="14.4"/>
  <cols>
    <col min="1" max="1" width="8.88888888888889" style="1"/>
    <col min="2" max="10" width="8.88888888888889" style="2"/>
    <col min="11" max="11" width="9" style="2" customWidth="1"/>
    <col min="12" max="12" width="12.3333333333333" style="2" customWidth="1"/>
    <col min="13" max="13" width="8.88888888888889" style="2"/>
    <col min="14" max="14" width="12.3333333333333" style="2" customWidth="1"/>
    <col min="15" max="32" width="8.88888888888889" style="2"/>
    <col min="33" max="34" width="8.88888888888889" style="3"/>
    <col min="35" max="16384" width="8.88888888888889" style="2"/>
  </cols>
  <sheetData>
    <row r="1" s="1" customFormat="1"/>
    <row r="2" s="1" customFormat="1" ht="33.6" spans="13:34">
      <c r="M2" s="4"/>
      <c r="N2" s="5" t="s">
        <v>1386</v>
      </c>
      <c r="O2" s="4"/>
      <c r="P2" s="4"/>
      <c r="Q2" s="4"/>
      <c r="AG2" s="3"/>
      <c r="AH2" s="3"/>
    </row>
    <row r="3" s="1" customFormat="1" spans="33:34">
      <c r="AG3" s="3"/>
      <c r="AH3" s="3"/>
    </row>
    <row r="5" ht="18" spans="11:15">
      <c r="K5" s="6" t="s">
        <v>40</v>
      </c>
      <c r="L5" s="6"/>
      <c r="M5" s="7"/>
      <c r="N5" s="6" t="s">
        <v>1387</v>
      </c>
      <c r="O5" s="6"/>
    </row>
    <row r="6" ht="18" spans="11:15">
      <c r="K6" s="6">
        <f>KPI!E4</f>
        <v>1300</v>
      </c>
      <c r="L6" s="6"/>
      <c r="M6" s="7"/>
      <c r="N6" s="6">
        <f>KPI!E7</f>
        <v>126920</v>
      </c>
      <c r="O6" s="6"/>
    </row>
    <row r="7" ht="18" spans="11:15">
      <c r="K7" s="7"/>
      <c r="L7" s="7"/>
      <c r="M7" s="7"/>
      <c r="N7" s="7"/>
      <c r="O7" s="7"/>
    </row>
    <row r="8" ht="18" spans="11:15">
      <c r="K8" s="7"/>
      <c r="L8" s="7"/>
      <c r="M8" s="7"/>
      <c r="N8" s="7"/>
      <c r="O8" s="7"/>
    </row>
    <row r="9" ht="18" spans="11:15">
      <c r="K9" s="6" t="s">
        <v>1388</v>
      </c>
      <c r="L9" s="6"/>
      <c r="M9" s="7"/>
      <c r="N9" s="6" t="s">
        <v>41</v>
      </c>
      <c r="O9" s="6"/>
    </row>
    <row r="10" ht="18" spans="11:15">
      <c r="K10" s="6">
        <f>KPI!E5</f>
        <v>16638</v>
      </c>
      <c r="L10" s="6"/>
      <c r="M10" s="7"/>
      <c r="N10" s="6">
        <f>KPI!E6</f>
        <v>79.8300000000003</v>
      </c>
      <c r="O10" s="6"/>
    </row>
    <row r="11" ht="18" spans="11:15">
      <c r="K11" s="7"/>
      <c r="L11" s="7"/>
      <c r="M11" s="7"/>
      <c r="N11" s="7"/>
      <c r="O11" s="7"/>
    </row>
    <row r="12" ht="18" spans="11:15">
      <c r="K12" s="7"/>
      <c r="L12" s="7"/>
      <c r="M12" s="7"/>
      <c r="N12" s="7"/>
      <c r="O12" s="7"/>
    </row>
    <row r="14" ht="18" spans="12:14">
      <c r="L14" s="6" t="s">
        <v>42</v>
      </c>
      <c r="M14" s="6"/>
      <c r="N14" s="6"/>
    </row>
    <row r="15" ht="18" spans="12:14">
      <c r="L15" s="6">
        <f>KPI!E8</f>
        <v>1484332.56</v>
      </c>
      <c r="M15" s="6"/>
      <c r="N15" s="6"/>
    </row>
  </sheetData>
  <mergeCells count="10">
    <mergeCell ref="K5:L5"/>
    <mergeCell ref="N5:O5"/>
    <mergeCell ref="K6:L6"/>
    <mergeCell ref="N6:O6"/>
    <mergeCell ref="K9:L9"/>
    <mergeCell ref="N9:O9"/>
    <mergeCell ref="K10:L10"/>
    <mergeCell ref="N10:O10"/>
    <mergeCell ref="L14:N14"/>
    <mergeCell ref="L15:N15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0D1CF4-FD91-4CE3-AD80-03EA9542D4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Report</vt:lpstr>
      <vt:lpstr>Data3</vt:lpstr>
      <vt:lpstr>Sales raw Data</vt:lpstr>
      <vt:lpstr>KPI</vt:lpstr>
      <vt:lpstr>Chart s and Slicers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Kanhe</dc:creator>
  <cp:lastModifiedBy>Rani Kanhe</cp:lastModifiedBy>
  <dcterms:created xsi:type="dcterms:W3CDTF">2025-10-12T10:14:00Z</dcterms:created>
  <dcterms:modified xsi:type="dcterms:W3CDTF">2025-12-27T07:01:53Z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6F476E1C65FF4C52A0A839834A7DD738_12</vt:lpwstr>
  </property>
  <property fmtid="{D5CDD505-2E9C-101B-9397-08002B2CF9AE}" pid="3" name="KSOProductBuildVer">
    <vt:lpwstr>1033-12.2.0.23196</vt:lpwstr>
  </property>
</Properties>
</file>
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activeTab="5"/>
  </bookViews>
  <sheets>
    <sheet name="Report" sheetId="1" r:id="rId1"/>
    <sheet name="Raw Data" sheetId="3" r:id="rId2"/>
    <sheet name=" Data" sheetId="2" r:id="rId3"/>
    <sheet name="KPI" sheetId="4" r:id="rId4"/>
    <sheet name="Chart s and Slicers" sheetId="5" r:id="rId5"/>
    <sheet name="Dashboard" sheetId="7" r:id="rId6"/>
  </sheets>
  <definedNames>
    <definedName name="Slicer_Department">#N/A</definedName>
    <definedName name="Slicer_Gender">#N/A</definedName>
    <definedName name="ExternalData_1" localSheetId="1" hidden="1">'Raw Data'!$A$1:$O$1001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<sst xmlns="http://schemas.openxmlformats.org/spreadsheetml/2006/main" count="15090" uniqueCount="1167">
  <si>
    <t xml:space="preserve">Extract data from excel </t>
  </si>
  <si>
    <t xml:space="preserve">Transformation </t>
  </si>
  <si>
    <t>A</t>
  </si>
  <si>
    <t>Cleaning</t>
  </si>
  <si>
    <t xml:space="preserve">1= Errors </t>
  </si>
  <si>
    <t>2= Blank rows</t>
  </si>
  <si>
    <t>3=Duplicates</t>
  </si>
  <si>
    <t>4=Identify PK</t>
  </si>
  <si>
    <t xml:space="preserve">Employee id </t>
  </si>
  <si>
    <t>5=Data Type</t>
  </si>
  <si>
    <t xml:space="preserve">6= Identify Null Values in Each col </t>
  </si>
  <si>
    <t>Exit Date</t>
  </si>
  <si>
    <t>B</t>
  </si>
  <si>
    <t xml:space="preserve">Transformation / Col Adding / Data wrangling </t>
  </si>
  <si>
    <t>1= Add PK (Employee ID)</t>
  </si>
  <si>
    <t>2= Add 0 in null records (Exit Date)</t>
  </si>
  <si>
    <t>3= Total Annual Salary = (Annual Salary * Bonus ) + Annual Salary</t>
  </si>
  <si>
    <t>4= Add exit Status Col (0 for not left , 1 for left)</t>
  </si>
  <si>
    <t>5= Add Age Group(10-25,25,35………)</t>
  </si>
  <si>
    <t>Load</t>
  </si>
  <si>
    <t>Ask Questions '</t>
  </si>
  <si>
    <t>KPI</t>
  </si>
  <si>
    <t xml:space="preserve">Key Performace Indicator </t>
  </si>
  <si>
    <t>Slicers</t>
  </si>
  <si>
    <t>1= Total Employee</t>
  </si>
  <si>
    <t>1=Gender</t>
  </si>
  <si>
    <t xml:space="preserve">2= Total Salary </t>
  </si>
  <si>
    <t>2=Department</t>
  </si>
  <si>
    <t>3= Total Left Employees</t>
  </si>
  <si>
    <t xml:space="preserve">4= Total City </t>
  </si>
  <si>
    <t>5=Active Employees</t>
  </si>
  <si>
    <t xml:space="preserve">Charts </t>
  </si>
  <si>
    <t xml:space="preserve">Pivot table </t>
  </si>
  <si>
    <t>1=Dept wise sum of Salary</t>
  </si>
  <si>
    <t xml:space="preserve">2=Count of Emp by age Group </t>
  </si>
  <si>
    <t>3=Count of emp by Business Unit</t>
  </si>
  <si>
    <t>4=Count of Eep by count</t>
  </si>
  <si>
    <t>5=avg Bonus by Department</t>
  </si>
  <si>
    <t>6=Emp hired by per year</t>
  </si>
  <si>
    <t>7=Emp left per year</t>
  </si>
  <si>
    <t>Employee ID</t>
  </si>
  <si>
    <t>Job Title</t>
  </si>
  <si>
    <t>Department</t>
  </si>
  <si>
    <t>Business Unit</t>
  </si>
  <si>
    <t>Gender</t>
  </si>
  <si>
    <t>Age</t>
  </si>
  <si>
    <t>Age group</t>
  </si>
  <si>
    <t>Hire Date</t>
  </si>
  <si>
    <t>Annual Salary</t>
  </si>
  <si>
    <t>Bonus %</t>
  </si>
  <si>
    <t>Total Annual Salary</t>
  </si>
  <si>
    <t>Country</t>
  </si>
  <si>
    <t>City</t>
  </si>
  <si>
    <t>Exit status</t>
  </si>
  <si>
    <t>Employee Id=101</t>
  </si>
  <si>
    <t>Sr. Manger</t>
  </si>
  <si>
    <t>IT</t>
  </si>
  <si>
    <t>Research &amp; Development</t>
  </si>
  <si>
    <t>Female</t>
  </si>
  <si>
    <t>55-65</t>
  </si>
  <si>
    <t>United States</t>
  </si>
  <si>
    <t>Seattle</t>
  </si>
  <si>
    <t>Employee Id=102</t>
  </si>
  <si>
    <t>Technical Architect</t>
  </si>
  <si>
    <t>Manufacturing</t>
  </si>
  <si>
    <t>Male</t>
  </si>
  <si>
    <t>China</t>
  </si>
  <si>
    <t>Chongqing</t>
  </si>
  <si>
    <t>Employee Id=103</t>
  </si>
  <si>
    <t>Director</t>
  </si>
  <si>
    <t>Finance</t>
  </si>
  <si>
    <t>Speciality Products</t>
  </si>
  <si>
    <t>45-55</t>
  </si>
  <si>
    <t>Chicago</t>
  </si>
  <si>
    <t>Employee Id=104</t>
  </si>
  <si>
    <t>Computer Systems Manager</t>
  </si>
  <si>
    <t>25-35</t>
  </si>
  <si>
    <t>Employee Id=105</t>
  </si>
  <si>
    <t>Sr. Analyst</t>
  </si>
  <si>
    <t>Phoenix</t>
  </si>
  <si>
    <t>Employee Id=106</t>
  </si>
  <si>
    <t>Account Representative</t>
  </si>
  <si>
    <t>Sales</t>
  </si>
  <si>
    <t>Corporate</t>
  </si>
  <si>
    <t>Employee Id=107</t>
  </si>
  <si>
    <t>Manager</t>
  </si>
  <si>
    <t>Employee Id=108</t>
  </si>
  <si>
    <t>Analyst</t>
  </si>
  <si>
    <t>Miami</t>
  </si>
  <si>
    <t>Employee Id=109</t>
  </si>
  <si>
    <t>Accounting</t>
  </si>
  <si>
    <t>Austin</t>
  </si>
  <si>
    <t>Employee Id=110</t>
  </si>
  <si>
    <t>Employee Id=111</t>
  </si>
  <si>
    <t>Human Resources</t>
  </si>
  <si>
    <t>35-45</t>
  </si>
  <si>
    <t>Employee Id=112</t>
  </si>
  <si>
    <t>Controls Engineer</t>
  </si>
  <si>
    <t>Engineering</t>
  </si>
  <si>
    <t>Employee Id=113</t>
  </si>
  <si>
    <t>Employee Id=114</t>
  </si>
  <si>
    <t>Shanghai</t>
  </si>
  <si>
    <t>Employee Id=115</t>
  </si>
  <si>
    <t>Employee Id=116</t>
  </si>
  <si>
    <t>Vice President</t>
  </si>
  <si>
    <t>Marketing</t>
  </si>
  <si>
    <t>Employee Id=117</t>
  </si>
  <si>
    <t>65-100</t>
  </si>
  <si>
    <t>Employee Id=118</t>
  </si>
  <si>
    <t>Employee Id=119</t>
  </si>
  <si>
    <t>Columbus</t>
  </si>
  <si>
    <t>Employee Id=120</t>
  </si>
  <si>
    <t>Employee Id=121</t>
  </si>
  <si>
    <t>Brazil</t>
  </si>
  <si>
    <t>Manaus</t>
  </si>
  <si>
    <t>Employee Id=122</t>
  </si>
  <si>
    <t>Employee Id=123</t>
  </si>
  <si>
    <t>Rio de Janerio</t>
  </si>
  <si>
    <t>Employee Id=124</t>
  </si>
  <si>
    <t>Employee Id=125</t>
  </si>
  <si>
    <t>Employee Id=126</t>
  </si>
  <si>
    <t>Employee Id=127</t>
  </si>
  <si>
    <t>Quality Engineer</t>
  </si>
  <si>
    <t>Employee Id=128</t>
  </si>
  <si>
    <t>Employee Id=129</t>
  </si>
  <si>
    <t>Engineering Manager</t>
  </si>
  <si>
    <t>Beijing</t>
  </si>
  <si>
    <t>Employee Id=130</t>
  </si>
  <si>
    <t>Employee Id=131</t>
  </si>
  <si>
    <t>IT Coordinator</t>
  </si>
  <si>
    <t>Employee Id=132</t>
  </si>
  <si>
    <t>Employee Id=133</t>
  </si>
  <si>
    <t>Analyst II</t>
  </si>
  <si>
    <t>Employee Id=134</t>
  </si>
  <si>
    <t>Employee Id=135</t>
  </si>
  <si>
    <t>Employee Id=136</t>
  </si>
  <si>
    <t>Enterprise Architect</t>
  </si>
  <si>
    <t>Employee Id=137</t>
  </si>
  <si>
    <t>Chengdu</t>
  </si>
  <si>
    <t>Employee Id=138</t>
  </si>
  <si>
    <t>Employee Id=139</t>
  </si>
  <si>
    <t>Employee Id=140</t>
  </si>
  <si>
    <t>Employee Id=141</t>
  </si>
  <si>
    <t>Sr. Business Partner</t>
  </si>
  <si>
    <t>Employee Id=142</t>
  </si>
  <si>
    <t>Employee Id=143</t>
  </si>
  <si>
    <t>Employee Id=144</t>
  </si>
  <si>
    <t>Employee Id=145</t>
  </si>
  <si>
    <t>Employee Id=146</t>
  </si>
  <si>
    <t>Employee Id=147</t>
  </si>
  <si>
    <t>Employee Id=148</t>
  </si>
  <si>
    <t>Employee Id=149</t>
  </si>
  <si>
    <t>Employee Id=150</t>
  </si>
  <si>
    <t>Employee Id=151</t>
  </si>
  <si>
    <t>HRIS Analyst</t>
  </si>
  <si>
    <t>Employee Id=152</t>
  </si>
  <si>
    <t>Employee Id=153</t>
  </si>
  <si>
    <t>Employee Id=154</t>
  </si>
  <si>
    <t>Employee Id=155</t>
  </si>
  <si>
    <t>Employee Id=156</t>
  </si>
  <si>
    <t>Field Engineer</t>
  </si>
  <si>
    <t>Employee Id=157</t>
  </si>
  <si>
    <t>Automation Engineer</t>
  </si>
  <si>
    <t>Employee Id=158</t>
  </si>
  <si>
    <t>Operations Engineer</t>
  </si>
  <si>
    <t>Employee Id=159</t>
  </si>
  <si>
    <t>Business Partner</t>
  </si>
  <si>
    <t>Employee Id=160</t>
  </si>
  <si>
    <t>Employee Id=161</t>
  </si>
  <si>
    <t>Employee Id=162</t>
  </si>
  <si>
    <t>Employee Id=163</t>
  </si>
  <si>
    <t>Employee Id=164</t>
  </si>
  <si>
    <t>Employee Id=165</t>
  </si>
  <si>
    <t>Employee Id=166</t>
  </si>
  <si>
    <t>Employee Id=167</t>
  </si>
  <si>
    <t>Employee Id=168</t>
  </si>
  <si>
    <t>Employee Id=169</t>
  </si>
  <si>
    <t>Employee Id=170</t>
  </si>
  <si>
    <t>Cloud Infrastructure Architect</t>
  </si>
  <si>
    <t>Employee Id=171</t>
  </si>
  <si>
    <t>Employee Id=172</t>
  </si>
  <si>
    <t>Employee Id=173</t>
  </si>
  <si>
    <t>Employee Id=174</t>
  </si>
  <si>
    <t>Employee Id=175</t>
  </si>
  <si>
    <t>Sao Paulo</t>
  </si>
  <si>
    <t>Employee Id=176</t>
  </si>
  <si>
    <t>Employee Id=177</t>
  </si>
  <si>
    <t>Test Engineer</t>
  </si>
  <si>
    <t>Employee Id=178</t>
  </si>
  <si>
    <t>Employee Id=179</t>
  </si>
  <si>
    <t>Employee Id=180</t>
  </si>
  <si>
    <t>Employee Id=181</t>
  </si>
  <si>
    <t>Employee Id=182</t>
  </si>
  <si>
    <t>Employee Id=183</t>
  </si>
  <si>
    <t>Employee Id=184</t>
  </si>
  <si>
    <t>Employee Id=185</t>
  </si>
  <si>
    <t>Employee Id=186</t>
  </si>
  <si>
    <t>Employee Id=187</t>
  </si>
  <si>
    <t>Employee Id=188</t>
  </si>
  <si>
    <t>Employee Id=189</t>
  </si>
  <si>
    <t>Network Architect</t>
  </si>
  <si>
    <t>Employee Id=190</t>
  </si>
  <si>
    <t>Network Engineer</t>
  </si>
  <si>
    <t>Employee Id=191</t>
  </si>
  <si>
    <t>Employee Id=192</t>
  </si>
  <si>
    <t>Employee Id=193</t>
  </si>
  <si>
    <t>Employee Id=194</t>
  </si>
  <si>
    <t>Employee Id=195</t>
  </si>
  <si>
    <t>Employee Id=196</t>
  </si>
  <si>
    <t>Employee Id=197</t>
  </si>
  <si>
    <t>Employee Id=198</t>
  </si>
  <si>
    <t>Employee Id=199</t>
  </si>
  <si>
    <t>Employee Id=200</t>
  </si>
  <si>
    <t>Employee Id=201</t>
  </si>
  <si>
    <t>Employee Id=202</t>
  </si>
  <si>
    <t>Employee Id=203</t>
  </si>
  <si>
    <t>Development Engineer</t>
  </si>
  <si>
    <t>Employee Id=204</t>
  </si>
  <si>
    <t>Employee Id=205</t>
  </si>
  <si>
    <t>Employee Id=206</t>
  </si>
  <si>
    <t>Employee Id=207</t>
  </si>
  <si>
    <t>Employee Id=208</t>
  </si>
  <si>
    <t>Employee Id=209</t>
  </si>
  <si>
    <t>Employee Id=210</t>
  </si>
  <si>
    <t>Employee Id=211</t>
  </si>
  <si>
    <t>Sr. Account Representative</t>
  </si>
  <si>
    <t>Employee Id=212</t>
  </si>
  <si>
    <t>Employee Id=213</t>
  </si>
  <si>
    <t>System Administrator </t>
  </si>
  <si>
    <t>Employee Id=214</t>
  </si>
  <si>
    <t>Employee Id=215</t>
  </si>
  <si>
    <t>Employee Id=216</t>
  </si>
  <si>
    <t>Employee Id=217</t>
  </si>
  <si>
    <t>Employee Id=218</t>
  </si>
  <si>
    <t>Employee Id=219</t>
  </si>
  <si>
    <t>Employee Id=220</t>
  </si>
  <si>
    <t>Employee Id=221</t>
  </si>
  <si>
    <t>Employee Id=222</t>
  </si>
  <si>
    <t>Employee Id=223</t>
  </si>
  <si>
    <t>Employee Id=224</t>
  </si>
  <si>
    <t>Employee Id=225</t>
  </si>
  <si>
    <t>Employee Id=226</t>
  </si>
  <si>
    <t>Employee Id=227</t>
  </si>
  <si>
    <t>Employee Id=228</t>
  </si>
  <si>
    <t>Systems Analyst</t>
  </si>
  <si>
    <t>Employee Id=229</t>
  </si>
  <si>
    <t>Employee Id=230</t>
  </si>
  <si>
    <t>Employee Id=231</t>
  </si>
  <si>
    <t>Employee Id=232</t>
  </si>
  <si>
    <t>Employee Id=233</t>
  </si>
  <si>
    <t>Employee Id=234</t>
  </si>
  <si>
    <t>Employee Id=235</t>
  </si>
  <si>
    <t>Employee Id=236</t>
  </si>
  <si>
    <t>Employee Id=237</t>
  </si>
  <si>
    <t>Employee Id=238</t>
  </si>
  <si>
    <t>Employee Id=239</t>
  </si>
  <si>
    <t>Employee Id=240</t>
  </si>
  <si>
    <t>Employee Id=241</t>
  </si>
  <si>
    <t>Employee Id=242</t>
  </si>
  <si>
    <t>Employee Id=243</t>
  </si>
  <si>
    <t>Employee Id=244</t>
  </si>
  <si>
    <t>Employee Id=245</t>
  </si>
  <si>
    <t>Employee Id=246</t>
  </si>
  <si>
    <t>Employee Id=247</t>
  </si>
  <si>
    <t>Employee Id=248</t>
  </si>
  <si>
    <t>Employee Id=249</t>
  </si>
  <si>
    <t>Solutions Architect</t>
  </si>
  <si>
    <t>Employee Id=250</t>
  </si>
  <si>
    <t>Employee Id=251</t>
  </si>
  <si>
    <t>Employee Id=252</t>
  </si>
  <si>
    <t>Employee Id=253</t>
  </si>
  <si>
    <t>Employee Id=254</t>
  </si>
  <si>
    <t>Employee Id=255</t>
  </si>
  <si>
    <t>Employee Id=256</t>
  </si>
  <si>
    <t>Employee Id=257</t>
  </si>
  <si>
    <t>Employee Id=258</t>
  </si>
  <si>
    <t>Employee Id=259</t>
  </si>
  <si>
    <t>Employee Id=260</t>
  </si>
  <si>
    <t>Employee Id=261</t>
  </si>
  <si>
    <t>Employee Id=262</t>
  </si>
  <si>
    <t>Employee Id=263</t>
  </si>
  <si>
    <t>Employee Id=264</t>
  </si>
  <si>
    <t>Employee Id=265</t>
  </si>
  <si>
    <t>Employee Id=266</t>
  </si>
  <si>
    <t>Employee Id=267</t>
  </si>
  <si>
    <t>Employee Id=268</t>
  </si>
  <si>
    <t>Employee Id=269</t>
  </si>
  <si>
    <t>Employee Id=270</t>
  </si>
  <si>
    <t>Employee Id=271</t>
  </si>
  <si>
    <t>Employee Id=272</t>
  </si>
  <si>
    <t>Employee Id=273</t>
  </si>
  <si>
    <t>Employee Id=274</t>
  </si>
  <si>
    <t>Employee Id=275</t>
  </si>
  <si>
    <t>Employee Id=276</t>
  </si>
  <si>
    <t>Employee Id=277</t>
  </si>
  <si>
    <t>Employee Id=278</t>
  </si>
  <si>
    <t>Employee Id=279</t>
  </si>
  <si>
    <t>Employee Id=280</t>
  </si>
  <si>
    <t>Employee Id=281</t>
  </si>
  <si>
    <t>Employee Id=282</t>
  </si>
  <si>
    <t>Employee Id=283</t>
  </si>
  <si>
    <t>Employee Id=284</t>
  </si>
  <si>
    <t>Employee Id=285</t>
  </si>
  <si>
    <t>IT Systems Architect</t>
  </si>
  <si>
    <t>Employee Id=286</t>
  </si>
  <si>
    <t>Employee Id=287</t>
  </si>
  <si>
    <t>Employee Id=288</t>
  </si>
  <si>
    <t>Employee Id=289</t>
  </si>
  <si>
    <t>Employee Id=290</t>
  </si>
  <si>
    <t>Employee Id=291</t>
  </si>
  <si>
    <t>Employee Id=292</t>
  </si>
  <si>
    <t>Employee Id=293</t>
  </si>
  <si>
    <t>Employee Id=294</t>
  </si>
  <si>
    <t>Employee Id=295</t>
  </si>
  <si>
    <t>Service Desk Analyst</t>
  </si>
  <si>
    <t>Employee Id=296</t>
  </si>
  <si>
    <t>Employee Id=297</t>
  </si>
  <si>
    <t>Employee Id=298</t>
  </si>
  <si>
    <t>Employee Id=299</t>
  </si>
  <si>
    <t>Employee Id=300</t>
  </si>
  <si>
    <t>Employee Id=301</t>
  </si>
  <si>
    <t>Employee Id=302</t>
  </si>
  <si>
    <t>Employee Id=303</t>
  </si>
  <si>
    <t>Employee Id=304</t>
  </si>
  <si>
    <t>Employee Id=305</t>
  </si>
  <si>
    <t>Employee Id=306</t>
  </si>
  <si>
    <t>Network Administrator</t>
  </si>
  <si>
    <t>Employee Id=307</t>
  </si>
  <si>
    <t>Employee Id=308</t>
  </si>
  <si>
    <t>Employee Id=309</t>
  </si>
  <si>
    <t>Employee Id=310</t>
  </si>
  <si>
    <t>Employee Id=311</t>
  </si>
  <si>
    <t>Employee Id=312</t>
  </si>
  <si>
    <t>Employee Id=313</t>
  </si>
  <si>
    <t>Employee Id=314</t>
  </si>
  <si>
    <t>Employee Id=315</t>
  </si>
  <si>
    <t>Employee Id=316</t>
  </si>
  <si>
    <t>Employee Id=317</t>
  </si>
  <si>
    <t>Employee Id=318</t>
  </si>
  <si>
    <t>Employee Id=319</t>
  </si>
  <si>
    <t>Employee Id=320</t>
  </si>
  <si>
    <t>Employee Id=321</t>
  </si>
  <si>
    <t>Employee Id=322</t>
  </si>
  <si>
    <t>Employee Id=323</t>
  </si>
  <si>
    <t>Employee Id=324</t>
  </si>
  <si>
    <t>Employee Id=325</t>
  </si>
  <si>
    <t>Employee Id=326</t>
  </si>
  <si>
    <t>Employee Id=327</t>
  </si>
  <si>
    <t>Employee Id=328</t>
  </si>
  <si>
    <t>Employee Id=329</t>
  </si>
  <si>
    <t>Employee Id=330</t>
  </si>
  <si>
    <t>Employee Id=331</t>
  </si>
  <si>
    <t>Employee Id=332</t>
  </si>
  <si>
    <t>Employee Id=333</t>
  </si>
  <si>
    <t>Employee Id=334</t>
  </si>
  <si>
    <t>Employee Id=335</t>
  </si>
  <si>
    <t>Employee Id=336</t>
  </si>
  <si>
    <t>Employee Id=337</t>
  </si>
  <si>
    <t>Employee Id=338</t>
  </si>
  <si>
    <t>Employee Id=339</t>
  </si>
  <si>
    <t>Employee Id=340</t>
  </si>
  <si>
    <t>Employee Id=341</t>
  </si>
  <si>
    <t>Employee Id=342</t>
  </si>
  <si>
    <t>Employee Id=343</t>
  </si>
  <si>
    <t>Employee Id=344</t>
  </si>
  <si>
    <t>Employee Id=345</t>
  </si>
  <si>
    <t>Employee Id=346</t>
  </si>
  <si>
    <t>Employee Id=347</t>
  </si>
  <si>
    <t>Employee Id=348</t>
  </si>
  <si>
    <t>Employee Id=349</t>
  </si>
  <si>
    <t>Employee Id=350</t>
  </si>
  <si>
    <t>Employee Id=351</t>
  </si>
  <si>
    <t>Employee Id=352</t>
  </si>
  <si>
    <t>Employee Id=353</t>
  </si>
  <si>
    <t>Employee Id=354</t>
  </si>
  <si>
    <t>Employee Id=355</t>
  </si>
  <si>
    <t>Employee Id=356</t>
  </si>
  <si>
    <t>Employee Id=357</t>
  </si>
  <si>
    <t>Employee Id=358</t>
  </si>
  <si>
    <t>Employee Id=359</t>
  </si>
  <si>
    <t>Employee Id=360</t>
  </si>
  <si>
    <t>Employee Id=361</t>
  </si>
  <si>
    <t>Employee Id=362</t>
  </si>
  <si>
    <t>Employee Id=363</t>
  </si>
  <si>
    <t>Employee Id=364</t>
  </si>
  <si>
    <t>Employee Id=365</t>
  </si>
  <si>
    <t>Employee Id=366</t>
  </si>
  <si>
    <t>Employee Id=367</t>
  </si>
  <si>
    <t>Employee Id=368</t>
  </si>
  <si>
    <t>Employee Id=369</t>
  </si>
  <si>
    <t>Employee Id=370</t>
  </si>
  <si>
    <t>Employee Id=371</t>
  </si>
  <si>
    <t>Employee Id=372</t>
  </si>
  <si>
    <t>Employee Id=373</t>
  </si>
  <si>
    <t>Employee Id=374</t>
  </si>
  <si>
    <t>Employee Id=375</t>
  </si>
  <si>
    <t>Employee Id=376</t>
  </si>
  <si>
    <t>Employee Id=377</t>
  </si>
  <si>
    <t>Employee Id=378</t>
  </si>
  <si>
    <t>Employee Id=379</t>
  </si>
  <si>
    <t>Employee Id=380</t>
  </si>
  <si>
    <t>Employee Id=381</t>
  </si>
  <si>
    <t>Employee Id=382</t>
  </si>
  <si>
    <t>Employee Id=383</t>
  </si>
  <si>
    <t>Employee Id=384</t>
  </si>
  <si>
    <t>Employee Id=385</t>
  </si>
  <si>
    <t>Employee Id=386</t>
  </si>
  <si>
    <t>Employee Id=387</t>
  </si>
  <si>
    <t>Employee Id=388</t>
  </si>
  <si>
    <t>Employee Id=389</t>
  </si>
  <si>
    <t>Employee Id=390</t>
  </si>
  <si>
    <t>Employee Id=391</t>
  </si>
  <si>
    <t>Employee Id=392</t>
  </si>
  <si>
    <t>Employee Id=393</t>
  </si>
  <si>
    <t>Employee Id=394</t>
  </si>
  <si>
    <t>Employee Id=395</t>
  </si>
  <si>
    <t>Employee Id=396</t>
  </si>
  <si>
    <t>Employee Id=397</t>
  </si>
  <si>
    <t>Employee Id=398</t>
  </si>
  <si>
    <t>Employee Id=399</t>
  </si>
  <si>
    <t>Employee Id=400</t>
  </si>
  <si>
    <t>Employee Id=401</t>
  </si>
  <si>
    <t>Employee Id=402</t>
  </si>
  <si>
    <t>Employee Id=403</t>
  </si>
  <si>
    <t>Employee Id=404</t>
  </si>
  <si>
    <t>Employee Id=405</t>
  </si>
  <si>
    <t>Employee Id=406</t>
  </si>
  <si>
    <t>Employee Id=407</t>
  </si>
  <si>
    <t>Employee Id=408</t>
  </si>
  <si>
    <t>Employee Id=409</t>
  </si>
  <si>
    <t>Employee Id=410</t>
  </si>
  <si>
    <t>Employee Id=411</t>
  </si>
  <si>
    <t>Employee Id=412</t>
  </si>
  <si>
    <t>Employee Id=413</t>
  </si>
  <si>
    <t>Employee Id=414</t>
  </si>
  <si>
    <t>Employee Id=415</t>
  </si>
  <si>
    <t>Employee Id=416</t>
  </si>
  <si>
    <t>Employee Id=417</t>
  </si>
  <si>
    <t>Employee Id=418</t>
  </si>
  <si>
    <t>Employee Id=419</t>
  </si>
  <si>
    <t>Employee Id=420</t>
  </si>
  <si>
    <t>Employee Id=421</t>
  </si>
  <si>
    <t>Employee Id=422</t>
  </si>
  <si>
    <t>Employee Id=423</t>
  </si>
  <si>
    <t>Employee Id=424</t>
  </si>
  <si>
    <t>Employee Id=425</t>
  </si>
  <si>
    <t>Employee Id=426</t>
  </si>
  <si>
    <t>Employee Id=427</t>
  </si>
  <si>
    <t>Employee Id=428</t>
  </si>
  <si>
    <t>Employee Id=429</t>
  </si>
  <si>
    <t>Employee Id=430</t>
  </si>
  <si>
    <t>Employee Id=431</t>
  </si>
  <si>
    <t>Employee Id=432</t>
  </si>
  <si>
    <t>Employee Id=433</t>
  </si>
  <si>
    <t>Employee Id=434</t>
  </si>
  <si>
    <t>Employee Id=435</t>
  </si>
  <si>
    <t>Employee Id=436</t>
  </si>
  <si>
    <t>Employee Id=437</t>
  </si>
  <si>
    <t>Employee Id=438</t>
  </si>
  <si>
    <t>Employee Id=439</t>
  </si>
  <si>
    <t>Employee Id=440</t>
  </si>
  <si>
    <t>Employee Id=441</t>
  </si>
  <si>
    <t>Employee Id=442</t>
  </si>
  <si>
    <t>Employee Id=443</t>
  </si>
  <si>
    <t>Employee Id=444</t>
  </si>
  <si>
    <t>Employee Id=445</t>
  </si>
  <si>
    <t>Employee Id=446</t>
  </si>
  <si>
    <t>Employee Id=447</t>
  </si>
  <si>
    <t>Employee Id=448</t>
  </si>
  <si>
    <t>Employee Id=449</t>
  </si>
  <si>
    <t>Employee Id=450</t>
  </si>
  <si>
    <t>Employee Id=451</t>
  </si>
  <si>
    <t>Employee Id=452</t>
  </si>
  <si>
    <t>Employee Id=453</t>
  </si>
  <si>
    <t>Employee Id=454</t>
  </si>
  <si>
    <t>Employee Id=455</t>
  </si>
  <si>
    <t>Employee Id=456</t>
  </si>
  <si>
    <t>Employee Id=457</t>
  </si>
  <si>
    <t>Employee Id=458</t>
  </si>
  <si>
    <t>Employee Id=459</t>
  </si>
  <si>
    <t>Employee Id=460</t>
  </si>
  <si>
    <t>Employee Id=461</t>
  </si>
  <si>
    <t>Employee Id=462</t>
  </si>
  <si>
    <t>Employee Id=463</t>
  </si>
  <si>
    <t>Employee Id=464</t>
  </si>
  <si>
    <t>Employee Id=465</t>
  </si>
  <si>
    <t>Employee Id=466</t>
  </si>
  <si>
    <t>Employee Id=467</t>
  </si>
  <si>
    <t>Employee Id=468</t>
  </si>
  <si>
    <t>Employee Id=469</t>
  </si>
  <si>
    <t>Employee Id=470</t>
  </si>
  <si>
    <t>Employee Id=471</t>
  </si>
  <si>
    <t>Employee Id=472</t>
  </si>
  <si>
    <t>Employee Id=473</t>
  </si>
  <si>
    <t>Employee Id=474</t>
  </si>
  <si>
    <t>Employee Id=475</t>
  </si>
  <si>
    <t>Employee Id=476</t>
  </si>
  <si>
    <t>Employee Id=477</t>
  </si>
  <si>
    <t>Employee Id=478</t>
  </si>
  <si>
    <t>Employee Id=479</t>
  </si>
  <si>
    <t>Employee Id=480</t>
  </si>
  <si>
    <t>Employee Id=481</t>
  </si>
  <si>
    <t>Employee Id=482</t>
  </si>
  <si>
    <t>Employee Id=483</t>
  </si>
  <si>
    <t>Employee Id=484</t>
  </si>
  <si>
    <t>Employee Id=485</t>
  </si>
  <si>
    <t>Employee Id=486</t>
  </si>
  <si>
    <t>Employee Id=487</t>
  </si>
  <si>
    <t>Employee Id=488</t>
  </si>
  <si>
    <t>Employee Id=489</t>
  </si>
  <si>
    <t>Employee Id=490</t>
  </si>
  <si>
    <t>Employee Id=491</t>
  </si>
  <si>
    <t>Employee Id=492</t>
  </si>
  <si>
    <t>Employee Id=493</t>
  </si>
  <si>
    <t>Employee Id=494</t>
  </si>
  <si>
    <t>Employee Id=495</t>
  </si>
  <si>
    <t>Employee Id=496</t>
  </si>
  <si>
    <t>Employee Id=497</t>
  </si>
  <si>
    <t>Employee Id=498</t>
  </si>
  <si>
    <t>Employee Id=499</t>
  </si>
  <si>
    <t>Employee Id=500</t>
  </si>
  <si>
    <t>Employee Id=501</t>
  </si>
  <si>
    <t>Employee Id=502</t>
  </si>
  <si>
    <t>Employee Id=503</t>
  </si>
  <si>
    <t>Employee Id=504</t>
  </si>
  <si>
    <t>Employee Id=505</t>
  </si>
  <si>
    <t>Employee Id=506</t>
  </si>
  <si>
    <t>Employee Id=507</t>
  </si>
  <si>
    <t>Employee Id=508</t>
  </si>
  <si>
    <t>Employee Id=509</t>
  </si>
  <si>
    <t>Employee Id=510</t>
  </si>
  <si>
    <t>Employee Id=511</t>
  </si>
  <si>
    <t>Employee Id=512</t>
  </si>
  <si>
    <t>Employee Id=513</t>
  </si>
  <si>
    <t>Employee Id=514</t>
  </si>
  <si>
    <t>Employee Id=515</t>
  </si>
  <si>
    <t>Employee Id=516</t>
  </si>
  <si>
    <t>Employee Id=517</t>
  </si>
  <si>
    <t>Employee Id=518</t>
  </si>
  <si>
    <t>Employee Id=519</t>
  </si>
  <si>
    <t>Employee Id=520</t>
  </si>
  <si>
    <t>Employee Id=521</t>
  </si>
  <si>
    <t>Employee Id=522</t>
  </si>
  <si>
    <t>Employee Id=523</t>
  </si>
  <si>
    <t>Employee Id=524</t>
  </si>
  <si>
    <t>Employee Id=525</t>
  </si>
  <si>
    <t>Employee Id=526</t>
  </si>
  <si>
    <t>Employee Id=527</t>
  </si>
  <si>
    <t>Employee Id=528</t>
  </si>
  <si>
    <t>Employee Id=529</t>
  </si>
  <si>
    <t>Employee Id=530</t>
  </si>
  <si>
    <t>Employee Id=531</t>
  </si>
  <si>
    <t>Employee Id=532</t>
  </si>
  <si>
    <t>Employee Id=533</t>
  </si>
  <si>
    <t>Employee Id=534</t>
  </si>
  <si>
    <t>Employee Id=535</t>
  </si>
  <si>
    <t>Employee Id=536</t>
  </si>
  <si>
    <t>Employee Id=537</t>
  </si>
  <si>
    <t>Employee Id=538</t>
  </si>
  <si>
    <t>Employee Id=539</t>
  </si>
  <si>
    <t>Employee Id=540</t>
  </si>
  <si>
    <t>Employee Id=541</t>
  </si>
  <si>
    <t>Employee Id=542</t>
  </si>
  <si>
    <t>Employee Id=543</t>
  </si>
  <si>
    <t>Employee Id=544</t>
  </si>
  <si>
    <t>Employee Id=545</t>
  </si>
  <si>
    <t>Employee Id=546</t>
  </si>
  <si>
    <t>Employee Id=547</t>
  </si>
  <si>
    <t>Employee Id=548</t>
  </si>
  <si>
    <t>Employee Id=549</t>
  </si>
  <si>
    <t>Employee Id=550</t>
  </si>
  <si>
    <t>Employee Id=551</t>
  </si>
  <si>
    <t>Employee Id=552</t>
  </si>
  <si>
    <t>Employee Id=553</t>
  </si>
  <si>
    <t>Employee Id=554</t>
  </si>
  <si>
    <t>Employee Id=555</t>
  </si>
  <si>
    <t>Employee Id=556</t>
  </si>
  <si>
    <t>Employee Id=557</t>
  </si>
  <si>
    <t>Employee Id=558</t>
  </si>
  <si>
    <t>Employee Id=559</t>
  </si>
  <si>
    <t>Employee Id=560</t>
  </si>
  <si>
    <t>Employee Id=561</t>
  </si>
  <si>
    <t>Employee Id=562</t>
  </si>
  <si>
    <t>Employee Id=563</t>
  </si>
  <si>
    <t>Employee Id=564</t>
  </si>
  <si>
    <t>Employee Id=565</t>
  </si>
  <si>
    <t>Employee Id=566</t>
  </si>
  <si>
    <t>Employee Id=567</t>
  </si>
  <si>
    <t>Employee Id=568</t>
  </si>
  <si>
    <t>Employee Id=569</t>
  </si>
  <si>
    <t>Employee Id=570</t>
  </si>
  <si>
    <t>Employee Id=571</t>
  </si>
  <si>
    <t>Employee Id=572</t>
  </si>
  <si>
    <t>Employee Id=573</t>
  </si>
  <si>
    <t>Employee Id=574</t>
  </si>
  <si>
    <t>Employee Id=575</t>
  </si>
  <si>
    <t>Employee Id=576</t>
  </si>
  <si>
    <t>Employee Id=577</t>
  </si>
  <si>
    <t>Employee Id=578</t>
  </si>
  <si>
    <t>Employee Id=579</t>
  </si>
  <si>
    <t>Employee Id=580</t>
  </si>
  <si>
    <t>Employee Id=581</t>
  </si>
  <si>
    <t>Employee Id=582</t>
  </si>
  <si>
    <t>Employee Id=583</t>
  </si>
  <si>
    <t>Employee Id=584</t>
  </si>
  <si>
    <t>Employee Id=585</t>
  </si>
  <si>
    <t>Employee Id=586</t>
  </si>
  <si>
    <t>Employee Id=587</t>
  </si>
  <si>
    <t>Employee Id=588</t>
  </si>
  <si>
    <t>Employee Id=589</t>
  </si>
  <si>
    <t>Employee Id=590</t>
  </si>
  <si>
    <t>Employee Id=591</t>
  </si>
  <si>
    <t>Employee Id=592</t>
  </si>
  <si>
    <t>Employee Id=593</t>
  </si>
  <si>
    <t>Employee Id=594</t>
  </si>
  <si>
    <t>Employee Id=595</t>
  </si>
  <si>
    <t>Employee Id=596</t>
  </si>
  <si>
    <t>Employee Id=597</t>
  </si>
  <si>
    <t>Employee Id=598</t>
  </si>
  <si>
    <t>Employee Id=599</t>
  </si>
  <si>
    <t>Employee Id=600</t>
  </si>
  <si>
    <t>Employee Id=601</t>
  </si>
  <si>
    <t>Employee Id=602</t>
  </si>
  <si>
    <t>Employee Id=603</t>
  </si>
  <si>
    <t>Employee Id=604</t>
  </si>
  <si>
    <t>Employee Id=605</t>
  </si>
  <si>
    <t>Employee Id=606</t>
  </si>
  <si>
    <t>Employee Id=607</t>
  </si>
  <si>
    <t>Employee Id=608</t>
  </si>
  <si>
    <t>Employee Id=609</t>
  </si>
  <si>
    <t>Employee Id=610</t>
  </si>
  <si>
    <t>Employee Id=611</t>
  </si>
  <si>
    <t>Employee Id=612</t>
  </si>
  <si>
    <t>Employee Id=613</t>
  </si>
  <si>
    <t>Employee Id=614</t>
  </si>
  <si>
    <t>Employee Id=615</t>
  </si>
  <si>
    <t>Employee Id=616</t>
  </si>
  <si>
    <t>Employee Id=617</t>
  </si>
  <si>
    <t>Employee Id=618</t>
  </si>
  <si>
    <t>Employee Id=619</t>
  </si>
  <si>
    <t>Employee Id=620</t>
  </si>
  <si>
    <t>Employee Id=621</t>
  </si>
  <si>
    <t>Employee Id=622</t>
  </si>
  <si>
    <t>Employee Id=623</t>
  </si>
  <si>
    <t>Employee Id=624</t>
  </si>
  <si>
    <t>Employee Id=625</t>
  </si>
  <si>
    <t>Employee Id=626</t>
  </si>
  <si>
    <t>Employee Id=627</t>
  </si>
  <si>
    <t>Employee Id=628</t>
  </si>
  <si>
    <t>Employee Id=629</t>
  </si>
  <si>
    <t>Employee Id=630</t>
  </si>
  <si>
    <t>Employee Id=631</t>
  </si>
  <si>
    <t>Employee Id=632</t>
  </si>
  <si>
    <t>Employee Id=633</t>
  </si>
  <si>
    <t>Employee Id=634</t>
  </si>
  <si>
    <t>Employee Id=635</t>
  </si>
  <si>
    <t>Employee Id=636</t>
  </si>
  <si>
    <t>Employee Id=637</t>
  </si>
  <si>
    <t>Employee Id=638</t>
  </si>
  <si>
    <t>Employee Id=639</t>
  </si>
  <si>
    <t>Employee Id=640</t>
  </si>
  <si>
    <t>Employee Id=641</t>
  </si>
  <si>
    <t>Employee Id=642</t>
  </si>
  <si>
    <t>Employee Id=643</t>
  </si>
  <si>
    <t>Employee Id=644</t>
  </si>
  <si>
    <t>Employee Id=645</t>
  </si>
  <si>
    <t>Employee Id=646</t>
  </si>
  <si>
    <t>Employee Id=647</t>
  </si>
  <si>
    <t>Employee Id=648</t>
  </si>
  <si>
    <t>Employee Id=649</t>
  </si>
  <si>
    <t>Employee Id=650</t>
  </si>
  <si>
    <t>Employee Id=651</t>
  </si>
  <si>
    <t>Employee Id=652</t>
  </si>
  <si>
    <t>Employee Id=653</t>
  </si>
  <si>
    <t>Employee Id=654</t>
  </si>
  <si>
    <t>Employee Id=655</t>
  </si>
  <si>
    <t>Employee Id=656</t>
  </si>
  <si>
    <t>Employee Id=657</t>
  </si>
  <si>
    <t>Employee Id=658</t>
  </si>
  <si>
    <t>Employee Id=659</t>
  </si>
  <si>
    <t>Employee Id=660</t>
  </si>
  <si>
    <t>Employee Id=661</t>
  </si>
  <si>
    <t>Employee Id=662</t>
  </si>
  <si>
    <t>Employee Id=663</t>
  </si>
  <si>
    <t>Employee Id=664</t>
  </si>
  <si>
    <t>Employee Id=665</t>
  </si>
  <si>
    <t>Employee Id=666</t>
  </si>
  <si>
    <t>Employee Id=667</t>
  </si>
  <si>
    <t>Employee Id=668</t>
  </si>
  <si>
    <t>Employee Id=669</t>
  </si>
  <si>
    <t>Employee Id=670</t>
  </si>
  <si>
    <t>Employee Id=671</t>
  </si>
  <si>
    <t>Employee Id=672</t>
  </si>
  <si>
    <t>Employee Id=673</t>
  </si>
  <si>
    <t>Employee Id=674</t>
  </si>
  <si>
    <t>Employee Id=675</t>
  </si>
  <si>
    <t>Employee Id=676</t>
  </si>
  <si>
    <t>Employee Id=677</t>
  </si>
  <si>
    <t>Employee Id=678</t>
  </si>
  <si>
    <t>Employee Id=679</t>
  </si>
  <si>
    <t>Employee Id=680</t>
  </si>
  <si>
    <t>Employee Id=681</t>
  </si>
  <si>
    <t>Employee Id=682</t>
  </si>
  <si>
    <t>Employee Id=683</t>
  </si>
  <si>
    <t>Employee Id=684</t>
  </si>
  <si>
    <t>Employee Id=685</t>
  </si>
  <si>
    <t>Employee Id=686</t>
  </si>
  <si>
    <t>Employee Id=687</t>
  </si>
  <si>
    <t>Employee Id=688</t>
  </si>
  <si>
    <t>Employee Id=689</t>
  </si>
  <si>
    <t>Employee Id=690</t>
  </si>
  <si>
    <t>Employee Id=691</t>
  </si>
  <si>
    <t>Employee Id=692</t>
  </si>
  <si>
    <t>Employee Id=693</t>
  </si>
  <si>
    <t>Employee Id=694</t>
  </si>
  <si>
    <t>Employee Id=695</t>
  </si>
  <si>
    <t>Employee Id=696</t>
  </si>
  <si>
    <t>Employee Id=697</t>
  </si>
  <si>
    <t>Employee Id=698</t>
  </si>
  <si>
    <t>Employee Id=699</t>
  </si>
  <si>
    <t>Employee Id=700</t>
  </si>
  <si>
    <t>Employee Id=701</t>
  </si>
  <si>
    <t>Employee Id=702</t>
  </si>
  <si>
    <t>Employee Id=703</t>
  </si>
  <si>
    <t>Employee Id=704</t>
  </si>
  <si>
    <t>Employee Id=705</t>
  </si>
  <si>
    <t>Employee Id=706</t>
  </si>
  <si>
    <t>Employee Id=707</t>
  </si>
  <si>
    <t>Employee Id=708</t>
  </si>
  <si>
    <t>Employee Id=709</t>
  </si>
  <si>
    <t>Employee Id=710</t>
  </si>
  <si>
    <t>Employee Id=711</t>
  </si>
  <si>
    <t>Employee Id=712</t>
  </si>
  <si>
    <t>Employee Id=713</t>
  </si>
  <si>
    <t>Employee Id=714</t>
  </si>
  <si>
    <t>Employee Id=715</t>
  </si>
  <si>
    <t>Employee Id=716</t>
  </si>
  <si>
    <t>Employee Id=717</t>
  </si>
  <si>
    <t>Employee Id=718</t>
  </si>
  <si>
    <t>Employee Id=719</t>
  </si>
  <si>
    <t>Employee Id=720</t>
  </si>
  <si>
    <t>Employee Id=721</t>
  </si>
  <si>
    <t>Employee Id=722</t>
  </si>
  <si>
    <t>Employee Id=723</t>
  </si>
  <si>
    <t>Employee Id=724</t>
  </si>
  <si>
    <t>Employee Id=725</t>
  </si>
  <si>
    <t>Employee Id=726</t>
  </si>
  <si>
    <t>Employee Id=727</t>
  </si>
  <si>
    <t>Employee Id=728</t>
  </si>
  <si>
    <t>Employee Id=729</t>
  </si>
  <si>
    <t>Employee Id=730</t>
  </si>
  <si>
    <t>Employee Id=731</t>
  </si>
  <si>
    <t>Employee Id=732</t>
  </si>
  <si>
    <t>Employee Id=733</t>
  </si>
  <si>
    <t>Employee Id=734</t>
  </si>
  <si>
    <t>Employee Id=735</t>
  </si>
  <si>
    <t>Employee Id=736</t>
  </si>
  <si>
    <t>Employee Id=737</t>
  </si>
  <si>
    <t>Employee Id=738</t>
  </si>
  <si>
    <t>Employee Id=739</t>
  </si>
  <si>
    <t>Employee Id=740</t>
  </si>
  <si>
    <t>Employee Id=741</t>
  </si>
  <si>
    <t>Employee Id=742</t>
  </si>
  <si>
    <t>Employee Id=743</t>
  </si>
  <si>
    <t>Employee Id=744</t>
  </si>
  <si>
    <t>Employee Id=745</t>
  </si>
  <si>
    <t>Employee Id=746</t>
  </si>
  <si>
    <t>Employee Id=747</t>
  </si>
  <si>
    <t>Employee Id=748</t>
  </si>
  <si>
    <t>Employee Id=749</t>
  </si>
  <si>
    <t>Employee Id=750</t>
  </si>
  <si>
    <t>Employee Id=751</t>
  </si>
  <si>
    <t>Employee Id=752</t>
  </si>
  <si>
    <t>Employee Id=753</t>
  </si>
  <si>
    <t>Employee Id=754</t>
  </si>
  <si>
    <t>Employee Id=755</t>
  </si>
  <si>
    <t>Employee Id=756</t>
  </si>
  <si>
    <t>Employee Id=757</t>
  </si>
  <si>
    <t>Employee Id=758</t>
  </si>
  <si>
    <t>Employee Id=759</t>
  </si>
  <si>
    <t>Employee Id=760</t>
  </si>
  <si>
    <t>Employee Id=761</t>
  </si>
  <si>
    <t>Employee Id=762</t>
  </si>
  <si>
    <t>Employee Id=763</t>
  </si>
  <si>
    <t>Employee Id=764</t>
  </si>
  <si>
    <t>Employee Id=765</t>
  </si>
  <si>
    <t>Employee Id=766</t>
  </si>
  <si>
    <t>Employee Id=767</t>
  </si>
  <si>
    <t>Employee Id=768</t>
  </si>
  <si>
    <t>Employee Id=769</t>
  </si>
  <si>
    <t>Employee Id=770</t>
  </si>
  <si>
    <t>Employee Id=771</t>
  </si>
  <si>
    <t>Employee Id=772</t>
  </si>
  <si>
    <t>Employee Id=773</t>
  </si>
  <si>
    <t>Employee Id=774</t>
  </si>
  <si>
    <t>Employee Id=775</t>
  </si>
  <si>
    <t>Employee Id=776</t>
  </si>
  <si>
    <t>Employee Id=777</t>
  </si>
  <si>
    <t>Employee Id=778</t>
  </si>
  <si>
    <t>Employee Id=779</t>
  </si>
  <si>
    <t>Employee Id=780</t>
  </si>
  <si>
    <t>Employee Id=781</t>
  </si>
  <si>
    <t>Employee Id=782</t>
  </si>
  <si>
    <t>Employee Id=783</t>
  </si>
  <si>
    <t>Employee Id=784</t>
  </si>
  <si>
    <t>Employee Id=785</t>
  </si>
  <si>
    <t>Employee Id=786</t>
  </si>
  <si>
    <t>Employee Id=787</t>
  </si>
  <si>
    <t>Employee Id=788</t>
  </si>
  <si>
    <t>Employee Id=789</t>
  </si>
  <si>
    <t>Employee Id=790</t>
  </si>
  <si>
    <t>Employee Id=791</t>
  </si>
  <si>
    <t>Employee Id=792</t>
  </si>
  <si>
    <t>Employee Id=793</t>
  </si>
  <si>
    <t>Employee Id=794</t>
  </si>
  <si>
    <t>Employee Id=795</t>
  </si>
  <si>
    <t>Employee Id=796</t>
  </si>
  <si>
    <t>Employee Id=797</t>
  </si>
  <si>
    <t>Employee Id=798</t>
  </si>
  <si>
    <t>Employee Id=799</t>
  </si>
  <si>
    <t>Employee Id=800</t>
  </si>
  <si>
    <t>Employee Id=801</t>
  </si>
  <si>
    <t>Employee Id=802</t>
  </si>
  <si>
    <t>Employee Id=803</t>
  </si>
  <si>
    <t>Employee Id=804</t>
  </si>
  <si>
    <t>Employee Id=805</t>
  </si>
  <si>
    <t>Employee Id=806</t>
  </si>
  <si>
    <t>Employee Id=807</t>
  </si>
  <si>
    <t>Employee Id=808</t>
  </si>
  <si>
    <t>Employee Id=809</t>
  </si>
  <si>
    <t>Employee Id=810</t>
  </si>
  <si>
    <t>Employee Id=811</t>
  </si>
  <si>
    <t>Employee Id=812</t>
  </si>
  <si>
    <t>Employee Id=813</t>
  </si>
  <si>
    <t>Employee Id=814</t>
  </si>
  <si>
    <t>Employee Id=815</t>
  </si>
  <si>
    <t>Employee Id=816</t>
  </si>
  <si>
    <t>Employee Id=817</t>
  </si>
  <si>
    <t>Employee Id=818</t>
  </si>
  <si>
    <t>Employee Id=819</t>
  </si>
  <si>
    <t>Employee Id=820</t>
  </si>
  <si>
    <t>Employee Id=821</t>
  </si>
  <si>
    <t>Employee Id=822</t>
  </si>
  <si>
    <t>Employee Id=823</t>
  </si>
  <si>
    <t>Employee Id=824</t>
  </si>
  <si>
    <t>Employee Id=825</t>
  </si>
  <si>
    <t>Employee Id=826</t>
  </si>
  <si>
    <t>Employee Id=827</t>
  </si>
  <si>
    <t>Employee Id=828</t>
  </si>
  <si>
    <t>Employee Id=829</t>
  </si>
  <si>
    <t>Employee Id=830</t>
  </si>
  <si>
    <t>Employee Id=831</t>
  </si>
  <si>
    <t>Employee Id=832</t>
  </si>
  <si>
    <t>Employee Id=833</t>
  </si>
  <si>
    <t>Employee Id=834</t>
  </si>
  <si>
    <t>Employee Id=835</t>
  </si>
  <si>
    <t>Employee Id=836</t>
  </si>
  <si>
    <t>Employee Id=837</t>
  </si>
  <si>
    <t>Employee Id=838</t>
  </si>
  <si>
    <t>Employee Id=839</t>
  </si>
  <si>
    <t>Employee Id=840</t>
  </si>
  <si>
    <t>Employee Id=841</t>
  </si>
  <si>
    <t>Employee Id=842</t>
  </si>
  <si>
    <t>Employee Id=843</t>
  </si>
  <si>
    <t>Employee Id=844</t>
  </si>
  <si>
    <t>Employee Id=845</t>
  </si>
  <si>
    <t>Employee Id=846</t>
  </si>
  <si>
    <t>Employee Id=847</t>
  </si>
  <si>
    <t>Employee Id=848</t>
  </si>
  <si>
    <t>Employee Id=849</t>
  </si>
  <si>
    <t>Employee Id=850</t>
  </si>
  <si>
    <t>Employee Id=851</t>
  </si>
  <si>
    <t>Employee Id=852</t>
  </si>
  <si>
    <t>Employee Id=853</t>
  </si>
  <si>
    <t>Employee Id=854</t>
  </si>
  <si>
    <t>Employee Id=855</t>
  </si>
  <si>
    <t>Employee Id=856</t>
  </si>
  <si>
    <t>Employee Id=857</t>
  </si>
  <si>
    <t>Employee Id=858</t>
  </si>
  <si>
    <t>Employee Id=859</t>
  </si>
  <si>
    <t>Employee Id=860</t>
  </si>
  <si>
    <t>Employee Id=861</t>
  </si>
  <si>
    <t>Employee Id=862</t>
  </si>
  <si>
    <t>Employee Id=863</t>
  </si>
  <si>
    <t>Employee Id=864</t>
  </si>
  <si>
    <t>Employee Id=865</t>
  </si>
  <si>
    <t>Employee Id=866</t>
  </si>
  <si>
    <t>Employee Id=867</t>
  </si>
  <si>
    <t>Employee Id=868</t>
  </si>
  <si>
    <t>Employee Id=869</t>
  </si>
  <si>
    <t>Employee Id=870</t>
  </si>
  <si>
    <t>Employee Id=871</t>
  </si>
  <si>
    <t>Employee Id=872</t>
  </si>
  <si>
    <t>Employee Id=873</t>
  </si>
  <si>
    <t>Employee Id=874</t>
  </si>
  <si>
    <t>Employee Id=875</t>
  </si>
  <si>
    <t>Employee Id=876</t>
  </si>
  <si>
    <t>Employee Id=877</t>
  </si>
  <si>
    <t>Employee Id=878</t>
  </si>
  <si>
    <t>Employee Id=879</t>
  </si>
  <si>
    <t>Employee Id=880</t>
  </si>
  <si>
    <t>Employee Id=881</t>
  </si>
  <si>
    <t>Employee Id=882</t>
  </si>
  <si>
    <t>Employee Id=883</t>
  </si>
  <si>
    <t>Employee Id=884</t>
  </si>
  <si>
    <t>Employee Id=885</t>
  </si>
  <si>
    <t>Employee Id=886</t>
  </si>
  <si>
    <t>Employee Id=887</t>
  </si>
  <si>
    <t>Employee Id=888</t>
  </si>
  <si>
    <t>Employee Id=889</t>
  </si>
  <si>
    <t>Employee Id=890</t>
  </si>
  <si>
    <t>Employee Id=891</t>
  </si>
  <si>
    <t>Employee Id=892</t>
  </si>
  <si>
    <t>Employee Id=893</t>
  </si>
  <si>
    <t>Employee Id=894</t>
  </si>
  <si>
    <t>Employee Id=895</t>
  </si>
  <si>
    <t>Employee Id=896</t>
  </si>
  <si>
    <t>Employee Id=897</t>
  </si>
  <si>
    <t>Employee Id=898</t>
  </si>
  <si>
    <t>Employee Id=899</t>
  </si>
  <si>
    <t>Employee Id=900</t>
  </si>
  <si>
    <t>Employee Id=901</t>
  </si>
  <si>
    <t>Employee Id=902</t>
  </si>
  <si>
    <t>Employee Id=903</t>
  </si>
  <si>
    <t>Employee Id=904</t>
  </si>
  <si>
    <t>Employee Id=905</t>
  </si>
  <si>
    <t>Employee Id=906</t>
  </si>
  <si>
    <t>Employee Id=907</t>
  </si>
  <si>
    <t>Employee Id=908</t>
  </si>
  <si>
    <t>Employee Id=909</t>
  </si>
  <si>
    <t>Employee Id=910</t>
  </si>
  <si>
    <t>Employee Id=911</t>
  </si>
  <si>
    <t>Employee Id=912</t>
  </si>
  <si>
    <t>Employee Id=913</t>
  </si>
  <si>
    <t>Employee Id=914</t>
  </si>
  <si>
    <t>Employee Id=915</t>
  </si>
  <si>
    <t>Employee Id=916</t>
  </si>
  <si>
    <t>Employee Id=917</t>
  </si>
  <si>
    <t>Employee Id=918</t>
  </si>
  <si>
    <t>Employee Id=919</t>
  </si>
  <si>
    <t>Employee Id=920</t>
  </si>
  <si>
    <t>Employee Id=921</t>
  </si>
  <si>
    <t>Employee Id=922</t>
  </si>
  <si>
    <t>Employee Id=923</t>
  </si>
  <si>
    <t>Employee Id=924</t>
  </si>
  <si>
    <t>Employee Id=925</t>
  </si>
  <si>
    <t>Employee Id=926</t>
  </si>
  <si>
    <t>Employee Id=927</t>
  </si>
  <si>
    <t>Employee Id=928</t>
  </si>
  <si>
    <t>Employee Id=929</t>
  </si>
  <si>
    <t>Employee Id=930</t>
  </si>
  <si>
    <t>Employee Id=931</t>
  </si>
  <si>
    <t>Employee Id=932</t>
  </si>
  <si>
    <t>Employee Id=933</t>
  </si>
  <si>
    <t>Employee Id=934</t>
  </si>
  <si>
    <t>Employee Id=935</t>
  </si>
  <si>
    <t>Employee Id=936</t>
  </si>
  <si>
    <t>Employee Id=937</t>
  </si>
  <si>
    <t>Employee Id=938</t>
  </si>
  <si>
    <t>Employee Id=939</t>
  </si>
  <si>
    <t>Employee Id=940</t>
  </si>
  <si>
    <t>Employee Id=941</t>
  </si>
  <si>
    <t>Employee Id=942</t>
  </si>
  <si>
    <t>Employee Id=943</t>
  </si>
  <si>
    <t>Employee Id=944</t>
  </si>
  <si>
    <t>Employee Id=945</t>
  </si>
  <si>
    <t>Employee Id=946</t>
  </si>
  <si>
    <t>Employee Id=947</t>
  </si>
  <si>
    <t>Employee Id=948</t>
  </si>
  <si>
    <t>Employee Id=949</t>
  </si>
  <si>
    <t>Employee Id=950</t>
  </si>
  <si>
    <t>Employee Id=951</t>
  </si>
  <si>
    <t>Employee Id=952</t>
  </si>
  <si>
    <t>Employee Id=953</t>
  </si>
  <si>
    <t>Employee Id=954</t>
  </si>
  <si>
    <t>Employee Id=955</t>
  </si>
  <si>
    <t>Employee Id=956</t>
  </si>
  <si>
    <t>Employee Id=957</t>
  </si>
  <si>
    <t>Employee Id=958</t>
  </si>
  <si>
    <t>Employee Id=959</t>
  </si>
  <si>
    <t>Employee Id=960</t>
  </si>
  <si>
    <t>Employee Id=961</t>
  </si>
  <si>
    <t>Employee Id=962</t>
  </si>
  <si>
    <t>Employee Id=963</t>
  </si>
  <si>
    <t>Employee Id=964</t>
  </si>
  <si>
    <t>Employee Id=965</t>
  </si>
  <si>
    <t>Employee Id=966</t>
  </si>
  <si>
    <t>Employee Id=967</t>
  </si>
  <si>
    <t>Employee Id=968</t>
  </si>
  <si>
    <t>Employee Id=969</t>
  </si>
  <si>
    <t>Employee Id=970</t>
  </si>
  <si>
    <t>Employee Id=971</t>
  </si>
  <si>
    <t>Employee Id=972</t>
  </si>
  <si>
    <t>Employee Id=973</t>
  </si>
  <si>
    <t>Employee Id=974</t>
  </si>
  <si>
    <t>Employee Id=975</t>
  </si>
  <si>
    <t>Employee Id=976</t>
  </si>
  <si>
    <t>Employee Id=977</t>
  </si>
  <si>
    <t>Employee Id=978</t>
  </si>
  <si>
    <t>Employee Id=979</t>
  </si>
  <si>
    <t>Employee Id=980</t>
  </si>
  <si>
    <t>Employee Id=981</t>
  </si>
  <si>
    <t>Employee Id=982</t>
  </si>
  <si>
    <t>Employee Id=983</t>
  </si>
  <si>
    <t>Employee Id=984</t>
  </si>
  <si>
    <t>Employee Id=985</t>
  </si>
  <si>
    <t>Employee Id=986</t>
  </si>
  <si>
    <t>Employee Id=987</t>
  </si>
  <si>
    <t>Employee Id=988</t>
  </si>
  <si>
    <t>Employee Id=989</t>
  </si>
  <si>
    <t>Employee Id=990</t>
  </si>
  <si>
    <t>Employee Id=991</t>
  </si>
  <si>
    <t>Employee Id=992</t>
  </si>
  <si>
    <t>Employee Id=993</t>
  </si>
  <si>
    <t>Employee Id=994</t>
  </si>
  <si>
    <t>Employee Id=995</t>
  </si>
  <si>
    <t>Employee Id=996</t>
  </si>
  <si>
    <t>Employee Id=997</t>
  </si>
  <si>
    <t>Employee Id=998</t>
  </si>
  <si>
    <t>Employee Id=999</t>
  </si>
  <si>
    <t>Employee Id=1000</t>
  </si>
  <si>
    <t>Employee Id=1001</t>
  </si>
  <si>
    <t>Employee Id=1002</t>
  </si>
  <si>
    <t>Employee Id=1003</t>
  </si>
  <si>
    <t>Employee Id=1004</t>
  </si>
  <si>
    <t>Employee Id=1005</t>
  </si>
  <si>
    <t>Employee Id=1006</t>
  </si>
  <si>
    <t>Employee Id=1007</t>
  </si>
  <si>
    <t>Employee Id=1008</t>
  </si>
  <si>
    <t>Employee Id=1009</t>
  </si>
  <si>
    <t>Employee Id=1010</t>
  </si>
  <si>
    <t>Employee Id=1011</t>
  </si>
  <si>
    <t>Employee Id=1012</t>
  </si>
  <si>
    <t>Employee Id=1013</t>
  </si>
  <si>
    <t>Employee Id=1014</t>
  </si>
  <si>
    <t>Employee Id=1015</t>
  </si>
  <si>
    <t>Employee Id=1016</t>
  </si>
  <si>
    <t>Employee Id=1017</t>
  </si>
  <si>
    <t>Employee Id=1018</t>
  </si>
  <si>
    <t>Employee Id=1019</t>
  </si>
  <si>
    <t>Employee Id=1020</t>
  </si>
  <si>
    <t>Employee Id=1021</t>
  </si>
  <si>
    <t>Employee Id=1022</t>
  </si>
  <si>
    <t>Employee Id=1023</t>
  </si>
  <si>
    <t>Employee Id=1024</t>
  </si>
  <si>
    <t>Employee Id=1025</t>
  </si>
  <si>
    <t>Employee Id=1026</t>
  </si>
  <si>
    <t>Employee Id=1027</t>
  </si>
  <si>
    <t>Employee Id=1028</t>
  </si>
  <si>
    <t>Employee Id=1029</t>
  </si>
  <si>
    <t>Employee Id=1030</t>
  </si>
  <si>
    <t>Employee Id=1031</t>
  </si>
  <si>
    <t>Employee Id=1032</t>
  </si>
  <si>
    <t>Employee Id=1033</t>
  </si>
  <si>
    <t>Employee Id=1034</t>
  </si>
  <si>
    <t>Employee Id=1035</t>
  </si>
  <si>
    <t>Employee Id=1036</t>
  </si>
  <si>
    <t>Employee Id=1037</t>
  </si>
  <si>
    <t>Employee Id=1038</t>
  </si>
  <si>
    <t>Employee Id=1039</t>
  </si>
  <si>
    <t>Employee Id=1040</t>
  </si>
  <si>
    <t>Employee Id=1041</t>
  </si>
  <si>
    <t>Employee Id=1042</t>
  </si>
  <si>
    <t>Employee Id=1043</t>
  </si>
  <si>
    <t>Employee Id=1044</t>
  </si>
  <si>
    <t>Employee Id=1045</t>
  </si>
  <si>
    <t>Employee Id=1046</t>
  </si>
  <si>
    <t>Employee Id=1047</t>
  </si>
  <si>
    <t>Employee Id=1048</t>
  </si>
  <si>
    <t>Employee Id=1049</t>
  </si>
  <si>
    <t>Employee Id=1050</t>
  </si>
  <si>
    <t>Employee Id=1051</t>
  </si>
  <si>
    <t>Employee Id=1052</t>
  </si>
  <si>
    <t>Employee Id=1053</t>
  </si>
  <si>
    <t>Employee Id=1054</t>
  </si>
  <si>
    <t>Employee Id=1055</t>
  </si>
  <si>
    <t>Employee Id=1056</t>
  </si>
  <si>
    <t>Employee Id=1057</t>
  </si>
  <si>
    <t>Employee Id=1058</t>
  </si>
  <si>
    <t>Employee Id=1059</t>
  </si>
  <si>
    <t>Employee Id=1060</t>
  </si>
  <si>
    <t>Employee Id=1061</t>
  </si>
  <si>
    <t>Employee Id=1062</t>
  </si>
  <si>
    <t>Employee Id=1063</t>
  </si>
  <si>
    <t>Employee Id=1064</t>
  </si>
  <si>
    <t>Employee Id=1065</t>
  </si>
  <si>
    <t>Employee Id=1066</t>
  </si>
  <si>
    <t>Employee Id=1067</t>
  </si>
  <si>
    <t>Employee Id=1068</t>
  </si>
  <si>
    <t>Employee Id=1069</t>
  </si>
  <si>
    <t>Employee Id=1070</t>
  </si>
  <si>
    <t>Employee Id=1071</t>
  </si>
  <si>
    <t>Employee Id=1072</t>
  </si>
  <si>
    <t>Employee Id=1073</t>
  </si>
  <si>
    <t>Employee Id=1074</t>
  </si>
  <si>
    <t>Employee Id=1075</t>
  </si>
  <si>
    <t>Employee Id=1076</t>
  </si>
  <si>
    <t>Employee Id=1077</t>
  </si>
  <si>
    <t>Employee Id=1078</t>
  </si>
  <si>
    <t>Employee Id=1079</t>
  </si>
  <si>
    <t>Employee Id=1080</t>
  </si>
  <si>
    <t>Employee Id=1081</t>
  </si>
  <si>
    <t>Employee Id=1082</t>
  </si>
  <si>
    <t>Employee Id=1083</t>
  </si>
  <si>
    <t>Employee Id=1084</t>
  </si>
  <si>
    <t>Employee Id=1085</t>
  </si>
  <si>
    <t>Employee Id=1086</t>
  </si>
  <si>
    <t>Employee Id=1087</t>
  </si>
  <si>
    <t>Employee Id=1088</t>
  </si>
  <si>
    <t>Employee Id=1089</t>
  </si>
  <si>
    <t>Employee Id=1090</t>
  </si>
  <si>
    <t>Employee Id=1091</t>
  </si>
  <si>
    <t>Employee Id=1092</t>
  </si>
  <si>
    <t>Employee Id=1093</t>
  </si>
  <si>
    <t>Employee Id=1094</t>
  </si>
  <si>
    <t>Employee Id=1095</t>
  </si>
  <si>
    <t>Employee Id=1096</t>
  </si>
  <si>
    <t>Employee Id=1097</t>
  </si>
  <si>
    <t>Employee Id=1098</t>
  </si>
  <si>
    <t>Employee Id=1099</t>
  </si>
  <si>
    <t>Employee Id=1100</t>
  </si>
  <si>
    <t/>
  </si>
  <si>
    <t>4=Total City</t>
  </si>
  <si>
    <t>Row Labels</t>
  </si>
  <si>
    <t>Grand Total</t>
  </si>
  <si>
    <t>Total Emp By Dept</t>
  </si>
  <si>
    <t>Count of Employee ID</t>
  </si>
  <si>
    <t>4=Sum of Salary by cuntry</t>
  </si>
  <si>
    <t>Sum of Total Annual Salary</t>
  </si>
  <si>
    <t>5=Emp Hired per year</t>
  </si>
  <si>
    <t>Sum of Exit status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</si>
  <si>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</si>
  <si>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</si>
  <si>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</si>
  <si>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</si>
  <si>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</si>
  <si>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</si>
  <si>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</si>
  <si>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</si>
  <si>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</si>
  <si>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</si>
  <si>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</si>
  <si>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</si>
  <si>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</si>
  <si>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</si>
  <si>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</si>
  <si>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</si>
  <si>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</si>
  <si>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</si>
  <si>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</si>
  <si>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</si>
  <si>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</si>
  <si>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</si>
  <si>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</si>
  <si>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</si>
  <si>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</si>
  <si>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</si>
  <si>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</si>
  <si>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</si>
  <si>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</si>
  <si>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</si>
  <si>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Employee Dashboard</t>
  </si>
  <si>
    <t>Total Employee</t>
  </si>
  <si>
    <t>Total Left</t>
  </si>
  <si>
    <t>Total Active</t>
  </si>
  <si>
    <t>Total City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</si>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</sst>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$&quot;#,##0_);\(&quot;$&quot;#,##0\);&quot;$&quot;0_)"/>
    <numFmt numFmtId="182" formatCode="#,##0%_);\(#,##0%\);0%_)"/>
    <numFmt numFmtId="183" formatCode="dd/mm/yyyy\ hh:mm"/>
  </numFmts>
  <fonts count="22">
    <font>
      <sz val="11"/>
      <color theme="1"/>
      <name val="Corbel"/>
      <charset val="134"/>
      <scheme val="minor"/>
    </font>
    <font>
      <b/>
      <sz val="18"/>
      <color theme="1"/>
      <name val="Corbel"/>
      <charset val="134"/>
      <scheme val="minor"/>
    </font>
    <font>
      <b/>
      <sz val="11"/>
      <name val="Corbel"/>
      <charset val="134"/>
      <scheme val="minor"/>
    </font>
    <font>
      <u/>
      <sz val="11"/>
      <color rgb="FF0000FF"/>
      <name val="Corbel"/>
      <charset val="0"/>
      <scheme val="minor"/>
    </font>
    <font>
      <u/>
      <sz val="11"/>
      <color rgb="FF800080"/>
      <name val="Corbel"/>
      <charset val="0"/>
      <scheme val="minor"/>
    </font>
    <font>
      <sz val="11"/>
      <color rgb="FFFF0000"/>
      <name val="Corbel"/>
      <charset val="0"/>
      <scheme val="minor"/>
    </font>
    <font>
      <b/>
      <sz val="18"/>
      <color theme="3"/>
      <name val="Corbel"/>
      <charset val="134"/>
      <scheme val="minor"/>
    </font>
    <font>
      <i/>
      <sz val="11"/>
      <color rgb="FF7F7F7F"/>
      <name val="Corbel"/>
      <charset val="0"/>
      <scheme val="minor"/>
    </font>
    <font>
      <b/>
      <sz val="15"/>
      <color theme="3"/>
      <name val="Corbel"/>
      <charset val="134"/>
      <scheme val="minor"/>
    </font>
    <font>
      <b/>
      <sz val="13"/>
      <color theme="3"/>
      <name val="Corbel"/>
      <charset val="134"/>
      <scheme val="minor"/>
    </font>
    <font>
      <b/>
      <sz val="11"/>
      <color theme="3"/>
      <name val="Corbel"/>
      <charset val="134"/>
      <scheme val="minor"/>
    </font>
    <font>
      <sz val="11"/>
      <color rgb="FF3F3F76"/>
      <name val="Corbel"/>
      <charset val="0"/>
      <scheme val="minor"/>
    </font>
    <font>
      <b/>
      <sz val="11"/>
      <color rgb="FF3F3F3F"/>
      <name val="Corbel"/>
      <charset val="0"/>
      <scheme val="minor"/>
    </font>
    <font>
      <b/>
      <sz val="11"/>
      <color rgb="FFFA7D00"/>
      <name val="Corbel"/>
      <charset val="0"/>
      <scheme val="minor"/>
    </font>
    <font>
      <b/>
      <sz val="11"/>
      <color rgb="FFFFFFFF"/>
      <name val="Corbel"/>
      <charset val="0"/>
      <scheme val="minor"/>
    </font>
    <font>
      <sz val="11"/>
      <color rgb="FFFA7D00"/>
      <name val="Corbel"/>
      <charset val="0"/>
      <scheme val="minor"/>
    </font>
    <font>
      <b/>
      <sz val="11"/>
      <color theme="1"/>
      <name val="Corbel"/>
      <charset val="0"/>
      <scheme val="minor"/>
    </font>
    <font>
      <sz val="11"/>
      <color rgb="FF006100"/>
      <name val="Corbel"/>
      <charset val="0"/>
      <scheme val="minor"/>
    </font>
    <font>
      <sz val="11"/>
      <color rgb="FF9C0006"/>
      <name val="Corbel"/>
      <charset val="0"/>
      <scheme val="minor"/>
    </font>
    <font>
      <sz val="11"/>
      <color rgb="FF9C6500"/>
      <name val="Corbel"/>
      <charset val="0"/>
      <scheme val="minor"/>
    </font>
    <font>
      <sz val="11"/>
      <color theme="0"/>
      <name val="Corbel"/>
      <charset val="0"/>
      <scheme val="minor"/>
    </font>
    <font>
      <sz val="11"/>
      <color theme="1"/>
      <name val="Corbe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3" applyNumberFormat="0" applyAlignment="0" applyProtection="0">
      <alignment vertical="center"/>
    </xf>
    <xf numFmtId="0" fontId="12" fillId="11" borderId="14" applyNumberFormat="0" applyAlignment="0" applyProtection="0">
      <alignment vertical="center"/>
    </xf>
    <xf numFmtId="0" fontId="13" fillId="11" borderId="13" applyNumberFormat="0" applyAlignment="0" applyProtection="0">
      <alignment vertical="center"/>
    </xf>
    <xf numFmtId="0" fontId="14" fillId="12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180" fontId="0" fillId="0" borderId="4" xfId="0" applyNumberFormat="1" applyBorder="1"/>
    <xf numFmtId="181" fontId="0" fillId="0" borderId="4" xfId="0" applyNumberFormat="1" applyBorder="1"/>
    <xf numFmtId="182" fontId="0" fillId="0" borderId="4" xfId="0" applyNumberFormat="1" applyBorder="1"/>
    <xf numFmtId="180" fontId="2" fillId="6" borderId="5" xfId="0" applyNumberFormat="1" applyFont="1" applyFill="1" applyBorder="1" applyAlignment="1">
      <alignment horizontal="left"/>
    </xf>
    <xf numFmtId="180" fontId="0" fillId="0" borderId="6" xfId="0" applyNumberFormat="1" applyBorder="1"/>
    <xf numFmtId="0" fontId="0" fillId="0" borderId="7" xfId="0" applyBorder="1"/>
    <xf numFmtId="0" fontId="0" fillId="0" borderId="8" xfId="0" applyBorder="1"/>
    <xf numFmtId="180" fontId="0" fillId="0" borderId="8" xfId="0" applyNumberFormat="1" applyBorder="1"/>
    <xf numFmtId="181" fontId="0" fillId="0" borderId="8" xfId="0" applyNumberFormat="1" applyBorder="1"/>
    <xf numFmtId="182" fontId="0" fillId="0" borderId="8" xfId="0" applyNumberFormat="1" applyBorder="1"/>
    <xf numFmtId="180" fontId="0" fillId="0" borderId="9" xfId="0" applyNumberFormat="1" applyBorder="1"/>
    <xf numFmtId="183" fontId="0" fillId="0" borderId="0" xfId="0" applyNumberFormat="1"/>
    <xf numFmtId="180" fontId="0" fillId="0" borderId="0" xfId="0" applyNumberFormat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3" formatCode="dd/mm/yyyy\ hh:mm"/>
    </dxf>
    <dxf>
      <numFmt numFmtId="0" formatCode="General"/>
    </dxf>
    <dxf>
      <numFmt numFmtId="0" formatCode="General"/>
    </dxf>
    <dxf>
      <numFmt numFmtId="180" formatCode="dd/mm/yyyy"/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4" formatCode="m/d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$&quot;#,##0_);\(&quot;$&quot;#,##0\);&quot;$&quot;0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2" formatCode="#,##0%_);\(#,##0%\);0%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5" formatCode="m/d/yyyy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Employee By Business Unit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'Chart s and Slicers'!$C$45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Slicers'!$B$46:$B$50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'Chart s and Slicers'!$C$46:$C$50</c:f>
              <c:numCache>
                <c:formatCode>General</c:formatCode>
                <c:ptCount val="4"/>
                <c:pt idx="0">
                  <c:v>237</c:v>
                </c:pt>
                <c:pt idx="1">
                  <c:v>269</c:v>
                </c:pt>
                <c:pt idx="2">
                  <c:v>229</c:v>
                </c:pt>
                <c:pt idx="3">
                  <c:v>265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92ae7d-6669-448c-9180-83f9d0ce0a0a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Employee By Department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s and Slicers'!$C$15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Slicers'!$B$16:$B$23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'Chart s and Slicers'!$C$16:$C$23</c:f>
              <c:numCache>
                <c:formatCode>General</c:formatCode>
                <c:ptCount val="7"/>
                <c:pt idx="0">
                  <c:v>96</c:v>
                </c:pt>
                <c:pt idx="1">
                  <c:v>158</c:v>
                </c:pt>
                <c:pt idx="2">
                  <c:v>120</c:v>
                </c:pt>
                <c:pt idx="3">
                  <c:v>125</c:v>
                </c:pt>
                <c:pt idx="4">
                  <c:v>241</c:v>
                </c:pt>
                <c:pt idx="5">
                  <c:v>120</c:v>
                </c:pt>
                <c:pt idx="6">
                  <c:v>140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6958944"/>
        <c:axId val="346957024"/>
      </c:barChart>
      <c:catAx>
        <c:axId val="3469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957024"/>
        <c:crosses val="autoZero"/>
        <c:auto val="1"/>
        <c:lblAlgn val="ctr"/>
        <c:lblOffset val="100"/>
        <c:noMultiLvlLbl val="0"/>
      </c:catAx>
      <c:valAx>
        <c:axId val="3469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9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ed355d-ce1e-4487-9daa-c091d981f9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Employee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'Chart s and Slicers'!$C$29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Slicers'!$B$30:$B$35</c:f>
              <c:strCache>
                <c:ptCount val="5"/>
                <c:pt idx="0">
                  <c:v>25-35</c:v>
                </c:pt>
                <c:pt idx="1">
                  <c:v>35-45</c:v>
                </c:pt>
                <c:pt idx="2">
                  <c:v>45-55</c:v>
                </c:pt>
                <c:pt idx="3">
                  <c:v>55-65</c:v>
                </c:pt>
                <c:pt idx="4">
                  <c:v>65-100</c:v>
                </c:pt>
              </c:strCache>
            </c:strRef>
          </c:cat>
          <c:val>
            <c:numRef>
              <c:f>'Chart s and Slicers'!$C$30:$C$35</c:f>
              <c:numCache>
                <c:formatCode>General</c:formatCode>
                <c:ptCount val="5"/>
                <c:pt idx="0">
                  <c:v>245</c:v>
                </c:pt>
                <c:pt idx="1">
                  <c:v>227</c:v>
                </c:pt>
                <c:pt idx="2">
                  <c:v>296</c:v>
                </c:pt>
                <c:pt idx="3">
                  <c:v>217</c:v>
                </c:pt>
                <c:pt idx="4">
                  <c:v>15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497be0-8c63-40cc-8a4f-334f638076d7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Slicers!PivotTable11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Emp By Country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s and Slicers'!$C$61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Slicers'!$B$62:$B$65</c:f>
              <c:strCache>
                <c:ptCount val="3"/>
                <c:pt idx="0">
                  <c:v>Brazil</c:v>
                </c:pt>
                <c:pt idx="1">
                  <c:v>China</c:v>
                </c:pt>
                <c:pt idx="2">
                  <c:v>United States</c:v>
                </c:pt>
              </c:strCache>
            </c:strRef>
          </c:cat>
          <c:val>
            <c:numRef>
              <c:f>'Chart s and Slicers'!$C$62:$C$65</c:f>
              <c:numCache>
                <c:formatCode>General</c:formatCode>
                <c:ptCount val="3"/>
                <c:pt idx="0">
                  <c:v>17766816</c:v>
                </c:pt>
                <c:pt idx="1">
                  <c:v>28046667</c:v>
                </c:pt>
                <c:pt idx="2">
                  <c:v>83229839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8f7f91-9ef3-4563-b0c2-65d91bc28e7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Slicers!PivotTable12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Employee</a:t>
            </a:r>
            <a:r>
              <a:rPr lang="en-IN" b="1" baseline="0"/>
              <a:t> Hired Per year</a:t>
            </a:r>
            <a:endParaRPr lang="en-IN" b="1"/>
          </a:p>
        </c:rich>
      </c:tx>
      <c:layout>
        <c:manualLayout>
          <c:xMode val="edge"/>
          <c:yMode val="edge"/>
          <c:x val="0.302027777777778"/>
          <c:y val="0.04080874579621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506999125109"/>
          <c:y val="0.187720230662599"/>
          <c:w val="0.565459755030621"/>
          <c:h val="0.686677197679493"/>
        </c:manualLayout>
      </c:layout>
      <c:lineChart>
        <c:grouping val="standard"/>
        <c:varyColors val="0"/>
        <c:ser>
          <c:idx val="0"/>
          <c:order val="0"/>
          <c:tx>
            <c:strRef>
              <c:f>'Chart s and Slicers'!$C$77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'Chart s and Slicers'!$B$78:$B$108</c:f>
              <c:strCache>
                <c:ptCount val="3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</c:strCache>
            </c:strRef>
          </c:cat>
          <c:val>
            <c:numRef>
              <c:f>'Chart s and Slicers'!$C$78:$C$108</c:f>
              <c:numCache>
                <c:formatCode>General</c:formatCode>
                <c:ptCount val="30"/>
                <c:pt idx="0">
                  <c:v>11</c:v>
                </c:pt>
                <c:pt idx="1">
                  <c:v>3</c:v>
                </c:pt>
                <c:pt idx="2">
                  <c:v>13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  <c:pt idx="10">
                  <c:v>23</c:v>
                </c:pt>
                <c:pt idx="11">
                  <c:v>19</c:v>
                </c:pt>
                <c:pt idx="12">
                  <c:v>29</c:v>
                </c:pt>
                <c:pt idx="13">
                  <c:v>27</c:v>
                </c:pt>
                <c:pt idx="14">
                  <c:v>30</c:v>
                </c:pt>
                <c:pt idx="15">
                  <c:v>33</c:v>
                </c:pt>
                <c:pt idx="16">
                  <c:v>25</c:v>
                </c:pt>
                <c:pt idx="17">
                  <c:v>29</c:v>
                </c:pt>
                <c:pt idx="18">
                  <c:v>42</c:v>
                </c:pt>
                <c:pt idx="19">
                  <c:v>39</c:v>
                </c:pt>
                <c:pt idx="20">
                  <c:v>37</c:v>
                </c:pt>
                <c:pt idx="21">
                  <c:v>39</c:v>
                </c:pt>
                <c:pt idx="22">
                  <c:v>52</c:v>
                </c:pt>
                <c:pt idx="23">
                  <c:v>47</c:v>
                </c:pt>
                <c:pt idx="24">
                  <c:v>52</c:v>
                </c:pt>
                <c:pt idx="25">
                  <c:v>70</c:v>
                </c:pt>
                <c:pt idx="26">
                  <c:v>68</c:v>
                </c:pt>
                <c:pt idx="27">
                  <c:v>68</c:v>
                </c:pt>
                <c:pt idx="28">
                  <c:v>66</c:v>
                </c:pt>
                <c:pt idx="29">
                  <c:v>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'Chart s and Slicers'!$D$77</c:f>
              <c:strCache>
                <c:ptCount val="1"/>
                <c:pt idx="0">
                  <c:v>Sum of Exit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'Chart s and Slicers'!$B$78:$B$108</c:f>
              <c:strCache>
                <c:ptCount val="3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</c:strCache>
            </c:strRef>
          </c:cat>
          <c:val>
            <c:numRef>
              <c:f>'Chart s and Slicers'!$D$78:$D$108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9</c:v>
                </c:pt>
                <c:pt idx="26">
                  <c:v>5</c:v>
                </c:pt>
                <c:pt idx="27">
                  <c:v>8</c:v>
                </c:pt>
                <c:pt idx="28">
                  <c:v>6</c:v>
                </c:pt>
                <c:pt idx="29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637232"/>
        <c:axId val="779657920"/>
      </c:lineChart>
      <c:catAx>
        <c:axId val="69063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657920"/>
        <c:crosses val="autoZero"/>
        <c:auto val="1"/>
        <c:lblAlgn val="ctr"/>
        <c:lblOffset val="100"/>
        <c:noMultiLvlLbl val="0"/>
      </c:catAx>
      <c:valAx>
        <c:axId val="779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63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cc1c93-7447-4b66-b209-259c40be15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Slicers!PivotTable2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Employee By Department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s and Slicers'!$C$15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Slicers'!$B$16:$B$23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'Chart s and Slicers'!$C$16:$C$23</c:f>
              <c:numCache>
                <c:formatCode>General</c:formatCode>
                <c:ptCount val="7"/>
                <c:pt idx="0">
                  <c:v>96</c:v>
                </c:pt>
                <c:pt idx="1">
                  <c:v>158</c:v>
                </c:pt>
                <c:pt idx="2">
                  <c:v>120</c:v>
                </c:pt>
                <c:pt idx="3">
                  <c:v>125</c:v>
                </c:pt>
                <c:pt idx="4">
                  <c:v>241</c:v>
                </c:pt>
                <c:pt idx="5">
                  <c:v>120</c:v>
                </c:pt>
                <c:pt idx="6">
                  <c:v>140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6958944"/>
        <c:axId val="346957024"/>
      </c:barChart>
      <c:catAx>
        <c:axId val="3469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957024"/>
        <c:crosses val="autoZero"/>
        <c:auto val="1"/>
        <c:lblAlgn val="ctr"/>
        <c:lblOffset val="100"/>
        <c:noMultiLvlLbl val="0"/>
      </c:catAx>
      <c:valAx>
        <c:axId val="3469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9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0dfc91-2707-48f8-806c-a14927e2a2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Slicers!PivotTable9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Employee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'Chart s and Slicers'!$C$29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>
                  <a:shade val="80000"/>
                  <a:satMod val="1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Slicers'!$B$30:$B$35</c:f>
              <c:strCache>
                <c:ptCount val="5"/>
                <c:pt idx="0">
                  <c:v>25-35</c:v>
                </c:pt>
                <c:pt idx="1">
                  <c:v>35-45</c:v>
                </c:pt>
                <c:pt idx="2">
                  <c:v>45-55</c:v>
                </c:pt>
                <c:pt idx="3">
                  <c:v>55-65</c:v>
                </c:pt>
                <c:pt idx="4">
                  <c:v>65-100</c:v>
                </c:pt>
              </c:strCache>
            </c:strRef>
          </c:cat>
          <c:val>
            <c:numRef>
              <c:f>'Chart s and Slicers'!$C$30:$C$35</c:f>
              <c:numCache>
                <c:formatCode>General</c:formatCode>
                <c:ptCount val="5"/>
                <c:pt idx="0">
                  <c:v>245</c:v>
                </c:pt>
                <c:pt idx="1">
                  <c:v>227</c:v>
                </c:pt>
                <c:pt idx="2">
                  <c:v>296</c:v>
                </c:pt>
                <c:pt idx="3">
                  <c:v>217</c:v>
                </c:pt>
                <c:pt idx="4">
                  <c:v>15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081185-c7d0-43e0-abc5-9464c240fbdc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Slicers!PivotTable10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Employee By Business Unit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'Chart s and Slicers'!$C$45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Slicers'!$B$46:$B$50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'Chart s and Slicers'!$C$46:$C$50</c:f>
              <c:numCache>
                <c:formatCode>General</c:formatCode>
                <c:ptCount val="4"/>
                <c:pt idx="0">
                  <c:v>237</c:v>
                </c:pt>
                <c:pt idx="1">
                  <c:v>269</c:v>
                </c:pt>
                <c:pt idx="2">
                  <c:v>229</c:v>
                </c:pt>
                <c:pt idx="3">
                  <c:v>265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738acd-9ef1-4605-b568-dba5b3bf09fc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Slicers!PivotTable11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Emp By Country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s and Slicers'!$C$61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80000"/>
                  <a:satMod val="1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Slicers'!$B$62:$B$65</c:f>
              <c:strCache>
                <c:ptCount val="3"/>
                <c:pt idx="0">
                  <c:v>Brazil</c:v>
                </c:pt>
                <c:pt idx="1">
                  <c:v>China</c:v>
                </c:pt>
                <c:pt idx="2">
                  <c:v>United States</c:v>
                </c:pt>
              </c:strCache>
            </c:strRef>
          </c:cat>
          <c:val>
            <c:numRef>
              <c:f>'Chart s and Slicers'!$C$62:$C$65</c:f>
              <c:numCache>
                <c:formatCode>General</c:formatCode>
                <c:ptCount val="3"/>
                <c:pt idx="0">
                  <c:v>17766816</c:v>
                </c:pt>
                <c:pt idx="1">
                  <c:v>28046667</c:v>
                </c:pt>
                <c:pt idx="2">
                  <c:v>83229839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93b6ed-5509-4088-88c3-d8c9f819cea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[1.1 Employee raw data with Report and Steps.xlsx]Chart s and Slicers!PivotTable12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Employee</a:t>
            </a:r>
            <a:r>
              <a:rPr lang="en-IN" b="1" baseline="0"/>
              <a:t> Hired Per year</a:t>
            </a:r>
            <a:endParaRPr lang="en-IN" b="1"/>
          </a:p>
        </c:rich>
      </c:tx>
      <c:layout>
        <c:manualLayout>
          <c:xMode val="edge"/>
          <c:yMode val="edge"/>
          <c:x val="0.302027777777778"/>
          <c:y val="0.04080874579621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506999125109"/>
          <c:y val="0.187720230662599"/>
          <c:w val="0.565459755030621"/>
          <c:h val="0.686677197679493"/>
        </c:manualLayout>
      </c:layout>
      <c:lineChart>
        <c:grouping val="standard"/>
        <c:varyColors val="0"/>
        <c:ser>
          <c:idx val="0"/>
          <c:order val="0"/>
          <c:tx>
            <c:strRef>
              <c:f>'Chart s and Slicers'!$C$77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'Chart s and Slicers'!$B$78:$B$108</c:f>
              <c:strCache>
                <c:ptCount val="3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</c:strCache>
            </c:strRef>
          </c:cat>
          <c:val>
            <c:numRef>
              <c:f>'Chart s and Slicers'!$C$78:$C$108</c:f>
              <c:numCache>
                <c:formatCode>General</c:formatCode>
                <c:ptCount val="30"/>
                <c:pt idx="0">
                  <c:v>11</c:v>
                </c:pt>
                <c:pt idx="1">
                  <c:v>3</c:v>
                </c:pt>
                <c:pt idx="2">
                  <c:v>13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  <c:pt idx="10">
                  <c:v>23</c:v>
                </c:pt>
                <c:pt idx="11">
                  <c:v>19</c:v>
                </c:pt>
                <c:pt idx="12">
                  <c:v>29</c:v>
                </c:pt>
                <c:pt idx="13">
                  <c:v>27</c:v>
                </c:pt>
                <c:pt idx="14">
                  <c:v>30</c:v>
                </c:pt>
                <c:pt idx="15">
                  <c:v>33</c:v>
                </c:pt>
                <c:pt idx="16">
                  <c:v>25</c:v>
                </c:pt>
                <c:pt idx="17">
                  <c:v>29</c:v>
                </c:pt>
                <c:pt idx="18">
                  <c:v>42</c:v>
                </c:pt>
                <c:pt idx="19">
                  <c:v>39</c:v>
                </c:pt>
                <c:pt idx="20">
                  <c:v>37</c:v>
                </c:pt>
                <c:pt idx="21">
                  <c:v>39</c:v>
                </c:pt>
                <c:pt idx="22">
                  <c:v>52</c:v>
                </c:pt>
                <c:pt idx="23">
                  <c:v>47</c:v>
                </c:pt>
                <c:pt idx="24">
                  <c:v>52</c:v>
                </c:pt>
                <c:pt idx="25">
                  <c:v>70</c:v>
                </c:pt>
                <c:pt idx="26">
                  <c:v>68</c:v>
                </c:pt>
                <c:pt idx="27">
                  <c:v>68</c:v>
                </c:pt>
                <c:pt idx="28">
                  <c:v>66</c:v>
                </c:pt>
                <c:pt idx="29">
                  <c:v>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'Chart s and Slicers'!$D$77</c:f>
              <c:strCache>
                <c:ptCount val="1"/>
                <c:pt idx="0">
                  <c:v>Sum of Exit 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'Chart s and Slicers'!$B$78:$B$108</c:f>
              <c:strCache>
                <c:ptCount val="30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</c:strCache>
            </c:strRef>
          </c:cat>
          <c:val>
            <c:numRef>
              <c:f>'Chart s and Slicers'!$D$78:$D$108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9</c:v>
                </c:pt>
                <c:pt idx="26">
                  <c:v>5</c:v>
                </c:pt>
                <c:pt idx="27">
                  <c:v>8</c:v>
                </c:pt>
                <c:pt idx="28">
                  <c:v>6</c:v>
                </c:pt>
                <c:pt idx="29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637232"/>
        <c:axId val="779657920"/>
      </c:lineChart>
      <c:catAx>
        <c:axId val="69063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657920"/>
        <c:crosses val="autoZero"/>
        <c:auto val="1"/>
        <c:lblAlgn val="ctr"/>
        <c:lblOffset val="100"/>
        <c:noMultiLvlLbl val="0"/>
      </c:catAx>
      <c:valAx>
        <c:axId val="779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63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60bb8c-e10e-43c1-a304-8a99319e38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747395</xdr:colOff>
      <xdr:row>41</xdr:row>
      <xdr:rowOff>165100</xdr:rowOff>
    </xdr:from>
    <xdr:to>
      <xdr:col>9</xdr:col>
      <xdr:colOff>504717</xdr:colOff>
      <xdr:row>56</xdr:row>
      <xdr:rowOff>142978</xdr:rowOff>
    </xdr:to>
    <xdr:graphicFrame>
      <xdr:nvGraphicFramePr>
        <xdr:cNvPr id="7" name="Chart 6"/>
        <xdr:cNvGraphicFramePr/>
      </xdr:nvGraphicFramePr>
      <xdr:xfrm>
        <a:off x="4069715" y="7663180"/>
        <a:ext cx="4107815" cy="2720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151765</xdr:colOff>
      <xdr:row>6</xdr:row>
      <xdr:rowOff>3175</xdr:rowOff>
    </xdr:from>
    <xdr:to>
      <xdr:col>8</xdr:col>
      <xdr:colOff>507816</xdr:colOff>
      <xdr:row>18</xdr:row>
      <xdr:rowOff>7477</xdr:rowOff>
    </xdr:to>
    <xdr:graphicFrame>
      <xdr:nvGraphicFramePr>
        <xdr:cNvPr id="11" name="Chart 10"/>
        <xdr:cNvGraphicFramePr/>
      </xdr:nvGraphicFramePr>
      <xdr:xfrm>
        <a:off x="3474085" y="1100455"/>
        <a:ext cx="4089400" cy="2198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308610</xdr:colOff>
      <xdr:row>4</xdr:row>
      <xdr:rowOff>50800</xdr:rowOff>
    </xdr:from>
    <xdr:to>
      <xdr:col>12</xdr:col>
      <xdr:colOff>51742</xdr:colOff>
      <xdr:row>17</xdr:row>
      <xdr:rowOff>121162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1950" y="782320"/>
              <a:ext cx="1838325" cy="2447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236220</xdr:colOff>
      <xdr:row>4</xdr:row>
      <xdr:rowOff>159385</xdr:rowOff>
    </xdr:from>
    <xdr:to>
      <xdr:col>15</xdr:col>
      <xdr:colOff>239907</xdr:colOff>
      <xdr:row>18</xdr:row>
      <xdr:rowOff>46867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5060" y="890905"/>
              <a:ext cx="1854835" cy="2447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347980</xdr:colOff>
      <xdr:row>19</xdr:row>
      <xdr:rowOff>130175</xdr:rowOff>
    </xdr:from>
    <xdr:to>
      <xdr:col>9</xdr:col>
      <xdr:colOff>163625</xdr:colOff>
      <xdr:row>33</xdr:row>
      <xdr:rowOff>120510</xdr:rowOff>
    </xdr:to>
    <xdr:graphicFrame>
      <xdr:nvGraphicFramePr>
        <xdr:cNvPr id="2" name="Chart 1"/>
        <xdr:cNvGraphicFramePr/>
      </xdr:nvGraphicFramePr>
      <xdr:xfrm>
        <a:off x="3670300" y="3604895"/>
        <a:ext cx="4166235" cy="255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604181</xdr:colOff>
      <xdr:row>57</xdr:row>
      <xdr:rowOff>149886</xdr:rowOff>
    </xdr:from>
    <xdr:to>
      <xdr:col>12</xdr:col>
      <xdr:colOff>64804</xdr:colOff>
      <xdr:row>72</xdr:row>
      <xdr:rowOff>127764</xdr:rowOff>
    </xdr:to>
    <xdr:graphicFrame>
      <xdr:nvGraphicFramePr>
        <xdr:cNvPr id="3" name="Chart 2"/>
        <xdr:cNvGraphicFramePr/>
      </xdr:nvGraphicFramePr>
      <xdr:xfrm>
        <a:off x="5191125" y="10574020"/>
        <a:ext cx="4642485" cy="2720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324716</xdr:colOff>
      <xdr:row>74</xdr:row>
      <xdr:rowOff>112568</xdr:rowOff>
    </xdr:from>
    <xdr:to>
      <xdr:col>13</xdr:col>
      <xdr:colOff>385330</xdr:colOff>
      <xdr:row>91</xdr:row>
      <xdr:rowOff>133350</xdr:rowOff>
    </xdr:to>
    <xdr:graphicFrame>
      <xdr:nvGraphicFramePr>
        <xdr:cNvPr id="4" name="Chart 3"/>
        <xdr:cNvGraphicFramePr/>
      </xdr:nvGraphicFramePr>
      <xdr:xfrm>
        <a:off x="6146165" y="13645515"/>
        <a:ext cx="4624705" cy="3129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</xdr:colOff>
      <xdr:row>2</xdr:row>
      <xdr:rowOff>175260</xdr:rowOff>
    </xdr:from>
    <xdr:to>
      <xdr:col>7</xdr:col>
      <xdr:colOff>365760</xdr:colOff>
      <xdr:row>16</xdr:row>
      <xdr:rowOff>124239</xdr:rowOff>
    </xdr:to>
    <xdr:graphicFrame>
      <xdr:nvGraphicFramePr>
        <xdr:cNvPr id="6" name="Chart 5"/>
        <xdr:cNvGraphicFramePr/>
      </xdr:nvGraphicFramePr>
      <xdr:xfrm>
        <a:off x="624840" y="655320"/>
        <a:ext cx="4008120" cy="2508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374706</xdr:colOff>
      <xdr:row>20</xdr:row>
      <xdr:rowOff>56985</xdr:rowOff>
    </xdr:from>
    <xdr:to>
      <xdr:col>14</xdr:col>
      <xdr:colOff>405186</xdr:colOff>
      <xdr:row>31</xdr:row>
      <xdr:rowOff>110324</xdr:rowOff>
    </xdr:to>
    <xdr:graphicFrame>
      <xdr:nvGraphicFramePr>
        <xdr:cNvPr id="8" name="Chart 7"/>
        <xdr:cNvGraphicFramePr/>
      </xdr:nvGraphicFramePr>
      <xdr:xfrm>
        <a:off x="4641850" y="3828415"/>
        <a:ext cx="4373880" cy="2065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611588</xdr:colOff>
      <xdr:row>17</xdr:row>
      <xdr:rowOff>68249</xdr:rowOff>
    </xdr:from>
    <xdr:to>
      <xdr:col>7</xdr:col>
      <xdr:colOff>303475</xdr:colOff>
      <xdr:row>32</xdr:row>
      <xdr:rowOff>37769</xdr:rowOff>
    </xdr:to>
    <xdr:graphicFrame>
      <xdr:nvGraphicFramePr>
        <xdr:cNvPr id="9" name="Chart 8"/>
        <xdr:cNvGraphicFramePr/>
      </xdr:nvGraphicFramePr>
      <xdr:xfrm>
        <a:off x="609600" y="3291205"/>
        <a:ext cx="3960495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433015</xdr:colOff>
      <xdr:row>16</xdr:row>
      <xdr:rowOff>115956</xdr:rowOff>
    </xdr:from>
    <xdr:to>
      <xdr:col>21</xdr:col>
      <xdr:colOff>603968</xdr:colOff>
      <xdr:row>31</xdr:row>
      <xdr:rowOff>48039</xdr:rowOff>
    </xdr:to>
    <xdr:graphicFrame>
      <xdr:nvGraphicFramePr>
        <xdr:cNvPr id="10" name="Chart 9"/>
        <xdr:cNvGraphicFramePr/>
      </xdr:nvGraphicFramePr>
      <xdr:xfrm>
        <a:off x="9043035" y="3155950"/>
        <a:ext cx="4438650" cy="2675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136497</xdr:colOff>
      <xdr:row>4</xdr:row>
      <xdr:rowOff>100717</xdr:rowOff>
    </xdr:from>
    <xdr:to>
      <xdr:col>14</xdr:col>
      <xdr:colOff>319377</xdr:colOff>
      <xdr:row>14</xdr:row>
      <xdr:rowOff>9277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8090" y="946150"/>
              <a:ext cx="2621280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177248</xdr:colOff>
      <xdr:row>15</xdr:row>
      <xdr:rowOff>71893</xdr:rowOff>
    </xdr:from>
    <xdr:to>
      <xdr:col>14</xdr:col>
      <xdr:colOff>352508</xdr:colOff>
      <xdr:row>19</xdr:row>
      <xdr:rowOff>71893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9365" y="2929255"/>
              <a:ext cx="2613660" cy="731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414130</xdr:colOff>
      <xdr:row>3</xdr:row>
      <xdr:rowOff>57978</xdr:rowOff>
    </xdr:from>
    <xdr:to>
      <xdr:col>21</xdr:col>
      <xdr:colOff>554935</xdr:colOff>
      <xdr:row>15</xdr:row>
      <xdr:rowOff>165653</xdr:rowOff>
    </xdr:to>
    <xdr:graphicFrame>
      <xdr:nvGraphicFramePr>
        <xdr:cNvPr id="2" name="Chart 1"/>
        <xdr:cNvGraphicFramePr/>
      </xdr:nvGraphicFramePr>
      <xdr:xfrm>
        <a:off x="9024620" y="720725"/>
        <a:ext cx="4407535" cy="2301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32.5082097222" refreshedBy="Rani Kanhe" recordCount="1000">
  <cacheSource type="worksheet">
    <worksheetSource name="emp"/>
  </cacheSource>
  <cacheFields count="18">
    <cacheField name="Employee ID" numFmtId="0">
      <sharedItems count="1000">
        <s v="Employee Id=101"/>
        <s v="Employee Id=102"/>
        <s v="Employee Id=103"/>
        <s v="Employee Id=104"/>
        <s v="Employee Id=105"/>
        <s v="Employee Id=106"/>
        <s v="Employee Id=107"/>
        <s v="Employee Id=108"/>
        <s v="Employee Id=109"/>
        <s v="Employee Id=110"/>
        <s v="Employee Id=111"/>
        <s v="Employee Id=112"/>
        <s v="Employee Id=113"/>
        <s v="Employee Id=114"/>
        <s v="Employee Id=115"/>
        <s v="Employee Id=116"/>
        <s v="Employee Id=117"/>
        <s v="Employee Id=118"/>
        <s v="Employee Id=119"/>
        <s v="Employee Id=120"/>
        <s v="Employee Id=121"/>
        <s v="Employee Id=122"/>
        <s v="Employee Id=123"/>
        <s v="Employee Id=124"/>
        <s v="Employee Id=125"/>
        <s v="Employee Id=126"/>
        <s v="Employee Id=127"/>
        <s v="Employee Id=128"/>
        <s v="Employee Id=129"/>
        <s v="Employee Id=130"/>
        <s v="Employee Id=131"/>
        <s v="Employee Id=132"/>
        <s v="Employee Id=133"/>
        <s v="Employee Id=134"/>
        <s v="Employee Id=135"/>
        <s v="Employee Id=136"/>
        <s v="Employee Id=137"/>
        <s v="Employee Id=138"/>
        <s v="Employee Id=139"/>
        <s v="Employee Id=140"/>
        <s v="Employee Id=141"/>
        <s v="Employee Id=142"/>
        <s v="Employee Id=143"/>
        <s v="Employee Id=144"/>
        <s v="Employee Id=145"/>
        <s v="Employee Id=146"/>
        <s v="Employee Id=147"/>
        <s v="Employee Id=148"/>
        <s v="Employee Id=149"/>
        <s v="Employee Id=150"/>
        <s v="Employee Id=151"/>
        <s v="Employee Id=152"/>
        <s v="Employee Id=153"/>
        <s v="Employee Id=154"/>
        <s v="Employee Id=155"/>
        <s v="Employee Id=156"/>
        <s v="Employee Id=157"/>
        <s v="Employee Id=158"/>
        <s v="Employee Id=159"/>
        <s v="Employee Id=160"/>
        <s v="Employee Id=161"/>
        <s v="Employee Id=162"/>
        <s v="Employee Id=163"/>
        <s v="Employee Id=164"/>
        <s v="Employee Id=165"/>
        <s v="Employee Id=166"/>
        <s v="Employee Id=167"/>
        <s v="Employee Id=168"/>
        <s v="Employee Id=169"/>
        <s v="Employee Id=170"/>
        <s v="Employee Id=171"/>
        <s v="Employee Id=172"/>
        <s v="Employee Id=173"/>
        <s v="Employee Id=174"/>
        <s v="Employee Id=175"/>
        <s v="Employee Id=176"/>
        <s v="Employee Id=177"/>
        <s v="Employee Id=178"/>
        <s v="Employee Id=179"/>
        <s v="Employee Id=180"/>
        <s v="Employee Id=181"/>
        <s v="Employee Id=182"/>
        <s v="Employee Id=183"/>
        <s v="Employee Id=184"/>
        <s v="Employee Id=185"/>
        <s v="Employee Id=186"/>
        <s v="Employee Id=187"/>
        <s v="Employee Id=188"/>
        <s v="Employee Id=189"/>
        <s v="Employee Id=190"/>
        <s v="Employee Id=191"/>
        <s v="Employee Id=192"/>
        <s v="Employee Id=193"/>
        <s v="Employee Id=194"/>
        <s v="Employee Id=195"/>
        <s v="Employee Id=196"/>
        <s v="Employee Id=197"/>
        <s v="Employee Id=198"/>
        <s v="Employee Id=199"/>
        <s v="Employee Id=200"/>
        <s v="Employee Id=201"/>
        <s v="Employee Id=202"/>
        <s v="Employee Id=203"/>
        <s v="Employee Id=204"/>
        <s v="Employee Id=205"/>
        <s v="Employee Id=206"/>
        <s v="Employee Id=207"/>
        <s v="Employee Id=208"/>
        <s v="Employee Id=209"/>
        <s v="Employee Id=210"/>
        <s v="Employee Id=211"/>
        <s v="Employee Id=212"/>
        <s v="Employee Id=213"/>
        <s v="Employee Id=214"/>
        <s v="Employee Id=215"/>
        <s v="Employee Id=216"/>
        <s v="Employee Id=217"/>
        <s v="Employee Id=218"/>
        <s v="Employee Id=219"/>
        <s v="Employee Id=220"/>
        <s v="Employee Id=221"/>
        <s v="Employee Id=222"/>
        <s v="Employee Id=223"/>
        <s v="Employee Id=224"/>
        <s v="Employee Id=225"/>
        <s v="Employee Id=226"/>
        <s v="Employee Id=227"/>
        <s v="Employee Id=228"/>
        <s v="Employee Id=229"/>
        <s v="Employee Id=230"/>
        <s v="Employee Id=231"/>
        <s v="Employee Id=232"/>
        <s v="Employee Id=233"/>
        <s v="Employee Id=234"/>
        <s v="Employee Id=235"/>
        <s v="Employee Id=236"/>
        <s v="Employee Id=237"/>
        <s v="Employee Id=238"/>
        <s v="Employee Id=239"/>
        <s v="Employee Id=240"/>
        <s v="Employee Id=241"/>
        <s v="Employee Id=242"/>
        <s v="Employee Id=243"/>
        <s v="Employee Id=244"/>
        <s v="Employee Id=245"/>
        <s v="Employee Id=246"/>
        <s v="Employee Id=247"/>
        <s v="Employee Id=248"/>
        <s v="Employee Id=249"/>
        <s v="Employee Id=250"/>
        <s v="Employee Id=251"/>
        <s v="Employee Id=252"/>
        <s v="Employee Id=253"/>
        <s v="Employee Id=254"/>
        <s v="Employee Id=255"/>
        <s v="Employee Id=256"/>
        <s v="Employee Id=257"/>
        <s v="Employee Id=258"/>
        <s v="Employee Id=259"/>
        <s v="Employee Id=260"/>
        <s v="Employee Id=261"/>
        <s v="Employee Id=262"/>
        <s v="Employee Id=263"/>
        <s v="Employee Id=264"/>
        <s v="Employee Id=265"/>
        <s v="Employee Id=266"/>
        <s v="Employee Id=267"/>
        <s v="Employee Id=268"/>
        <s v="Employee Id=269"/>
        <s v="Employee Id=270"/>
        <s v="Employee Id=271"/>
        <s v="Employee Id=272"/>
        <s v="Employee Id=273"/>
        <s v="Employee Id=274"/>
        <s v="Employee Id=275"/>
        <s v="Employee Id=276"/>
        <s v="Employee Id=277"/>
        <s v="Employee Id=278"/>
        <s v="Employee Id=279"/>
        <s v="Employee Id=280"/>
        <s v="Employee Id=281"/>
        <s v="Employee Id=282"/>
        <s v="Employee Id=283"/>
        <s v="Employee Id=284"/>
        <s v="Employee Id=285"/>
        <s v="Employee Id=286"/>
        <s v="Employee Id=287"/>
        <s v="Employee Id=288"/>
        <s v="Employee Id=289"/>
        <s v="Employee Id=290"/>
        <s v="Employee Id=291"/>
        <s v="Employee Id=292"/>
        <s v="Employee Id=293"/>
        <s v="Employee Id=294"/>
        <s v="Employee Id=295"/>
        <s v="Employee Id=296"/>
        <s v="Employee Id=297"/>
        <s v="Employee Id=298"/>
        <s v="Employee Id=299"/>
        <s v="Employee Id=300"/>
        <s v="Employee Id=301"/>
        <s v="Employee Id=302"/>
        <s v="Employee Id=303"/>
        <s v="Employee Id=304"/>
        <s v="Employee Id=305"/>
        <s v="Employee Id=306"/>
        <s v="Employee Id=307"/>
        <s v="Employee Id=308"/>
        <s v="Employee Id=309"/>
        <s v="Employee Id=310"/>
        <s v="Employee Id=311"/>
        <s v="Employee Id=312"/>
        <s v="Employee Id=313"/>
        <s v="Employee Id=314"/>
        <s v="Employee Id=315"/>
        <s v="Employee Id=316"/>
        <s v="Employee Id=317"/>
        <s v="Employee Id=318"/>
        <s v="Employee Id=319"/>
        <s v="Employee Id=320"/>
        <s v="Employee Id=321"/>
        <s v="Employee Id=322"/>
        <s v="Employee Id=323"/>
        <s v="Employee Id=324"/>
        <s v="Employee Id=325"/>
        <s v="Employee Id=326"/>
        <s v="Employee Id=327"/>
        <s v="Employee Id=328"/>
        <s v="Employee Id=329"/>
        <s v="Employee Id=330"/>
        <s v="Employee Id=331"/>
        <s v="Employee Id=332"/>
        <s v="Employee Id=333"/>
        <s v="Employee Id=334"/>
        <s v="Employee Id=335"/>
        <s v="Employee Id=336"/>
        <s v="Employee Id=337"/>
        <s v="Employee Id=338"/>
        <s v="Employee Id=339"/>
        <s v="Employee Id=340"/>
        <s v="Employee Id=341"/>
        <s v="Employee Id=342"/>
        <s v="Employee Id=343"/>
        <s v="Employee Id=344"/>
        <s v="Employee Id=345"/>
        <s v="Employee Id=346"/>
        <s v="Employee Id=347"/>
        <s v="Employee Id=348"/>
        <s v="Employee Id=349"/>
        <s v="Employee Id=350"/>
        <s v="Employee Id=351"/>
        <s v="Employee Id=352"/>
        <s v="Employee Id=353"/>
        <s v="Employee Id=354"/>
        <s v="Employee Id=355"/>
        <s v="Employee Id=356"/>
        <s v="Employee Id=357"/>
        <s v="Employee Id=358"/>
        <s v="Employee Id=359"/>
        <s v="Employee Id=360"/>
        <s v="Employee Id=361"/>
        <s v="Employee Id=362"/>
        <s v="Employee Id=363"/>
        <s v="Employee Id=364"/>
        <s v="Employee Id=365"/>
        <s v="Employee Id=366"/>
        <s v="Employee Id=367"/>
        <s v="Employee Id=368"/>
        <s v="Employee Id=369"/>
        <s v="Employee Id=370"/>
        <s v="Employee Id=371"/>
        <s v="Employee Id=372"/>
        <s v="Employee Id=373"/>
        <s v="Employee Id=374"/>
        <s v="Employee Id=375"/>
        <s v="Employee Id=376"/>
        <s v="Employee Id=377"/>
        <s v="Employee Id=378"/>
        <s v="Employee Id=379"/>
        <s v="Employee Id=380"/>
        <s v="Employee Id=381"/>
        <s v="Employee Id=382"/>
        <s v="Employee Id=383"/>
        <s v="Employee Id=384"/>
        <s v="Employee Id=385"/>
        <s v="Employee Id=386"/>
        <s v="Employee Id=387"/>
        <s v="Employee Id=388"/>
        <s v="Employee Id=389"/>
        <s v="Employee Id=390"/>
        <s v="Employee Id=391"/>
        <s v="Employee Id=392"/>
        <s v="Employee Id=393"/>
        <s v="Employee Id=394"/>
        <s v="Employee Id=395"/>
        <s v="Employee Id=396"/>
        <s v="Employee Id=397"/>
        <s v="Employee Id=398"/>
        <s v="Employee Id=399"/>
        <s v="Employee Id=400"/>
        <s v="Employee Id=401"/>
        <s v="Employee Id=402"/>
        <s v="Employee Id=403"/>
        <s v="Employee Id=404"/>
        <s v="Employee Id=405"/>
        <s v="Employee Id=406"/>
        <s v="Employee Id=407"/>
        <s v="Employee Id=408"/>
        <s v="Employee Id=409"/>
        <s v="Employee Id=410"/>
        <s v="Employee Id=411"/>
        <s v="Employee Id=412"/>
        <s v="Employee Id=413"/>
        <s v="Employee Id=414"/>
        <s v="Employee Id=415"/>
        <s v="Employee Id=416"/>
        <s v="Employee Id=417"/>
        <s v="Employee Id=418"/>
        <s v="Employee Id=419"/>
        <s v="Employee Id=420"/>
        <s v="Employee Id=421"/>
        <s v="Employee Id=422"/>
        <s v="Employee Id=423"/>
        <s v="Employee Id=424"/>
        <s v="Employee Id=425"/>
        <s v="Employee Id=426"/>
        <s v="Employee Id=427"/>
        <s v="Employee Id=428"/>
        <s v="Employee Id=429"/>
        <s v="Employee Id=430"/>
        <s v="Employee Id=431"/>
        <s v="Employee Id=432"/>
        <s v="Employee Id=433"/>
        <s v="Employee Id=434"/>
        <s v="Employee Id=435"/>
        <s v="Employee Id=436"/>
        <s v="Employee Id=437"/>
        <s v="Employee Id=438"/>
        <s v="Employee Id=439"/>
        <s v="Employee Id=440"/>
        <s v="Employee Id=441"/>
        <s v="Employee Id=442"/>
        <s v="Employee Id=443"/>
        <s v="Employee Id=444"/>
        <s v="Employee Id=445"/>
        <s v="Employee Id=446"/>
        <s v="Employee Id=447"/>
        <s v="Employee Id=448"/>
        <s v="Employee Id=449"/>
        <s v="Employee Id=450"/>
        <s v="Employee Id=451"/>
        <s v="Employee Id=452"/>
        <s v="Employee Id=453"/>
        <s v="Employee Id=454"/>
        <s v="Employee Id=455"/>
        <s v="Employee Id=456"/>
        <s v="Employee Id=457"/>
        <s v="Employee Id=458"/>
        <s v="Employee Id=459"/>
        <s v="Employee Id=460"/>
        <s v="Employee Id=461"/>
        <s v="Employee Id=462"/>
        <s v="Employee Id=463"/>
        <s v="Employee Id=464"/>
        <s v="Employee Id=465"/>
        <s v="Employee Id=466"/>
        <s v="Employee Id=467"/>
        <s v="Employee Id=468"/>
        <s v="Employee Id=469"/>
        <s v="Employee Id=470"/>
        <s v="Employee Id=471"/>
        <s v="Employee Id=472"/>
        <s v="Employee Id=473"/>
        <s v="Employee Id=474"/>
        <s v="Employee Id=475"/>
        <s v="Employee Id=476"/>
        <s v="Employee Id=477"/>
        <s v="Employee Id=478"/>
        <s v="Employee Id=479"/>
        <s v="Employee Id=480"/>
        <s v="Employee Id=481"/>
        <s v="Employee Id=482"/>
        <s v="Employee Id=483"/>
        <s v="Employee Id=484"/>
        <s v="Employee Id=485"/>
        <s v="Employee Id=486"/>
        <s v="Employee Id=487"/>
        <s v="Employee Id=488"/>
        <s v="Employee Id=489"/>
        <s v="Employee Id=490"/>
        <s v="Employee Id=491"/>
        <s v="Employee Id=492"/>
        <s v="Employee Id=493"/>
        <s v="Employee Id=494"/>
        <s v="Employee Id=495"/>
        <s v="Employee Id=496"/>
        <s v="Employee Id=497"/>
        <s v="Employee Id=498"/>
        <s v="Employee Id=499"/>
        <s v="Employee Id=500"/>
        <s v="Employee Id=501"/>
        <s v="Employee Id=502"/>
        <s v="Employee Id=503"/>
        <s v="Employee Id=504"/>
        <s v="Employee Id=505"/>
        <s v="Employee Id=506"/>
        <s v="Employee Id=507"/>
        <s v="Employee Id=508"/>
        <s v="Employee Id=509"/>
        <s v="Employee Id=510"/>
        <s v="Employee Id=511"/>
        <s v="Employee Id=512"/>
        <s v="Employee Id=513"/>
        <s v="Employee Id=514"/>
        <s v="Employee Id=515"/>
        <s v="Employee Id=516"/>
        <s v="Employee Id=517"/>
        <s v="Employee Id=518"/>
        <s v="Employee Id=519"/>
        <s v="Employee Id=520"/>
        <s v="Employee Id=521"/>
        <s v="Employee Id=522"/>
        <s v="Employee Id=523"/>
        <s v="Employee Id=524"/>
        <s v="Employee Id=525"/>
        <s v="Employee Id=526"/>
        <s v="Employee Id=527"/>
        <s v="Employee Id=528"/>
        <s v="Employee Id=529"/>
        <s v="Employee Id=530"/>
        <s v="Employee Id=531"/>
        <s v="Employee Id=532"/>
        <s v="Employee Id=533"/>
        <s v="Employee Id=534"/>
        <s v="Employee Id=535"/>
        <s v="Employee Id=536"/>
        <s v="Employee Id=537"/>
        <s v="Employee Id=538"/>
        <s v="Employee Id=539"/>
        <s v="Employee Id=540"/>
        <s v="Employee Id=541"/>
        <s v="Employee Id=542"/>
        <s v="Employee Id=543"/>
        <s v="Employee Id=544"/>
        <s v="Employee Id=545"/>
        <s v="Employee Id=546"/>
        <s v="Employee Id=547"/>
        <s v="Employee Id=548"/>
        <s v="Employee Id=549"/>
        <s v="Employee Id=550"/>
        <s v="Employee Id=551"/>
        <s v="Employee Id=552"/>
        <s v="Employee Id=553"/>
        <s v="Employee Id=554"/>
        <s v="Employee Id=555"/>
        <s v="Employee Id=556"/>
        <s v="Employee Id=557"/>
        <s v="Employee Id=558"/>
        <s v="Employee Id=559"/>
        <s v="Employee Id=560"/>
        <s v="Employee Id=561"/>
        <s v="Employee Id=562"/>
        <s v="Employee Id=563"/>
        <s v="Employee Id=564"/>
        <s v="Employee Id=565"/>
        <s v="Employee Id=566"/>
        <s v="Employee Id=567"/>
        <s v="Employee Id=568"/>
        <s v="Employee Id=569"/>
        <s v="Employee Id=570"/>
        <s v="Employee Id=571"/>
        <s v="Employee Id=572"/>
        <s v="Employee Id=573"/>
        <s v="Employee Id=574"/>
        <s v="Employee Id=575"/>
        <s v="Employee Id=576"/>
        <s v="Employee Id=577"/>
        <s v="Employee Id=578"/>
        <s v="Employee Id=579"/>
        <s v="Employee Id=580"/>
        <s v="Employee Id=581"/>
        <s v="Employee Id=582"/>
        <s v="Employee Id=583"/>
        <s v="Employee Id=584"/>
        <s v="Employee Id=585"/>
        <s v="Employee Id=586"/>
        <s v="Employee Id=587"/>
        <s v="Employee Id=588"/>
        <s v="Employee Id=589"/>
        <s v="Employee Id=590"/>
        <s v="Employee Id=591"/>
        <s v="Employee Id=592"/>
        <s v="Employee Id=593"/>
        <s v="Employee Id=594"/>
        <s v="Employee Id=595"/>
        <s v="Employee Id=596"/>
        <s v="Employee Id=597"/>
        <s v="Employee Id=598"/>
        <s v="Employee Id=599"/>
        <s v="Employee Id=600"/>
        <s v="Employee Id=601"/>
        <s v="Employee Id=602"/>
        <s v="Employee Id=603"/>
        <s v="Employee Id=604"/>
        <s v="Employee Id=605"/>
        <s v="Employee Id=606"/>
        <s v="Employee Id=607"/>
        <s v="Employee Id=608"/>
        <s v="Employee Id=609"/>
        <s v="Employee Id=610"/>
        <s v="Employee Id=611"/>
        <s v="Employee Id=612"/>
        <s v="Employee Id=613"/>
        <s v="Employee Id=614"/>
        <s v="Employee Id=615"/>
        <s v="Employee Id=616"/>
        <s v="Employee Id=617"/>
        <s v="Employee Id=618"/>
        <s v="Employee Id=619"/>
        <s v="Employee Id=620"/>
        <s v="Employee Id=621"/>
        <s v="Employee Id=622"/>
        <s v="Employee Id=623"/>
        <s v="Employee Id=624"/>
        <s v="Employee Id=625"/>
        <s v="Employee Id=626"/>
        <s v="Employee Id=627"/>
        <s v="Employee Id=628"/>
        <s v="Employee Id=629"/>
        <s v="Employee Id=630"/>
        <s v="Employee Id=631"/>
        <s v="Employee Id=632"/>
        <s v="Employee Id=633"/>
        <s v="Employee Id=634"/>
        <s v="Employee Id=635"/>
        <s v="Employee Id=636"/>
        <s v="Employee Id=637"/>
        <s v="Employee Id=638"/>
        <s v="Employee Id=639"/>
        <s v="Employee Id=640"/>
        <s v="Employee Id=641"/>
        <s v="Employee Id=642"/>
        <s v="Employee Id=643"/>
        <s v="Employee Id=644"/>
        <s v="Employee Id=645"/>
        <s v="Employee Id=646"/>
        <s v="Employee Id=647"/>
        <s v="Employee Id=648"/>
        <s v="Employee Id=649"/>
        <s v="Employee Id=650"/>
        <s v="Employee Id=651"/>
        <s v="Employee Id=652"/>
        <s v="Employee Id=653"/>
        <s v="Employee Id=654"/>
        <s v="Employee Id=655"/>
        <s v="Employee Id=656"/>
        <s v="Employee Id=657"/>
        <s v="Employee Id=658"/>
        <s v="Employee Id=659"/>
        <s v="Employee Id=660"/>
        <s v="Employee Id=661"/>
        <s v="Employee Id=662"/>
        <s v="Employee Id=663"/>
        <s v="Employee Id=664"/>
        <s v="Employee Id=665"/>
        <s v="Employee Id=666"/>
        <s v="Employee Id=667"/>
        <s v="Employee Id=668"/>
        <s v="Employee Id=669"/>
        <s v="Employee Id=670"/>
        <s v="Employee Id=671"/>
        <s v="Employee Id=672"/>
        <s v="Employee Id=673"/>
        <s v="Employee Id=674"/>
        <s v="Employee Id=675"/>
        <s v="Employee Id=676"/>
        <s v="Employee Id=677"/>
        <s v="Employee Id=678"/>
        <s v="Employee Id=679"/>
        <s v="Employee Id=680"/>
        <s v="Employee Id=681"/>
        <s v="Employee Id=682"/>
        <s v="Employee Id=683"/>
        <s v="Employee Id=684"/>
        <s v="Employee Id=685"/>
        <s v="Employee Id=686"/>
        <s v="Employee Id=687"/>
        <s v="Employee Id=688"/>
        <s v="Employee Id=689"/>
        <s v="Employee Id=690"/>
        <s v="Employee Id=691"/>
        <s v="Employee Id=692"/>
        <s v="Employee Id=693"/>
        <s v="Employee Id=694"/>
        <s v="Employee Id=695"/>
        <s v="Employee Id=696"/>
        <s v="Employee Id=697"/>
        <s v="Employee Id=698"/>
        <s v="Employee Id=699"/>
        <s v="Employee Id=700"/>
        <s v="Employee Id=701"/>
        <s v="Employee Id=702"/>
        <s v="Employee Id=703"/>
        <s v="Employee Id=704"/>
        <s v="Employee Id=705"/>
        <s v="Employee Id=706"/>
        <s v="Employee Id=707"/>
        <s v="Employee Id=708"/>
        <s v="Employee Id=709"/>
        <s v="Employee Id=710"/>
        <s v="Employee Id=711"/>
        <s v="Employee Id=712"/>
        <s v="Employee Id=713"/>
        <s v="Employee Id=714"/>
        <s v="Employee Id=715"/>
        <s v="Employee Id=716"/>
        <s v="Employee Id=717"/>
        <s v="Employee Id=718"/>
        <s v="Employee Id=719"/>
        <s v="Employee Id=720"/>
        <s v="Employee Id=721"/>
        <s v="Employee Id=722"/>
        <s v="Employee Id=723"/>
        <s v="Employee Id=724"/>
        <s v="Employee Id=725"/>
        <s v="Employee Id=726"/>
        <s v="Employee Id=727"/>
        <s v="Employee Id=728"/>
        <s v="Employee Id=729"/>
        <s v="Employee Id=730"/>
        <s v="Employee Id=731"/>
        <s v="Employee Id=732"/>
        <s v="Employee Id=733"/>
        <s v="Employee Id=734"/>
        <s v="Employee Id=735"/>
        <s v="Employee Id=736"/>
        <s v="Employee Id=737"/>
        <s v="Employee Id=738"/>
        <s v="Employee Id=739"/>
        <s v="Employee Id=740"/>
        <s v="Employee Id=741"/>
        <s v="Employee Id=742"/>
        <s v="Employee Id=743"/>
        <s v="Employee Id=744"/>
        <s v="Employee Id=745"/>
        <s v="Employee Id=746"/>
        <s v="Employee Id=747"/>
        <s v="Employee Id=748"/>
        <s v="Employee Id=749"/>
        <s v="Employee Id=750"/>
        <s v="Employee Id=751"/>
        <s v="Employee Id=752"/>
        <s v="Employee Id=753"/>
        <s v="Employee Id=754"/>
        <s v="Employee Id=755"/>
        <s v="Employee Id=756"/>
        <s v="Employee Id=757"/>
        <s v="Employee Id=758"/>
        <s v="Employee Id=759"/>
        <s v="Employee Id=760"/>
        <s v="Employee Id=761"/>
        <s v="Employee Id=762"/>
        <s v="Employee Id=763"/>
        <s v="Employee Id=764"/>
        <s v="Employee Id=765"/>
        <s v="Employee Id=766"/>
        <s v="Employee Id=767"/>
        <s v="Employee Id=768"/>
        <s v="Employee Id=769"/>
        <s v="Employee Id=770"/>
        <s v="Employee Id=771"/>
        <s v="Employee Id=772"/>
        <s v="Employee Id=773"/>
        <s v="Employee Id=774"/>
        <s v="Employee Id=775"/>
        <s v="Employee Id=776"/>
        <s v="Employee Id=777"/>
        <s v="Employee Id=778"/>
        <s v="Employee Id=779"/>
        <s v="Employee Id=780"/>
        <s v="Employee Id=781"/>
        <s v="Employee Id=782"/>
        <s v="Employee Id=783"/>
        <s v="Employee Id=784"/>
        <s v="Employee Id=785"/>
        <s v="Employee Id=786"/>
        <s v="Employee Id=787"/>
        <s v="Employee Id=788"/>
        <s v="Employee Id=789"/>
        <s v="Employee Id=790"/>
        <s v="Employee Id=791"/>
        <s v="Employee Id=792"/>
        <s v="Employee Id=793"/>
        <s v="Employee Id=794"/>
        <s v="Employee Id=795"/>
        <s v="Employee Id=796"/>
        <s v="Employee Id=797"/>
        <s v="Employee Id=798"/>
        <s v="Employee Id=799"/>
        <s v="Employee Id=800"/>
        <s v="Employee Id=801"/>
        <s v="Employee Id=802"/>
        <s v="Employee Id=803"/>
        <s v="Employee Id=804"/>
        <s v="Employee Id=805"/>
        <s v="Employee Id=806"/>
        <s v="Employee Id=807"/>
        <s v="Employee Id=808"/>
        <s v="Employee Id=809"/>
        <s v="Employee Id=810"/>
        <s v="Employee Id=811"/>
        <s v="Employee Id=812"/>
        <s v="Employee Id=813"/>
        <s v="Employee Id=814"/>
        <s v="Employee Id=815"/>
        <s v="Employee Id=816"/>
        <s v="Employee Id=817"/>
        <s v="Employee Id=818"/>
        <s v="Employee Id=819"/>
        <s v="Employee Id=820"/>
        <s v="Employee Id=821"/>
        <s v="Employee Id=822"/>
        <s v="Employee Id=823"/>
        <s v="Employee Id=824"/>
        <s v="Employee Id=825"/>
        <s v="Employee Id=826"/>
        <s v="Employee Id=827"/>
        <s v="Employee Id=828"/>
        <s v="Employee Id=829"/>
        <s v="Employee Id=830"/>
        <s v="Employee Id=831"/>
        <s v="Employee Id=832"/>
        <s v="Employee Id=833"/>
        <s v="Employee Id=834"/>
        <s v="Employee Id=835"/>
        <s v="Employee Id=836"/>
        <s v="Employee Id=837"/>
        <s v="Employee Id=838"/>
        <s v="Employee Id=839"/>
        <s v="Employee Id=840"/>
        <s v="Employee Id=841"/>
        <s v="Employee Id=842"/>
        <s v="Employee Id=843"/>
        <s v="Employee Id=844"/>
        <s v="Employee Id=845"/>
        <s v="Employee Id=846"/>
        <s v="Employee Id=847"/>
        <s v="Employee Id=848"/>
        <s v="Employee Id=849"/>
        <s v="Employee Id=850"/>
        <s v="Employee Id=851"/>
        <s v="Employee Id=852"/>
        <s v="Employee Id=853"/>
        <s v="Employee Id=854"/>
        <s v="Employee Id=855"/>
        <s v="Employee Id=856"/>
        <s v="Employee Id=857"/>
        <s v="Employee Id=858"/>
        <s v="Employee Id=859"/>
        <s v="Employee Id=860"/>
        <s v="Employee Id=861"/>
        <s v="Employee Id=862"/>
        <s v="Employee Id=863"/>
        <s v="Employee Id=864"/>
        <s v="Employee Id=865"/>
        <s v="Employee Id=866"/>
        <s v="Employee Id=867"/>
        <s v="Employee Id=868"/>
        <s v="Employee Id=869"/>
        <s v="Employee Id=870"/>
        <s v="Employee Id=871"/>
        <s v="Employee Id=872"/>
        <s v="Employee Id=873"/>
        <s v="Employee Id=874"/>
        <s v="Employee Id=875"/>
        <s v="Employee Id=876"/>
        <s v="Employee Id=877"/>
        <s v="Employee Id=878"/>
        <s v="Employee Id=879"/>
        <s v="Employee Id=880"/>
        <s v="Employee Id=881"/>
        <s v="Employee Id=882"/>
        <s v="Employee Id=883"/>
        <s v="Employee Id=884"/>
        <s v="Employee Id=885"/>
        <s v="Employee Id=886"/>
        <s v="Employee Id=887"/>
        <s v="Employee Id=888"/>
        <s v="Employee Id=889"/>
        <s v="Employee Id=890"/>
        <s v="Employee Id=891"/>
        <s v="Employee Id=892"/>
        <s v="Employee Id=893"/>
        <s v="Employee Id=894"/>
        <s v="Employee Id=895"/>
        <s v="Employee Id=896"/>
        <s v="Employee Id=897"/>
        <s v="Employee Id=898"/>
        <s v="Employee Id=899"/>
        <s v="Employee Id=900"/>
        <s v="Employee Id=901"/>
        <s v="Employee Id=902"/>
        <s v="Employee Id=903"/>
        <s v="Employee Id=904"/>
        <s v="Employee Id=905"/>
        <s v="Employee Id=906"/>
        <s v="Employee Id=907"/>
        <s v="Employee Id=908"/>
        <s v="Employee Id=909"/>
        <s v="Employee Id=910"/>
        <s v="Employee Id=911"/>
        <s v="Employee Id=912"/>
        <s v="Employee Id=913"/>
        <s v="Employee Id=914"/>
        <s v="Employee Id=915"/>
        <s v="Employee Id=916"/>
        <s v="Employee Id=917"/>
        <s v="Employee Id=918"/>
        <s v="Employee Id=919"/>
        <s v="Employee Id=920"/>
        <s v="Employee Id=921"/>
        <s v="Employee Id=922"/>
        <s v="Employee Id=923"/>
        <s v="Employee Id=924"/>
        <s v="Employee Id=925"/>
        <s v="Employee Id=926"/>
        <s v="Employee Id=927"/>
        <s v="Employee Id=928"/>
        <s v="Employee Id=929"/>
        <s v="Employee Id=930"/>
        <s v="Employee Id=931"/>
        <s v="Employee Id=932"/>
        <s v="Employee Id=933"/>
        <s v="Employee Id=934"/>
        <s v="Employee Id=935"/>
        <s v="Employee Id=936"/>
        <s v="Employee Id=937"/>
        <s v="Employee Id=938"/>
        <s v="Employee Id=939"/>
        <s v="Employee Id=940"/>
        <s v="Employee Id=941"/>
        <s v="Employee Id=942"/>
        <s v="Employee Id=943"/>
        <s v="Employee Id=944"/>
        <s v="Employee Id=945"/>
        <s v="Employee Id=946"/>
        <s v="Employee Id=947"/>
        <s v="Employee Id=948"/>
        <s v="Employee Id=949"/>
        <s v="Employee Id=950"/>
        <s v="Employee Id=951"/>
        <s v="Employee Id=952"/>
        <s v="Employee Id=953"/>
        <s v="Employee Id=954"/>
        <s v="Employee Id=955"/>
        <s v="Employee Id=956"/>
        <s v="Employee Id=957"/>
        <s v="Employee Id=958"/>
        <s v="Employee Id=959"/>
        <s v="Employee Id=960"/>
        <s v="Employee Id=961"/>
        <s v="Employee Id=962"/>
        <s v="Employee Id=963"/>
        <s v="Employee Id=964"/>
        <s v="Employee Id=965"/>
        <s v="Employee Id=966"/>
        <s v="Employee Id=967"/>
        <s v="Employee Id=968"/>
        <s v="Employee Id=969"/>
        <s v="Employee Id=970"/>
        <s v="Employee Id=971"/>
        <s v="Employee Id=972"/>
        <s v="Employee Id=973"/>
        <s v="Employee Id=974"/>
        <s v="Employee Id=975"/>
        <s v="Employee Id=976"/>
        <s v="Employee Id=977"/>
        <s v="Employee Id=978"/>
        <s v="Employee Id=979"/>
        <s v="Employee Id=980"/>
        <s v="Employee Id=981"/>
        <s v="Employee Id=982"/>
        <s v="Employee Id=983"/>
        <s v="Employee Id=984"/>
        <s v="Employee Id=985"/>
        <s v="Employee Id=986"/>
        <s v="Employee Id=987"/>
        <s v="Employee Id=988"/>
        <s v="Employee Id=989"/>
        <s v="Employee Id=990"/>
        <s v="Employee Id=991"/>
        <s v="Employee Id=992"/>
        <s v="Employee Id=993"/>
        <s v="Employee Id=994"/>
        <s v="Employee Id=995"/>
        <s v="Employee Id=996"/>
        <s v="Employee Id=997"/>
        <s v="Employee Id=998"/>
        <s v="Employee Id=999"/>
        <s v="Employee Id=1000"/>
        <s v="Employee Id=1001"/>
        <s v="Employee Id=1002"/>
        <s v="Employee Id=1003"/>
        <s v="Employee Id=1004"/>
        <s v="Employee Id=1005"/>
        <s v="Employee Id=1006"/>
        <s v="Employee Id=1007"/>
        <s v="Employee Id=1008"/>
        <s v="Employee Id=1009"/>
        <s v="Employee Id=1010"/>
        <s v="Employee Id=1011"/>
        <s v="Employee Id=1012"/>
        <s v="Employee Id=1013"/>
        <s v="Employee Id=1014"/>
        <s v="Employee Id=1015"/>
        <s v="Employee Id=1016"/>
        <s v="Employee Id=1017"/>
        <s v="Employee Id=1018"/>
        <s v="Employee Id=1019"/>
        <s v="Employee Id=1020"/>
        <s v="Employee Id=1021"/>
        <s v="Employee Id=1022"/>
        <s v="Employee Id=1023"/>
        <s v="Employee Id=1024"/>
        <s v="Employee Id=1025"/>
        <s v="Employee Id=1026"/>
        <s v="Employee Id=1027"/>
        <s v="Employee Id=1028"/>
        <s v="Employee Id=1029"/>
        <s v="Employee Id=1030"/>
        <s v="Employee Id=1031"/>
        <s v="Employee Id=1032"/>
        <s v="Employee Id=1033"/>
        <s v="Employee Id=1034"/>
        <s v="Employee Id=1035"/>
        <s v="Employee Id=1036"/>
        <s v="Employee Id=1037"/>
        <s v="Employee Id=1038"/>
        <s v="Employee Id=1039"/>
        <s v="Employee Id=1040"/>
        <s v="Employee Id=1041"/>
        <s v="Employee Id=1042"/>
        <s v="Employee Id=1043"/>
        <s v="Employee Id=1044"/>
        <s v="Employee Id=1045"/>
        <s v="Employee Id=1046"/>
        <s v="Employee Id=1047"/>
        <s v="Employee Id=1048"/>
        <s v="Employee Id=1049"/>
        <s v="Employee Id=1050"/>
        <s v="Employee Id=1051"/>
        <s v="Employee Id=1052"/>
        <s v="Employee Id=1053"/>
        <s v="Employee Id=1054"/>
        <s v="Employee Id=1055"/>
        <s v="Employee Id=1056"/>
        <s v="Employee Id=1057"/>
        <s v="Employee Id=1058"/>
        <s v="Employee Id=1059"/>
        <s v="Employee Id=1060"/>
        <s v="Employee Id=1061"/>
        <s v="Employee Id=1062"/>
        <s v="Employee Id=1063"/>
        <s v="Employee Id=1064"/>
        <s v="Employee Id=1065"/>
        <s v="Employee Id=1066"/>
        <s v="Employee Id=1067"/>
        <s v="Employee Id=1068"/>
        <s v="Employee Id=1069"/>
        <s v="Employee Id=1070"/>
        <s v="Employee Id=1071"/>
        <s v="Employee Id=1072"/>
        <s v="Employee Id=1073"/>
        <s v="Employee Id=1074"/>
        <s v="Employee Id=1075"/>
        <s v="Employee Id=1076"/>
        <s v="Employee Id=1077"/>
        <s v="Employee Id=1078"/>
        <s v="Employee Id=1079"/>
        <s v="Employee Id=1080"/>
        <s v="Employee Id=1081"/>
        <s v="Employee Id=1082"/>
        <s v="Employee Id=1083"/>
        <s v="Employee Id=1084"/>
        <s v="Employee Id=1085"/>
        <s v="Employee Id=1086"/>
        <s v="Employee Id=1087"/>
        <s v="Employee Id=1088"/>
        <s v="Employee Id=1089"/>
        <s v="Employee Id=1090"/>
        <s v="Employee Id=1091"/>
        <s v="Employee Id=1092"/>
        <s v="Employee Id=1093"/>
        <s v="Employee Id=1094"/>
        <s v="Employee Id=1095"/>
        <s v="Employee Id=1096"/>
        <s v="Employee Id=1097"/>
        <s v="Employee Id=1098"/>
        <s v="Employee Id=1099"/>
        <s v="Employee Id=1100"/>
      </sharedItems>
    </cacheField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Age" numFmtId="0"/>
    <cacheField name="Age group" numFmtId="0">
      <sharedItems count="5">
        <s v="55-65"/>
        <s v="45-55"/>
        <s v="25-35"/>
        <s v="35-45"/>
        <s v="65-100"/>
      </sharedItems>
    </cacheField>
    <cacheField name="Hire Date" numFmtId="183">
      <sharedItems containsSemiMixedTypes="0" containsString="0" containsNonDate="0" containsDate="1" minDate="1992-01-09T00:00:00" maxDate="2021-12-26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</cacheField>
    <cacheField name="Annual Salary" numFmtId="0"/>
    <cacheField name="Bonus %" numFmtId="0"/>
    <cacheField name="Total Annual Salary" numFmtId="0"/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Seattle"/>
        <s v="Chongqing"/>
        <s v="Chicago"/>
        <s v="Phoenix"/>
        <s v="Miami"/>
        <s v="Austin"/>
        <s v="Shanghai"/>
        <s v="Columbus"/>
        <s v="Manaus"/>
        <s v="Rio de Janerio"/>
        <s v="Beijing"/>
        <s v="Chengdu"/>
        <s v="Sao Paulo"/>
      </sharedItems>
    </cacheField>
    <cacheField name="Exit Date" numFmtId="180"/>
    <cacheField name="Exit status" numFmtId="0"/>
    <cacheField name="Months (Hire Date)" numFmtId="0" databaseField="0">
      <fieldGroup base="7">
        <rangePr groupBy="months" startDate="1992-01-09T00:00:00" endDate="2021-12-27T00:00:00" groupInterval="1"/>
        <groupItems count="14">
          <s v="&lt;09-01-199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1"/>
        </groupItems>
      </fieldGroup>
    </cacheField>
    <cacheField name="Quarters (Hire Date)" numFmtId="0" databaseField="0">
      <fieldGroup base="7">
        <rangePr groupBy="quarters" startDate="1992-01-09T00:00:00" endDate="2021-12-27T00:00:00" groupInterval="1"/>
        <groupItems count="6">
          <s v="&lt;09-01-1992"/>
          <s v="Qtr1"/>
          <s v="Qtr2"/>
          <s v="Qtr3"/>
          <s v="Qtr4"/>
          <s v="&gt;27-12-2021"/>
        </groupItems>
      </fieldGroup>
    </cacheField>
    <cacheField name="Years (Hire Date)" numFmtId="0" databaseField="0">
      <fieldGroup base="7">
        <rangePr groupBy="years" startDate="1992-01-09T00:00:00" endDate="2021-12-27T00:00:00" groupInterval="1"/>
        <groupItems count="32">
          <s v="&lt;09-01-1992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7-12-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n v="55"/>
    <x v="0"/>
    <x v="0"/>
    <n v="100000"/>
    <n v="0.15"/>
    <n v="115000"/>
    <x v="0"/>
    <x v="0"/>
    <d v="2021-10-16T00:00:00"/>
    <n v="1"/>
  </r>
  <r>
    <x v="1"/>
    <x v="1"/>
    <x v="0"/>
    <x v="1"/>
    <x v="1"/>
    <n v="59"/>
    <x v="0"/>
    <x v="1"/>
    <n v="99975"/>
    <n v="0"/>
    <n v="99975"/>
    <x v="1"/>
    <x v="1"/>
    <m/>
    <n v="0"/>
  </r>
  <r>
    <x v="2"/>
    <x v="2"/>
    <x v="1"/>
    <x v="2"/>
    <x v="0"/>
    <n v="50"/>
    <x v="1"/>
    <x v="2"/>
    <n v="163099"/>
    <n v="0.2"/>
    <n v="195719"/>
    <x v="0"/>
    <x v="2"/>
    <m/>
    <n v="0"/>
  </r>
  <r>
    <x v="3"/>
    <x v="3"/>
    <x v="0"/>
    <x v="1"/>
    <x v="0"/>
    <n v="26"/>
    <x v="2"/>
    <x v="3"/>
    <n v="84913"/>
    <n v="0.07"/>
    <n v="90857"/>
    <x v="0"/>
    <x v="2"/>
    <m/>
    <n v="0"/>
  </r>
  <r>
    <x v="4"/>
    <x v="4"/>
    <x v="1"/>
    <x v="1"/>
    <x v="1"/>
    <n v="55"/>
    <x v="0"/>
    <x v="4"/>
    <n v="95409"/>
    <n v="0"/>
    <n v="95409"/>
    <x v="0"/>
    <x v="3"/>
    <m/>
    <n v="0"/>
  </r>
  <r>
    <x v="5"/>
    <x v="5"/>
    <x v="2"/>
    <x v="3"/>
    <x v="1"/>
    <n v="57"/>
    <x v="0"/>
    <x v="5"/>
    <n v="50994"/>
    <n v="0"/>
    <n v="50994"/>
    <x v="1"/>
    <x v="1"/>
    <m/>
    <n v="0"/>
  </r>
  <r>
    <x v="6"/>
    <x v="6"/>
    <x v="0"/>
    <x v="3"/>
    <x v="0"/>
    <n v="27"/>
    <x v="2"/>
    <x v="6"/>
    <n v="119746"/>
    <n v="0.1"/>
    <n v="131721"/>
    <x v="0"/>
    <x v="3"/>
    <m/>
    <n v="0"/>
  </r>
  <r>
    <x v="7"/>
    <x v="7"/>
    <x v="1"/>
    <x v="1"/>
    <x v="1"/>
    <n v="25"/>
    <x v="2"/>
    <x v="7"/>
    <n v="41336"/>
    <n v="0"/>
    <n v="41336"/>
    <x v="0"/>
    <x v="4"/>
    <d v="2021-05-20T00:00:00"/>
    <n v="1"/>
  </r>
  <r>
    <x v="8"/>
    <x v="6"/>
    <x v="3"/>
    <x v="1"/>
    <x v="1"/>
    <n v="29"/>
    <x v="2"/>
    <x v="8"/>
    <n v="113527"/>
    <n v="0.06"/>
    <n v="120339"/>
    <x v="0"/>
    <x v="5"/>
    <m/>
    <n v="0"/>
  </r>
  <r>
    <x v="9"/>
    <x v="4"/>
    <x v="1"/>
    <x v="2"/>
    <x v="0"/>
    <n v="34"/>
    <x v="2"/>
    <x v="9"/>
    <n v="77203"/>
    <n v="0"/>
    <n v="77203"/>
    <x v="0"/>
    <x v="2"/>
    <m/>
    <n v="0"/>
  </r>
  <r>
    <x v="10"/>
    <x v="0"/>
    <x v="4"/>
    <x v="1"/>
    <x v="0"/>
    <n v="36"/>
    <x v="3"/>
    <x v="10"/>
    <n v="157333"/>
    <n v="0.15"/>
    <n v="180933"/>
    <x v="0"/>
    <x v="4"/>
    <m/>
    <n v="0"/>
  </r>
  <r>
    <x v="11"/>
    <x v="8"/>
    <x v="5"/>
    <x v="2"/>
    <x v="0"/>
    <n v="27"/>
    <x v="2"/>
    <x v="11"/>
    <n v="109851"/>
    <n v="0"/>
    <n v="109851"/>
    <x v="0"/>
    <x v="0"/>
    <m/>
    <n v="0"/>
  </r>
  <r>
    <x v="12"/>
    <x v="6"/>
    <x v="4"/>
    <x v="1"/>
    <x v="1"/>
    <n v="59"/>
    <x v="0"/>
    <x v="12"/>
    <n v="105086"/>
    <n v="0.09"/>
    <n v="114544"/>
    <x v="0"/>
    <x v="5"/>
    <m/>
    <n v="0"/>
  </r>
  <r>
    <x v="13"/>
    <x v="0"/>
    <x v="1"/>
    <x v="0"/>
    <x v="0"/>
    <n v="51"/>
    <x v="1"/>
    <x v="13"/>
    <n v="146742"/>
    <n v="0.1"/>
    <n v="161416"/>
    <x v="1"/>
    <x v="6"/>
    <m/>
    <n v="0"/>
  </r>
  <r>
    <x v="14"/>
    <x v="4"/>
    <x v="3"/>
    <x v="2"/>
    <x v="1"/>
    <n v="31"/>
    <x v="2"/>
    <x v="14"/>
    <n v="97078"/>
    <n v="0"/>
    <n v="97078"/>
    <x v="0"/>
    <x v="5"/>
    <d v="2020-03-09T00:00:00"/>
    <n v="1"/>
  </r>
  <r>
    <x v="15"/>
    <x v="9"/>
    <x v="6"/>
    <x v="0"/>
    <x v="0"/>
    <n v="41"/>
    <x v="3"/>
    <x v="15"/>
    <n v="249270"/>
    <n v="0.3"/>
    <n v="324051"/>
    <x v="0"/>
    <x v="0"/>
    <m/>
    <n v="0"/>
  </r>
  <r>
    <x v="16"/>
    <x v="2"/>
    <x v="1"/>
    <x v="0"/>
    <x v="0"/>
    <n v="65"/>
    <x v="4"/>
    <x v="16"/>
    <n v="175837"/>
    <n v="0.2"/>
    <n v="211004"/>
    <x v="0"/>
    <x v="3"/>
    <m/>
    <n v="0"/>
  </r>
  <r>
    <x v="17"/>
    <x v="0"/>
    <x v="6"/>
    <x v="2"/>
    <x v="0"/>
    <n v="64"/>
    <x v="0"/>
    <x v="17"/>
    <n v="154828"/>
    <n v="0.13"/>
    <n v="174956"/>
    <x v="0"/>
    <x v="0"/>
    <m/>
    <n v="0"/>
  </r>
  <r>
    <x v="18"/>
    <x v="2"/>
    <x v="0"/>
    <x v="3"/>
    <x v="1"/>
    <n v="64"/>
    <x v="0"/>
    <x v="18"/>
    <n v="186503"/>
    <n v="0.24"/>
    <n v="231264"/>
    <x v="0"/>
    <x v="7"/>
    <m/>
    <n v="0"/>
  </r>
  <r>
    <x v="19"/>
    <x v="2"/>
    <x v="2"/>
    <x v="0"/>
    <x v="1"/>
    <n v="45"/>
    <x v="1"/>
    <x v="19"/>
    <n v="166331"/>
    <n v="0.18"/>
    <n v="196271"/>
    <x v="1"/>
    <x v="1"/>
    <m/>
    <n v="0"/>
  </r>
  <r>
    <x v="20"/>
    <x v="0"/>
    <x v="0"/>
    <x v="1"/>
    <x v="1"/>
    <n v="56"/>
    <x v="0"/>
    <x v="20"/>
    <n v="146140"/>
    <n v="0.1"/>
    <n v="160754"/>
    <x v="2"/>
    <x v="8"/>
    <m/>
    <n v="0"/>
  </r>
  <r>
    <x v="21"/>
    <x v="2"/>
    <x v="2"/>
    <x v="1"/>
    <x v="0"/>
    <n v="36"/>
    <x v="3"/>
    <x v="21"/>
    <n v="151703"/>
    <n v="0.21"/>
    <n v="183561"/>
    <x v="0"/>
    <x v="4"/>
    <m/>
    <n v="0"/>
  </r>
  <r>
    <x v="22"/>
    <x v="2"/>
    <x v="0"/>
    <x v="0"/>
    <x v="1"/>
    <n v="59"/>
    <x v="0"/>
    <x v="22"/>
    <n v="172787"/>
    <n v="0.28"/>
    <n v="221167"/>
    <x v="2"/>
    <x v="9"/>
    <m/>
    <n v="0"/>
  </r>
  <r>
    <x v="23"/>
    <x v="7"/>
    <x v="2"/>
    <x v="2"/>
    <x v="1"/>
    <n v="37"/>
    <x v="3"/>
    <x v="23"/>
    <n v="49998"/>
    <n v="0"/>
    <n v="49998"/>
    <x v="0"/>
    <x v="0"/>
    <m/>
    <n v="0"/>
  </r>
  <r>
    <x v="24"/>
    <x v="9"/>
    <x v="2"/>
    <x v="2"/>
    <x v="1"/>
    <n v="44"/>
    <x v="3"/>
    <x v="24"/>
    <n v="207172"/>
    <n v="0.31"/>
    <n v="271395"/>
    <x v="1"/>
    <x v="1"/>
    <m/>
    <n v="0"/>
  </r>
  <r>
    <x v="25"/>
    <x v="2"/>
    <x v="4"/>
    <x v="2"/>
    <x v="1"/>
    <n v="41"/>
    <x v="3"/>
    <x v="25"/>
    <n v="152239"/>
    <n v="0.23"/>
    <n v="187254"/>
    <x v="0"/>
    <x v="7"/>
    <m/>
    <n v="0"/>
  </r>
  <r>
    <x v="26"/>
    <x v="10"/>
    <x v="5"/>
    <x v="3"/>
    <x v="0"/>
    <n v="56"/>
    <x v="0"/>
    <x v="26"/>
    <n v="98581"/>
    <n v="0"/>
    <n v="98581"/>
    <x v="2"/>
    <x v="9"/>
    <m/>
    <n v="0"/>
  </r>
  <r>
    <x v="27"/>
    <x v="9"/>
    <x v="5"/>
    <x v="2"/>
    <x v="1"/>
    <n v="43"/>
    <x v="3"/>
    <x v="27"/>
    <n v="246231"/>
    <n v="0.31"/>
    <n v="322563"/>
    <x v="0"/>
    <x v="0"/>
    <m/>
    <n v="0"/>
  </r>
  <r>
    <x v="28"/>
    <x v="11"/>
    <x v="5"/>
    <x v="2"/>
    <x v="1"/>
    <n v="64"/>
    <x v="0"/>
    <x v="28"/>
    <n v="99354"/>
    <n v="0.12"/>
    <n v="111276"/>
    <x v="1"/>
    <x v="10"/>
    <m/>
    <n v="0"/>
  </r>
  <r>
    <x v="29"/>
    <x v="9"/>
    <x v="0"/>
    <x v="3"/>
    <x v="1"/>
    <n v="63"/>
    <x v="0"/>
    <x v="29"/>
    <n v="231141"/>
    <n v="0.34"/>
    <n v="309729"/>
    <x v="1"/>
    <x v="10"/>
    <m/>
    <n v="0"/>
  </r>
  <r>
    <x v="30"/>
    <x v="12"/>
    <x v="0"/>
    <x v="0"/>
    <x v="1"/>
    <n v="28"/>
    <x v="2"/>
    <x v="30"/>
    <n v="54775"/>
    <n v="0"/>
    <n v="54775"/>
    <x v="0"/>
    <x v="7"/>
    <m/>
    <n v="0"/>
  </r>
  <r>
    <x v="31"/>
    <x v="7"/>
    <x v="1"/>
    <x v="1"/>
    <x v="1"/>
    <n v="65"/>
    <x v="4"/>
    <x v="31"/>
    <n v="55499"/>
    <n v="0"/>
    <n v="55499"/>
    <x v="2"/>
    <x v="8"/>
    <m/>
    <n v="0"/>
  </r>
  <r>
    <x v="32"/>
    <x v="13"/>
    <x v="2"/>
    <x v="0"/>
    <x v="1"/>
    <n v="61"/>
    <x v="0"/>
    <x v="32"/>
    <n v="66521"/>
    <n v="0"/>
    <n v="66521"/>
    <x v="0"/>
    <x v="0"/>
    <m/>
    <n v="0"/>
  </r>
  <r>
    <x v="33"/>
    <x v="5"/>
    <x v="2"/>
    <x v="2"/>
    <x v="1"/>
    <n v="30"/>
    <x v="2"/>
    <x v="33"/>
    <n v="59100"/>
    <n v="0"/>
    <n v="59100"/>
    <x v="1"/>
    <x v="1"/>
    <m/>
    <n v="0"/>
  </r>
  <r>
    <x v="34"/>
    <x v="7"/>
    <x v="1"/>
    <x v="0"/>
    <x v="0"/>
    <n v="27"/>
    <x v="2"/>
    <x v="34"/>
    <n v="49011"/>
    <n v="0"/>
    <n v="49011"/>
    <x v="0"/>
    <x v="2"/>
    <m/>
    <n v="0"/>
  </r>
  <r>
    <x v="35"/>
    <x v="14"/>
    <x v="0"/>
    <x v="1"/>
    <x v="0"/>
    <n v="32"/>
    <x v="2"/>
    <x v="35"/>
    <n v="99575"/>
    <n v="0"/>
    <n v="99575"/>
    <x v="0"/>
    <x v="5"/>
    <m/>
    <n v="0"/>
  </r>
  <r>
    <x v="36"/>
    <x v="8"/>
    <x v="5"/>
    <x v="1"/>
    <x v="0"/>
    <n v="34"/>
    <x v="2"/>
    <x v="36"/>
    <n v="99989"/>
    <n v="0"/>
    <n v="99989"/>
    <x v="1"/>
    <x v="11"/>
    <m/>
    <n v="0"/>
  </r>
  <r>
    <x v="37"/>
    <x v="9"/>
    <x v="6"/>
    <x v="0"/>
    <x v="1"/>
    <n v="27"/>
    <x v="2"/>
    <x v="37"/>
    <n v="256420"/>
    <n v="0.3"/>
    <n v="333346"/>
    <x v="0"/>
    <x v="3"/>
    <m/>
    <n v="0"/>
  </r>
  <r>
    <x v="38"/>
    <x v="1"/>
    <x v="0"/>
    <x v="1"/>
    <x v="0"/>
    <n v="35"/>
    <x v="3"/>
    <x v="38"/>
    <n v="78940"/>
    <n v="0"/>
    <n v="78940"/>
    <x v="0"/>
    <x v="4"/>
    <m/>
    <n v="0"/>
  </r>
  <r>
    <x v="39"/>
    <x v="14"/>
    <x v="0"/>
    <x v="3"/>
    <x v="0"/>
    <n v="57"/>
    <x v="0"/>
    <x v="39"/>
    <n v="82872"/>
    <n v="0"/>
    <n v="82872"/>
    <x v="2"/>
    <x v="8"/>
    <m/>
    <n v="0"/>
  </r>
  <r>
    <x v="40"/>
    <x v="15"/>
    <x v="4"/>
    <x v="2"/>
    <x v="1"/>
    <n v="30"/>
    <x v="2"/>
    <x v="40"/>
    <n v="86317"/>
    <n v="0"/>
    <n v="86317"/>
    <x v="1"/>
    <x v="11"/>
    <d v="2017-07-16T00:00:00"/>
    <n v="1"/>
  </r>
  <r>
    <x v="41"/>
    <x v="6"/>
    <x v="6"/>
    <x v="2"/>
    <x v="0"/>
    <n v="53"/>
    <x v="1"/>
    <x v="41"/>
    <n v="113135"/>
    <n v="0.05"/>
    <n v="118792"/>
    <x v="0"/>
    <x v="5"/>
    <m/>
    <n v="0"/>
  </r>
  <r>
    <x v="42"/>
    <x v="9"/>
    <x v="0"/>
    <x v="2"/>
    <x v="1"/>
    <n v="52"/>
    <x v="1"/>
    <x v="42"/>
    <n v="199808"/>
    <n v="0.32"/>
    <n v="263747"/>
    <x v="0"/>
    <x v="0"/>
    <m/>
    <n v="0"/>
  </r>
  <r>
    <x v="43"/>
    <x v="5"/>
    <x v="2"/>
    <x v="2"/>
    <x v="1"/>
    <n v="37"/>
    <x v="3"/>
    <x v="43"/>
    <n v="56037"/>
    <n v="0"/>
    <n v="56037"/>
    <x v="1"/>
    <x v="6"/>
    <m/>
    <n v="0"/>
  </r>
  <r>
    <x v="44"/>
    <x v="0"/>
    <x v="6"/>
    <x v="0"/>
    <x v="0"/>
    <n v="29"/>
    <x v="2"/>
    <x v="44"/>
    <n v="122350"/>
    <n v="0.12"/>
    <n v="137032"/>
    <x v="0"/>
    <x v="3"/>
    <m/>
    <n v="0"/>
  </r>
  <r>
    <x v="45"/>
    <x v="14"/>
    <x v="0"/>
    <x v="0"/>
    <x v="1"/>
    <n v="40"/>
    <x v="3"/>
    <x v="45"/>
    <n v="92952"/>
    <n v="0"/>
    <n v="92952"/>
    <x v="0"/>
    <x v="0"/>
    <m/>
    <n v="0"/>
  </r>
  <r>
    <x v="46"/>
    <x v="3"/>
    <x v="0"/>
    <x v="3"/>
    <x v="1"/>
    <n v="32"/>
    <x v="2"/>
    <x v="46"/>
    <n v="79921"/>
    <n v="0.05"/>
    <n v="83917"/>
    <x v="0"/>
    <x v="5"/>
    <m/>
    <n v="0"/>
  </r>
  <r>
    <x v="47"/>
    <x v="2"/>
    <x v="0"/>
    <x v="0"/>
    <x v="0"/>
    <n v="37"/>
    <x v="3"/>
    <x v="47"/>
    <n v="167199"/>
    <n v="0.2"/>
    <n v="200639"/>
    <x v="0"/>
    <x v="0"/>
    <m/>
    <n v="0"/>
  </r>
  <r>
    <x v="48"/>
    <x v="10"/>
    <x v="5"/>
    <x v="0"/>
    <x v="1"/>
    <n v="52"/>
    <x v="1"/>
    <x v="48"/>
    <n v="71476"/>
    <n v="0"/>
    <n v="71476"/>
    <x v="0"/>
    <x v="3"/>
    <m/>
    <n v="0"/>
  </r>
  <r>
    <x v="49"/>
    <x v="2"/>
    <x v="5"/>
    <x v="1"/>
    <x v="0"/>
    <n v="45"/>
    <x v="1"/>
    <x v="49"/>
    <n v="189420"/>
    <n v="0.2"/>
    <n v="227304"/>
    <x v="0"/>
    <x v="0"/>
    <m/>
    <n v="0"/>
  </r>
  <r>
    <x v="50"/>
    <x v="16"/>
    <x v="4"/>
    <x v="0"/>
    <x v="0"/>
    <n v="64"/>
    <x v="0"/>
    <x v="50"/>
    <n v="64057"/>
    <n v="0"/>
    <n v="64057"/>
    <x v="0"/>
    <x v="3"/>
    <m/>
    <n v="0"/>
  </r>
  <r>
    <x v="51"/>
    <x v="13"/>
    <x v="6"/>
    <x v="1"/>
    <x v="0"/>
    <n v="27"/>
    <x v="2"/>
    <x v="51"/>
    <n v="68728"/>
    <n v="0"/>
    <n v="68728"/>
    <x v="0"/>
    <x v="3"/>
    <m/>
    <n v="0"/>
  </r>
  <r>
    <x v="52"/>
    <x v="0"/>
    <x v="0"/>
    <x v="1"/>
    <x v="0"/>
    <n v="25"/>
    <x v="2"/>
    <x v="52"/>
    <n v="125633"/>
    <n v="0.11"/>
    <n v="139453"/>
    <x v="1"/>
    <x v="10"/>
    <m/>
    <n v="0"/>
  </r>
  <r>
    <x v="53"/>
    <x v="13"/>
    <x v="6"/>
    <x v="1"/>
    <x v="1"/>
    <n v="35"/>
    <x v="3"/>
    <x v="53"/>
    <n v="66889"/>
    <n v="0"/>
    <n v="66889"/>
    <x v="0"/>
    <x v="7"/>
    <m/>
    <n v="0"/>
  </r>
  <r>
    <x v="54"/>
    <x v="2"/>
    <x v="3"/>
    <x v="0"/>
    <x v="0"/>
    <n v="36"/>
    <x v="3"/>
    <x v="54"/>
    <n v="178700"/>
    <n v="0.29"/>
    <n v="230523"/>
    <x v="0"/>
    <x v="0"/>
    <m/>
    <n v="0"/>
  </r>
  <r>
    <x v="55"/>
    <x v="17"/>
    <x v="5"/>
    <x v="0"/>
    <x v="0"/>
    <n v="33"/>
    <x v="2"/>
    <x v="55"/>
    <n v="83990"/>
    <n v="0"/>
    <n v="83990"/>
    <x v="0"/>
    <x v="2"/>
    <m/>
    <n v="0"/>
  </r>
  <r>
    <x v="56"/>
    <x v="18"/>
    <x v="5"/>
    <x v="3"/>
    <x v="0"/>
    <n v="52"/>
    <x v="1"/>
    <x v="56"/>
    <n v="102043"/>
    <n v="0"/>
    <n v="102043"/>
    <x v="0"/>
    <x v="2"/>
    <m/>
    <n v="0"/>
  </r>
  <r>
    <x v="57"/>
    <x v="19"/>
    <x v="5"/>
    <x v="1"/>
    <x v="0"/>
    <n v="46"/>
    <x v="1"/>
    <x v="57"/>
    <n v="90678"/>
    <n v="0"/>
    <n v="90678"/>
    <x v="0"/>
    <x v="7"/>
    <m/>
    <n v="0"/>
  </r>
  <r>
    <x v="58"/>
    <x v="20"/>
    <x v="4"/>
    <x v="1"/>
    <x v="0"/>
    <n v="46"/>
    <x v="1"/>
    <x v="58"/>
    <n v="59067"/>
    <n v="0"/>
    <n v="59067"/>
    <x v="0"/>
    <x v="4"/>
    <m/>
    <n v="0"/>
  </r>
  <r>
    <x v="59"/>
    <x v="0"/>
    <x v="6"/>
    <x v="0"/>
    <x v="1"/>
    <n v="45"/>
    <x v="1"/>
    <x v="59"/>
    <n v="135062"/>
    <n v="0.15"/>
    <n v="155321"/>
    <x v="1"/>
    <x v="11"/>
    <m/>
    <n v="0"/>
  </r>
  <r>
    <x v="60"/>
    <x v="0"/>
    <x v="0"/>
    <x v="3"/>
    <x v="0"/>
    <n v="55"/>
    <x v="0"/>
    <x v="60"/>
    <n v="159044"/>
    <n v="0.1"/>
    <n v="174948"/>
    <x v="2"/>
    <x v="8"/>
    <m/>
    <n v="0"/>
  </r>
  <r>
    <x v="61"/>
    <x v="4"/>
    <x v="3"/>
    <x v="1"/>
    <x v="0"/>
    <n v="44"/>
    <x v="3"/>
    <x v="61"/>
    <n v="74691"/>
    <n v="0"/>
    <n v="74691"/>
    <x v="2"/>
    <x v="8"/>
    <d v="2020-07-08T00:00:00"/>
    <n v="1"/>
  </r>
  <r>
    <x v="62"/>
    <x v="11"/>
    <x v="5"/>
    <x v="3"/>
    <x v="0"/>
    <n v="44"/>
    <x v="3"/>
    <x v="62"/>
    <n v="92753"/>
    <n v="0.13"/>
    <n v="104811"/>
    <x v="0"/>
    <x v="5"/>
    <d v="2021-06-24T00:00:00"/>
    <n v="1"/>
  </r>
  <r>
    <x v="63"/>
    <x v="9"/>
    <x v="4"/>
    <x v="2"/>
    <x v="1"/>
    <n v="45"/>
    <x v="1"/>
    <x v="63"/>
    <n v="236946"/>
    <n v="0.37"/>
    <n v="324616"/>
    <x v="0"/>
    <x v="0"/>
    <m/>
    <n v="0"/>
  </r>
  <r>
    <x v="64"/>
    <x v="7"/>
    <x v="1"/>
    <x v="3"/>
    <x v="0"/>
    <n v="36"/>
    <x v="3"/>
    <x v="64"/>
    <n v="48906"/>
    <n v="0"/>
    <n v="48906"/>
    <x v="0"/>
    <x v="4"/>
    <m/>
    <n v="0"/>
  </r>
  <r>
    <x v="65"/>
    <x v="4"/>
    <x v="2"/>
    <x v="3"/>
    <x v="0"/>
    <n v="38"/>
    <x v="3"/>
    <x v="65"/>
    <n v="80024"/>
    <n v="0"/>
    <n v="80024"/>
    <x v="0"/>
    <x v="7"/>
    <m/>
    <n v="0"/>
  </r>
  <r>
    <x v="66"/>
    <x v="16"/>
    <x v="4"/>
    <x v="2"/>
    <x v="0"/>
    <n v="41"/>
    <x v="3"/>
    <x v="66"/>
    <n v="54415"/>
    <n v="0"/>
    <n v="54415"/>
    <x v="0"/>
    <x v="0"/>
    <d v="2014-01-22T00:00:00"/>
    <n v="1"/>
  </r>
  <r>
    <x v="67"/>
    <x v="6"/>
    <x v="6"/>
    <x v="0"/>
    <x v="0"/>
    <n v="30"/>
    <x v="2"/>
    <x v="67"/>
    <n v="120341"/>
    <n v="0.07"/>
    <n v="128765"/>
    <x v="0"/>
    <x v="0"/>
    <m/>
    <n v="0"/>
  </r>
  <r>
    <x v="68"/>
    <x v="9"/>
    <x v="0"/>
    <x v="2"/>
    <x v="0"/>
    <n v="43"/>
    <x v="3"/>
    <x v="68"/>
    <n v="208415"/>
    <n v="0.35"/>
    <n v="281360"/>
    <x v="0"/>
    <x v="0"/>
    <m/>
    <n v="0"/>
  </r>
  <r>
    <x v="69"/>
    <x v="21"/>
    <x v="0"/>
    <x v="2"/>
    <x v="0"/>
    <n v="32"/>
    <x v="2"/>
    <x v="69"/>
    <n v="78844"/>
    <n v="0"/>
    <n v="78844"/>
    <x v="0"/>
    <x v="0"/>
    <m/>
    <n v="0"/>
  </r>
  <r>
    <x v="70"/>
    <x v="17"/>
    <x v="5"/>
    <x v="1"/>
    <x v="1"/>
    <n v="58"/>
    <x v="0"/>
    <x v="70"/>
    <n v="76354"/>
    <n v="0"/>
    <n v="76354"/>
    <x v="0"/>
    <x v="3"/>
    <d v="2021-09-26T00:00:00"/>
    <n v="1"/>
  </r>
  <r>
    <x v="71"/>
    <x v="2"/>
    <x v="1"/>
    <x v="2"/>
    <x v="0"/>
    <n v="37"/>
    <x v="3"/>
    <x v="71"/>
    <n v="165927"/>
    <n v="0.2"/>
    <n v="199112"/>
    <x v="0"/>
    <x v="3"/>
    <m/>
    <n v="0"/>
  </r>
  <r>
    <x v="72"/>
    <x v="6"/>
    <x v="3"/>
    <x v="2"/>
    <x v="0"/>
    <n v="38"/>
    <x v="3"/>
    <x v="72"/>
    <n v="109812"/>
    <n v="0.09"/>
    <n v="119695"/>
    <x v="2"/>
    <x v="8"/>
    <m/>
    <n v="0"/>
  </r>
  <r>
    <x v="73"/>
    <x v="8"/>
    <x v="5"/>
    <x v="3"/>
    <x v="1"/>
    <n v="55"/>
    <x v="0"/>
    <x v="73"/>
    <n v="86299"/>
    <n v="0"/>
    <n v="86299"/>
    <x v="0"/>
    <x v="0"/>
    <m/>
    <n v="0"/>
  </r>
  <r>
    <x v="74"/>
    <x v="9"/>
    <x v="6"/>
    <x v="0"/>
    <x v="1"/>
    <n v="57"/>
    <x v="0"/>
    <x v="74"/>
    <n v="206624"/>
    <n v="0.4"/>
    <n v="289274"/>
    <x v="2"/>
    <x v="12"/>
    <m/>
    <n v="0"/>
  </r>
  <r>
    <x v="75"/>
    <x v="12"/>
    <x v="0"/>
    <x v="1"/>
    <x v="1"/>
    <n v="36"/>
    <x v="3"/>
    <x v="75"/>
    <n v="53215"/>
    <n v="0"/>
    <n v="53215"/>
    <x v="2"/>
    <x v="12"/>
    <d v="2014-03-27T00:00:00"/>
    <n v="1"/>
  </r>
  <r>
    <x v="76"/>
    <x v="22"/>
    <x v="5"/>
    <x v="0"/>
    <x v="0"/>
    <n v="30"/>
    <x v="2"/>
    <x v="76"/>
    <n v="86858"/>
    <n v="0"/>
    <n v="86858"/>
    <x v="1"/>
    <x v="1"/>
    <d v="2017-10-08T00:00:00"/>
    <n v="1"/>
  </r>
  <r>
    <x v="77"/>
    <x v="3"/>
    <x v="0"/>
    <x v="1"/>
    <x v="1"/>
    <n v="40"/>
    <x v="3"/>
    <x v="77"/>
    <n v="93971"/>
    <n v="0.08"/>
    <n v="101489"/>
    <x v="1"/>
    <x v="1"/>
    <m/>
    <n v="0"/>
  </r>
  <r>
    <x v="78"/>
    <x v="13"/>
    <x v="1"/>
    <x v="3"/>
    <x v="1"/>
    <n v="34"/>
    <x v="2"/>
    <x v="78"/>
    <n v="57008"/>
    <n v="0"/>
    <n v="57008"/>
    <x v="0"/>
    <x v="3"/>
    <m/>
    <n v="0"/>
  </r>
  <r>
    <x v="79"/>
    <x v="0"/>
    <x v="1"/>
    <x v="1"/>
    <x v="1"/>
    <n v="60"/>
    <x v="0"/>
    <x v="79"/>
    <n v="141899"/>
    <n v="0.15"/>
    <n v="163184"/>
    <x v="0"/>
    <x v="3"/>
    <m/>
    <n v="0"/>
  </r>
  <r>
    <x v="80"/>
    <x v="13"/>
    <x v="6"/>
    <x v="3"/>
    <x v="1"/>
    <n v="41"/>
    <x v="3"/>
    <x v="80"/>
    <n v="64847"/>
    <n v="0"/>
    <n v="64847"/>
    <x v="0"/>
    <x v="4"/>
    <m/>
    <n v="0"/>
  </r>
  <r>
    <x v="81"/>
    <x v="11"/>
    <x v="5"/>
    <x v="0"/>
    <x v="1"/>
    <n v="53"/>
    <x v="1"/>
    <x v="81"/>
    <n v="116878"/>
    <n v="0.11"/>
    <n v="129735"/>
    <x v="0"/>
    <x v="4"/>
    <m/>
    <n v="0"/>
  </r>
  <r>
    <x v="82"/>
    <x v="10"/>
    <x v="5"/>
    <x v="2"/>
    <x v="1"/>
    <n v="45"/>
    <x v="1"/>
    <x v="26"/>
    <n v="70505"/>
    <n v="0"/>
    <n v="70505"/>
    <x v="0"/>
    <x v="5"/>
    <m/>
    <n v="0"/>
  </r>
  <r>
    <x v="83"/>
    <x v="2"/>
    <x v="5"/>
    <x v="0"/>
    <x v="0"/>
    <n v="30"/>
    <x v="2"/>
    <x v="82"/>
    <n v="189702"/>
    <n v="0.28"/>
    <n v="242819"/>
    <x v="2"/>
    <x v="8"/>
    <d v="2020-12-21T00:00:00"/>
    <n v="1"/>
  </r>
  <r>
    <x v="84"/>
    <x v="2"/>
    <x v="3"/>
    <x v="2"/>
    <x v="1"/>
    <n v="26"/>
    <x v="2"/>
    <x v="83"/>
    <n v="180664"/>
    <n v="0.27"/>
    <n v="229443"/>
    <x v="0"/>
    <x v="2"/>
    <m/>
    <n v="0"/>
  </r>
  <r>
    <x v="85"/>
    <x v="20"/>
    <x v="4"/>
    <x v="1"/>
    <x v="0"/>
    <n v="45"/>
    <x v="1"/>
    <x v="84"/>
    <n v="48345"/>
    <n v="0"/>
    <n v="48345"/>
    <x v="1"/>
    <x v="11"/>
    <m/>
    <n v="0"/>
  </r>
  <r>
    <x v="86"/>
    <x v="2"/>
    <x v="4"/>
    <x v="1"/>
    <x v="1"/>
    <n v="42"/>
    <x v="3"/>
    <x v="85"/>
    <n v="152214"/>
    <n v="0.3"/>
    <n v="197878"/>
    <x v="1"/>
    <x v="10"/>
    <m/>
    <n v="0"/>
  </r>
  <r>
    <x v="87"/>
    <x v="21"/>
    <x v="0"/>
    <x v="3"/>
    <x v="0"/>
    <n v="41"/>
    <x v="3"/>
    <x v="86"/>
    <n v="69803"/>
    <n v="0"/>
    <n v="69803"/>
    <x v="2"/>
    <x v="8"/>
    <m/>
    <n v="0"/>
  </r>
  <r>
    <x v="88"/>
    <x v="23"/>
    <x v="0"/>
    <x v="3"/>
    <x v="0"/>
    <n v="48"/>
    <x v="1"/>
    <x v="87"/>
    <n v="76588"/>
    <n v="0"/>
    <n v="76588"/>
    <x v="2"/>
    <x v="9"/>
    <m/>
    <n v="0"/>
  </r>
  <r>
    <x v="89"/>
    <x v="24"/>
    <x v="0"/>
    <x v="1"/>
    <x v="1"/>
    <n v="29"/>
    <x v="2"/>
    <x v="88"/>
    <n v="84596"/>
    <n v="0"/>
    <n v="84596"/>
    <x v="0"/>
    <x v="4"/>
    <m/>
    <n v="0"/>
  </r>
  <r>
    <x v="90"/>
    <x v="6"/>
    <x v="6"/>
    <x v="0"/>
    <x v="1"/>
    <n v="27"/>
    <x v="2"/>
    <x v="89"/>
    <n v="114441"/>
    <n v="0.1"/>
    <n v="125885"/>
    <x v="1"/>
    <x v="1"/>
    <d v="2019-12-22T00:00:00"/>
    <n v="1"/>
  </r>
  <r>
    <x v="91"/>
    <x v="0"/>
    <x v="1"/>
    <x v="2"/>
    <x v="0"/>
    <n v="33"/>
    <x v="2"/>
    <x v="90"/>
    <n v="140402"/>
    <n v="0.15"/>
    <n v="161462"/>
    <x v="1"/>
    <x v="10"/>
    <m/>
    <n v="0"/>
  </r>
  <r>
    <x v="92"/>
    <x v="13"/>
    <x v="1"/>
    <x v="3"/>
    <x v="0"/>
    <n v="26"/>
    <x v="2"/>
    <x v="91"/>
    <n v="59817"/>
    <n v="0"/>
    <n v="59817"/>
    <x v="2"/>
    <x v="12"/>
    <m/>
    <n v="0"/>
  </r>
  <r>
    <x v="93"/>
    <x v="5"/>
    <x v="2"/>
    <x v="1"/>
    <x v="1"/>
    <n v="31"/>
    <x v="2"/>
    <x v="92"/>
    <n v="55854"/>
    <n v="0"/>
    <n v="55854"/>
    <x v="0"/>
    <x v="5"/>
    <m/>
    <n v="0"/>
  </r>
  <r>
    <x v="94"/>
    <x v="15"/>
    <x v="4"/>
    <x v="0"/>
    <x v="1"/>
    <n v="53"/>
    <x v="1"/>
    <x v="93"/>
    <n v="95998"/>
    <n v="0"/>
    <n v="95998"/>
    <x v="0"/>
    <x v="0"/>
    <m/>
    <n v="0"/>
  </r>
  <r>
    <x v="95"/>
    <x v="0"/>
    <x v="2"/>
    <x v="1"/>
    <x v="0"/>
    <n v="34"/>
    <x v="2"/>
    <x v="94"/>
    <n v="154941"/>
    <n v="0.13"/>
    <n v="175083"/>
    <x v="0"/>
    <x v="3"/>
    <m/>
    <n v="0"/>
  </r>
  <r>
    <x v="96"/>
    <x v="9"/>
    <x v="1"/>
    <x v="2"/>
    <x v="0"/>
    <n v="54"/>
    <x v="1"/>
    <x v="95"/>
    <n v="247022"/>
    <n v="0.3"/>
    <n v="321129"/>
    <x v="1"/>
    <x v="10"/>
    <m/>
    <n v="0"/>
  </r>
  <r>
    <x v="97"/>
    <x v="23"/>
    <x v="0"/>
    <x v="1"/>
    <x v="0"/>
    <n v="32"/>
    <x v="2"/>
    <x v="96"/>
    <n v="88072"/>
    <n v="0"/>
    <n v="88072"/>
    <x v="2"/>
    <x v="12"/>
    <m/>
    <n v="0"/>
  </r>
  <r>
    <x v="98"/>
    <x v="3"/>
    <x v="0"/>
    <x v="0"/>
    <x v="1"/>
    <n v="28"/>
    <x v="2"/>
    <x v="97"/>
    <n v="67925"/>
    <n v="0.08"/>
    <n v="73359"/>
    <x v="1"/>
    <x v="6"/>
    <m/>
    <n v="0"/>
  </r>
  <r>
    <x v="99"/>
    <x v="9"/>
    <x v="2"/>
    <x v="1"/>
    <x v="0"/>
    <n v="31"/>
    <x v="2"/>
    <x v="98"/>
    <n v="219693"/>
    <n v="0.3"/>
    <n v="285601"/>
    <x v="0"/>
    <x v="5"/>
    <m/>
    <n v="0"/>
  </r>
  <r>
    <x v="100"/>
    <x v="22"/>
    <x v="5"/>
    <x v="0"/>
    <x v="0"/>
    <n v="45"/>
    <x v="1"/>
    <x v="99"/>
    <n v="61773"/>
    <n v="0"/>
    <n v="61773"/>
    <x v="0"/>
    <x v="0"/>
    <m/>
    <n v="0"/>
  </r>
  <r>
    <x v="101"/>
    <x v="3"/>
    <x v="0"/>
    <x v="2"/>
    <x v="0"/>
    <n v="48"/>
    <x v="1"/>
    <x v="100"/>
    <n v="74546"/>
    <n v="0.09"/>
    <n v="81255"/>
    <x v="0"/>
    <x v="0"/>
    <m/>
    <n v="0"/>
  </r>
  <r>
    <x v="102"/>
    <x v="25"/>
    <x v="5"/>
    <x v="2"/>
    <x v="1"/>
    <n v="56"/>
    <x v="0"/>
    <x v="101"/>
    <n v="62575"/>
    <n v="0"/>
    <n v="62575"/>
    <x v="0"/>
    <x v="4"/>
    <m/>
    <n v="0"/>
  </r>
  <r>
    <x v="103"/>
    <x v="2"/>
    <x v="4"/>
    <x v="3"/>
    <x v="0"/>
    <n v="27"/>
    <x v="2"/>
    <x v="102"/>
    <n v="199041"/>
    <n v="0.16"/>
    <n v="230888"/>
    <x v="1"/>
    <x v="10"/>
    <m/>
    <n v="0"/>
  </r>
  <r>
    <x v="104"/>
    <x v="13"/>
    <x v="3"/>
    <x v="2"/>
    <x v="1"/>
    <n v="55"/>
    <x v="0"/>
    <x v="103"/>
    <n v="52310"/>
    <n v="0"/>
    <n v="52310"/>
    <x v="0"/>
    <x v="4"/>
    <d v="2018-10-12T00:00:00"/>
    <n v="1"/>
  </r>
  <r>
    <x v="105"/>
    <x v="0"/>
    <x v="1"/>
    <x v="2"/>
    <x v="1"/>
    <n v="64"/>
    <x v="0"/>
    <x v="104"/>
    <n v="159571"/>
    <n v="0.1"/>
    <n v="175528"/>
    <x v="0"/>
    <x v="7"/>
    <m/>
    <n v="0"/>
  </r>
  <r>
    <x v="106"/>
    <x v="17"/>
    <x v="5"/>
    <x v="0"/>
    <x v="0"/>
    <n v="50"/>
    <x v="1"/>
    <x v="105"/>
    <n v="91763"/>
    <n v="0"/>
    <n v="91763"/>
    <x v="0"/>
    <x v="5"/>
    <m/>
    <n v="0"/>
  </r>
  <r>
    <x v="107"/>
    <x v="25"/>
    <x v="5"/>
    <x v="3"/>
    <x v="0"/>
    <n v="51"/>
    <x v="1"/>
    <x v="106"/>
    <n v="96475"/>
    <n v="0"/>
    <n v="96475"/>
    <x v="0"/>
    <x v="5"/>
    <m/>
    <n v="0"/>
  </r>
  <r>
    <x v="108"/>
    <x v="8"/>
    <x v="5"/>
    <x v="1"/>
    <x v="1"/>
    <n v="36"/>
    <x v="3"/>
    <x v="107"/>
    <n v="113781"/>
    <n v="0"/>
    <n v="113781"/>
    <x v="0"/>
    <x v="7"/>
    <m/>
    <n v="0"/>
  </r>
  <r>
    <x v="109"/>
    <x v="2"/>
    <x v="1"/>
    <x v="0"/>
    <x v="1"/>
    <n v="42"/>
    <x v="3"/>
    <x v="108"/>
    <n v="166599"/>
    <n v="0.26"/>
    <n v="209915"/>
    <x v="0"/>
    <x v="0"/>
    <m/>
    <n v="0"/>
  </r>
  <r>
    <x v="110"/>
    <x v="26"/>
    <x v="2"/>
    <x v="3"/>
    <x v="0"/>
    <n v="41"/>
    <x v="3"/>
    <x v="109"/>
    <n v="95372"/>
    <n v="0"/>
    <n v="95372"/>
    <x v="1"/>
    <x v="6"/>
    <m/>
    <n v="0"/>
  </r>
  <r>
    <x v="111"/>
    <x v="2"/>
    <x v="0"/>
    <x v="0"/>
    <x v="0"/>
    <n v="29"/>
    <x v="2"/>
    <x v="110"/>
    <n v="161203"/>
    <n v="0.15"/>
    <n v="185383"/>
    <x v="1"/>
    <x v="11"/>
    <m/>
    <n v="0"/>
  </r>
  <r>
    <x v="112"/>
    <x v="27"/>
    <x v="0"/>
    <x v="1"/>
    <x v="0"/>
    <n v="44"/>
    <x v="3"/>
    <x v="111"/>
    <n v="74738"/>
    <n v="0"/>
    <n v="74738"/>
    <x v="0"/>
    <x v="4"/>
    <m/>
    <n v="0"/>
  </r>
  <r>
    <x v="113"/>
    <x v="2"/>
    <x v="2"/>
    <x v="0"/>
    <x v="0"/>
    <n v="41"/>
    <x v="3"/>
    <x v="112"/>
    <n v="171173"/>
    <n v="0.21"/>
    <n v="207119"/>
    <x v="0"/>
    <x v="7"/>
    <m/>
    <n v="0"/>
  </r>
  <r>
    <x v="114"/>
    <x v="9"/>
    <x v="2"/>
    <x v="3"/>
    <x v="1"/>
    <n v="61"/>
    <x v="0"/>
    <x v="113"/>
    <n v="201464"/>
    <n v="0.37"/>
    <n v="276006"/>
    <x v="0"/>
    <x v="2"/>
    <m/>
    <n v="0"/>
  </r>
  <r>
    <x v="115"/>
    <x v="2"/>
    <x v="4"/>
    <x v="3"/>
    <x v="1"/>
    <n v="50"/>
    <x v="1"/>
    <x v="114"/>
    <n v="174895"/>
    <n v="0.15"/>
    <n v="201129"/>
    <x v="0"/>
    <x v="2"/>
    <m/>
    <n v="0"/>
  </r>
  <r>
    <x v="116"/>
    <x v="0"/>
    <x v="0"/>
    <x v="1"/>
    <x v="0"/>
    <n v="49"/>
    <x v="1"/>
    <x v="115"/>
    <n v="134486"/>
    <n v="0.14"/>
    <n v="153314"/>
    <x v="0"/>
    <x v="5"/>
    <m/>
    <n v="0"/>
  </r>
  <r>
    <x v="117"/>
    <x v="4"/>
    <x v="1"/>
    <x v="1"/>
    <x v="0"/>
    <n v="60"/>
    <x v="0"/>
    <x v="116"/>
    <n v="71699"/>
    <n v="0"/>
    <n v="71699"/>
    <x v="2"/>
    <x v="8"/>
    <m/>
    <n v="0"/>
  </r>
  <r>
    <x v="118"/>
    <x v="4"/>
    <x v="6"/>
    <x v="3"/>
    <x v="0"/>
    <n v="42"/>
    <x v="3"/>
    <x v="117"/>
    <n v="94430"/>
    <n v="0"/>
    <n v="94430"/>
    <x v="0"/>
    <x v="0"/>
    <m/>
    <n v="0"/>
  </r>
  <r>
    <x v="119"/>
    <x v="6"/>
    <x v="1"/>
    <x v="3"/>
    <x v="1"/>
    <n v="39"/>
    <x v="3"/>
    <x v="118"/>
    <n v="103504"/>
    <n v="0.07"/>
    <n v="110749"/>
    <x v="1"/>
    <x v="11"/>
    <m/>
    <n v="0"/>
  </r>
  <r>
    <x v="120"/>
    <x v="14"/>
    <x v="0"/>
    <x v="1"/>
    <x v="0"/>
    <n v="55"/>
    <x v="0"/>
    <x v="119"/>
    <n v="92771"/>
    <n v="0"/>
    <n v="92771"/>
    <x v="0"/>
    <x v="4"/>
    <m/>
    <n v="0"/>
  </r>
  <r>
    <x v="121"/>
    <x v="13"/>
    <x v="1"/>
    <x v="2"/>
    <x v="0"/>
    <n v="39"/>
    <x v="3"/>
    <x v="120"/>
    <n v="71531"/>
    <n v="0"/>
    <n v="71531"/>
    <x v="0"/>
    <x v="7"/>
    <m/>
    <n v="0"/>
  </r>
  <r>
    <x v="122"/>
    <x v="21"/>
    <x v="0"/>
    <x v="2"/>
    <x v="1"/>
    <n v="28"/>
    <x v="2"/>
    <x v="121"/>
    <n v="90304"/>
    <n v="0"/>
    <n v="90304"/>
    <x v="0"/>
    <x v="2"/>
    <m/>
    <n v="0"/>
  </r>
  <r>
    <x v="123"/>
    <x v="6"/>
    <x v="6"/>
    <x v="1"/>
    <x v="0"/>
    <n v="65"/>
    <x v="4"/>
    <x v="122"/>
    <n v="104903"/>
    <n v="0.1"/>
    <n v="115393"/>
    <x v="0"/>
    <x v="7"/>
    <m/>
    <n v="0"/>
  </r>
  <r>
    <x v="124"/>
    <x v="7"/>
    <x v="1"/>
    <x v="3"/>
    <x v="0"/>
    <n v="52"/>
    <x v="1"/>
    <x v="123"/>
    <n v="55859"/>
    <n v="0"/>
    <n v="55859"/>
    <x v="1"/>
    <x v="10"/>
    <m/>
    <n v="0"/>
  </r>
  <r>
    <x v="125"/>
    <x v="19"/>
    <x v="5"/>
    <x v="3"/>
    <x v="0"/>
    <n v="62"/>
    <x v="0"/>
    <x v="124"/>
    <n v="79785"/>
    <n v="0"/>
    <n v="79785"/>
    <x v="0"/>
    <x v="5"/>
    <m/>
    <n v="0"/>
  </r>
  <r>
    <x v="126"/>
    <x v="4"/>
    <x v="6"/>
    <x v="3"/>
    <x v="0"/>
    <n v="39"/>
    <x v="3"/>
    <x v="125"/>
    <n v="99017"/>
    <n v="0"/>
    <n v="99017"/>
    <x v="1"/>
    <x v="10"/>
    <m/>
    <n v="0"/>
  </r>
  <r>
    <x v="127"/>
    <x v="28"/>
    <x v="0"/>
    <x v="1"/>
    <x v="0"/>
    <n v="63"/>
    <x v="0"/>
    <x v="126"/>
    <n v="53809"/>
    <n v="0"/>
    <n v="53809"/>
    <x v="0"/>
    <x v="3"/>
    <m/>
    <n v="0"/>
  </r>
  <r>
    <x v="128"/>
    <x v="17"/>
    <x v="5"/>
    <x v="2"/>
    <x v="1"/>
    <n v="27"/>
    <x v="2"/>
    <x v="127"/>
    <n v="71864"/>
    <n v="0"/>
    <n v="71864"/>
    <x v="1"/>
    <x v="11"/>
    <m/>
    <n v="0"/>
  </r>
  <r>
    <x v="129"/>
    <x v="9"/>
    <x v="1"/>
    <x v="3"/>
    <x v="0"/>
    <n v="37"/>
    <x v="3"/>
    <x v="128"/>
    <n v="225558"/>
    <n v="0.33"/>
    <n v="299992"/>
    <x v="1"/>
    <x v="6"/>
    <m/>
    <n v="0"/>
  </r>
  <r>
    <x v="130"/>
    <x v="0"/>
    <x v="0"/>
    <x v="1"/>
    <x v="1"/>
    <n v="37"/>
    <x v="3"/>
    <x v="129"/>
    <n v="128984"/>
    <n v="0.12"/>
    <n v="144462"/>
    <x v="0"/>
    <x v="4"/>
    <d v="2021-05-01T00:00:00"/>
    <n v="1"/>
  </r>
  <r>
    <x v="131"/>
    <x v="17"/>
    <x v="5"/>
    <x v="2"/>
    <x v="1"/>
    <n v="46"/>
    <x v="1"/>
    <x v="130"/>
    <n v="96997"/>
    <n v="0"/>
    <n v="96997"/>
    <x v="2"/>
    <x v="12"/>
    <m/>
    <n v="0"/>
  </r>
  <r>
    <x v="132"/>
    <x v="2"/>
    <x v="4"/>
    <x v="1"/>
    <x v="0"/>
    <n v="54"/>
    <x v="1"/>
    <x v="131"/>
    <n v="176294"/>
    <n v="0.28"/>
    <n v="225656"/>
    <x v="0"/>
    <x v="5"/>
    <m/>
    <n v="0"/>
  </r>
  <r>
    <x v="133"/>
    <x v="7"/>
    <x v="2"/>
    <x v="0"/>
    <x v="0"/>
    <n v="30"/>
    <x v="2"/>
    <x v="132"/>
    <n v="48340"/>
    <n v="0"/>
    <n v="48340"/>
    <x v="1"/>
    <x v="10"/>
    <m/>
    <n v="0"/>
  </r>
  <r>
    <x v="134"/>
    <x v="9"/>
    <x v="5"/>
    <x v="3"/>
    <x v="0"/>
    <n v="28"/>
    <x v="2"/>
    <x v="133"/>
    <n v="240488"/>
    <n v="0.4"/>
    <n v="336683"/>
    <x v="2"/>
    <x v="9"/>
    <m/>
    <n v="0"/>
  </r>
  <r>
    <x v="135"/>
    <x v="14"/>
    <x v="0"/>
    <x v="1"/>
    <x v="1"/>
    <n v="40"/>
    <x v="3"/>
    <x v="134"/>
    <n v="97339"/>
    <n v="0"/>
    <n v="97339"/>
    <x v="0"/>
    <x v="5"/>
    <m/>
    <n v="0"/>
  </r>
  <r>
    <x v="136"/>
    <x v="9"/>
    <x v="4"/>
    <x v="1"/>
    <x v="0"/>
    <n v="49"/>
    <x v="1"/>
    <x v="135"/>
    <n v="211291"/>
    <n v="0.37"/>
    <n v="289469"/>
    <x v="1"/>
    <x v="1"/>
    <m/>
    <n v="0"/>
  </r>
  <r>
    <x v="137"/>
    <x v="9"/>
    <x v="2"/>
    <x v="0"/>
    <x v="1"/>
    <n v="39"/>
    <x v="3"/>
    <x v="136"/>
    <n v="249506"/>
    <n v="0.3"/>
    <n v="324358"/>
    <x v="2"/>
    <x v="9"/>
    <m/>
    <n v="0"/>
  </r>
  <r>
    <x v="138"/>
    <x v="10"/>
    <x v="5"/>
    <x v="2"/>
    <x v="1"/>
    <n v="61"/>
    <x v="0"/>
    <x v="137"/>
    <n v="80950"/>
    <n v="0"/>
    <n v="80950"/>
    <x v="1"/>
    <x v="1"/>
    <m/>
    <n v="0"/>
  </r>
  <r>
    <x v="139"/>
    <x v="18"/>
    <x v="5"/>
    <x v="0"/>
    <x v="0"/>
    <n v="46"/>
    <x v="1"/>
    <x v="138"/>
    <n v="86538"/>
    <n v="0"/>
    <n v="86538"/>
    <x v="1"/>
    <x v="11"/>
    <m/>
    <n v="0"/>
  </r>
  <r>
    <x v="140"/>
    <x v="4"/>
    <x v="6"/>
    <x v="2"/>
    <x v="0"/>
    <n v="35"/>
    <x v="3"/>
    <x v="139"/>
    <n v="70992"/>
    <n v="0"/>
    <n v="70992"/>
    <x v="0"/>
    <x v="5"/>
    <m/>
    <n v="0"/>
  </r>
  <r>
    <x v="141"/>
    <x v="9"/>
    <x v="5"/>
    <x v="3"/>
    <x v="1"/>
    <n v="33"/>
    <x v="2"/>
    <x v="140"/>
    <n v="205314"/>
    <n v="0.3"/>
    <n v="266908"/>
    <x v="0"/>
    <x v="7"/>
    <m/>
    <n v="0"/>
  </r>
  <r>
    <x v="142"/>
    <x v="9"/>
    <x v="4"/>
    <x v="3"/>
    <x v="0"/>
    <n v="61"/>
    <x v="0"/>
    <x v="141"/>
    <n v="196951"/>
    <n v="0.33"/>
    <n v="261945"/>
    <x v="1"/>
    <x v="10"/>
    <m/>
    <n v="0"/>
  </r>
  <r>
    <x v="143"/>
    <x v="24"/>
    <x v="0"/>
    <x v="2"/>
    <x v="1"/>
    <n v="45"/>
    <x v="1"/>
    <x v="142"/>
    <n v="67686"/>
    <n v="0"/>
    <n v="67686"/>
    <x v="1"/>
    <x v="10"/>
    <m/>
    <n v="0"/>
  </r>
  <r>
    <x v="144"/>
    <x v="1"/>
    <x v="0"/>
    <x v="0"/>
    <x v="1"/>
    <n v="51"/>
    <x v="1"/>
    <x v="143"/>
    <n v="86431"/>
    <n v="0"/>
    <n v="86431"/>
    <x v="0"/>
    <x v="7"/>
    <m/>
    <n v="0"/>
  </r>
  <r>
    <x v="145"/>
    <x v="6"/>
    <x v="4"/>
    <x v="1"/>
    <x v="1"/>
    <n v="55"/>
    <x v="0"/>
    <x v="144"/>
    <n v="125936"/>
    <n v="0.08"/>
    <n v="136011"/>
    <x v="1"/>
    <x v="1"/>
    <m/>
    <n v="0"/>
  </r>
  <r>
    <x v="146"/>
    <x v="0"/>
    <x v="2"/>
    <x v="3"/>
    <x v="0"/>
    <n v="46"/>
    <x v="1"/>
    <x v="145"/>
    <n v="149712"/>
    <n v="0.14"/>
    <n v="170672"/>
    <x v="0"/>
    <x v="7"/>
    <m/>
    <n v="0"/>
  </r>
  <r>
    <x v="147"/>
    <x v="17"/>
    <x v="5"/>
    <x v="2"/>
    <x v="1"/>
    <n v="30"/>
    <x v="2"/>
    <x v="146"/>
    <n v="88758"/>
    <n v="0"/>
    <n v="88758"/>
    <x v="0"/>
    <x v="0"/>
    <m/>
    <n v="0"/>
  </r>
  <r>
    <x v="148"/>
    <x v="29"/>
    <x v="0"/>
    <x v="0"/>
    <x v="1"/>
    <n v="54"/>
    <x v="1"/>
    <x v="147"/>
    <n v="83639"/>
    <n v="0"/>
    <n v="83639"/>
    <x v="1"/>
    <x v="10"/>
    <m/>
    <n v="0"/>
  </r>
  <r>
    <x v="149"/>
    <x v="23"/>
    <x v="0"/>
    <x v="0"/>
    <x v="0"/>
    <n v="54"/>
    <x v="1"/>
    <x v="148"/>
    <n v="68268"/>
    <n v="0"/>
    <n v="68268"/>
    <x v="0"/>
    <x v="3"/>
    <m/>
    <n v="0"/>
  </r>
  <r>
    <x v="150"/>
    <x v="17"/>
    <x v="5"/>
    <x v="1"/>
    <x v="1"/>
    <n v="45"/>
    <x v="1"/>
    <x v="149"/>
    <n v="75819"/>
    <n v="0"/>
    <n v="75819"/>
    <x v="2"/>
    <x v="12"/>
    <m/>
    <n v="0"/>
  </r>
  <r>
    <x v="151"/>
    <x v="4"/>
    <x v="2"/>
    <x v="2"/>
    <x v="0"/>
    <n v="49"/>
    <x v="1"/>
    <x v="150"/>
    <n v="86658"/>
    <n v="0"/>
    <n v="86658"/>
    <x v="0"/>
    <x v="3"/>
    <m/>
    <n v="0"/>
  </r>
  <r>
    <x v="152"/>
    <x v="13"/>
    <x v="1"/>
    <x v="0"/>
    <x v="1"/>
    <n v="55"/>
    <x v="0"/>
    <x v="151"/>
    <n v="74552"/>
    <n v="0"/>
    <n v="74552"/>
    <x v="1"/>
    <x v="11"/>
    <m/>
    <n v="0"/>
  </r>
  <r>
    <x v="153"/>
    <x v="14"/>
    <x v="0"/>
    <x v="1"/>
    <x v="0"/>
    <n v="62"/>
    <x v="0"/>
    <x v="152"/>
    <n v="82839"/>
    <n v="0"/>
    <n v="82839"/>
    <x v="0"/>
    <x v="4"/>
    <m/>
    <n v="0"/>
  </r>
  <r>
    <x v="154"/>
    <x v="23"/>
    <x v="0"/>
    <x v="2"/>
    <x v="0"/>
    <n v="28"/>
    <x v="2"/>
    <x v="153"/>
    <n v="64475"/>
    <n v="0"/>
    <n v="64475"/>
    <x v="0"/>
    <x v="3"/>
    <m/>
    <n v="0"/>
  </r>
  <r>
    <x v="155"/>
    <x v="23"/>
    <x v="0"/>
    <x v="1"/>
    <x v="1"/>
    <n v="33"/>
    <x v="2"/>
    <x v="154"/>
    <n v="69453"/>
    <n v="0"/>
    <n v="69453"/>
    <x v="1"/>
    <x v="11"/>
    <m/>
    <n v="0"/>
  </r>
  <r>
    <x v="156"/>
    <x v="6"/>
    <x v="0"/>
    <x v="3"/>
    <x v="1"/>
    <n v="32"/>
    <x v="2"/>
    <x v="155"/>
    <n v="127148"/>
    <n v="0.1"/>
    <n v="139863"/>
    <x v="0"/>
    <x v="4"/>
    <m/>
    <n v="0"/>
  </r>
  <r>
    <x v="157"/>
    <x v="9"/>
    <x v="1"/>
    <x v="2"/>
    <x v="0"/>
    <n v="32"/>
    <x v="2"/>
    <x v="156"/>
    <n v="190253"/>
    <n v="0.33"/>
    <n v="253036"/>
    <x v="0"/>
    <x v="5"/>
    <m/>
    <n v="0"/>
  </r>
  <r>
    <x v="158"/>
    <x v="6"/>
    <x v="3"/>
    <x v="0"/>
    <x v="1"/>
    <n v="55"/>
    <x v="0"/>
    <x v="157"/>
    <n v="115798"/>
    <n v="0.05"/>
    <n v="121588"/>
    <x v="0"/>
    <x v="4"/>
    <m/>
    <n v="0"/>
  </r>
  <r>
    <x v="159"/>
    <x v="15"/>
    <x v="4"/>
    <x v="0"/>
    <x v="0"/>
    <n v="58"/>
    <x v="0"/>
    <x v="158"/>
    <n v="93102"/>
    <n v="0"/>
    <n v="93102"/>
    <x v="0"/>
    <x v="0"/>
    <d v="2013-12-13T00:00:00"/>
    <n v="1"/>
  </r>
  <r>
    <x v="160"/>
    <x v="11"/>
    <x v="5"/>
    <x v="2"/>
    <x v="1"/>
    <n v="34"/>
    <x v="2"/>
    <x v="159"/>
    <n v="110054"/>
    <n v="0.15"/>
    <n v="126562"/>
    <x v="0"/>
    <x v="4"/>
    <m/>
    <n v="0"/>
  </r>
  <r>
    <x v="161"/>
    <x v="10"/>
    <x v="5"/>
    <x v="0"/>
    <x v="0"/>
    <n v="27"/>
    <x v="2"/>
    <x v="160"/>
    <n v="95786"/>
    <n v="0"/>
    <n v="95786"/>
    <x v="0"/>
    <x v="2"/>
    <m/>
    <n v="0"/>
  </r>
  <r>
    <x v="162"/>
    <x v="4"/>
    <x v="2"/>
    <x v="2"/>
    <x v="1"/>
    <n v="61"/>
    <x v="0"/>
    <x v="161"/>
    <n v="90855"/>
    <n v="0"/>
    <n v="90855"/>
    <x v="2"/>
    <x v="12"/>
    <m/>
    <n v="0"/>
  </r>
  <r>
    <x v="163"/>
    <x v="14"/>
    <x v="0"/>
    <x v="1"/>
    <x v="1"/>
    <n v="47"/>
    <x v="1"/>
    <x v="12"/>
    <n v="92897"/>
    <n v="0"/>
    <n v="92897"/>
    <x v="2"/>
    <x v="12"/>
    <m/>
    <n v="0"/>
  </r>
  <r>
    <x v="164"/>
    <x v="9"/>
    <x v="6"/>
    <x v="2"/>
    <x v="1"/>
    <n v="40"/>
    <x v="3"/>
    <x v="162"/>
    <n v="242919"/>
    <n v="0.31"/>
    <n v="318224"/>
    <x v="1"/>
    <x v="1"/>
    <m/>
    <n v="0"/>
  </r>
  <r>
    <x v="165"/>
    <x v="2"/>
    <x v="5"/>
    <x v="2"/>
    <x v="1"/>
    <n v="30"/>
    <x v="2"/>
    <x v="163"/>
    <n v="184368"/>
    <n v="0.29"/>
    <n v="237835"/>
    <x v="0"/>
    <x v="5"/>
    <m/>
    <n v="0"/>
  </r>
  <r>
    <x v="166"/>
    <x v="0"/>
    <x v="1"/>
    <x v="3"/>
    <x v="1"/>
    <n v="45"/>
    <x v="1"/>
    <x v="164"/>
    <n v="144754"/>
    <n v="0.15"/>
    <n v="166467"/>
    <x v="0"/>
    <x v="3"/>
    <m/>
    <n v="0"/>
  </r>
  <r>
    <x v="167"/>
    <x v="26"/>
    <x v="2"/>
    <x v="0"/>
    <x v="0"/>
    <n v="30"/>
    <x v="2"/>
    <x v="165"/>
    <n v="89458"/>
    <n v="0"/>
    <n v="89458"/>
    <x v="0"/>
    <x v="5"/>
    <m/>
    <n v="0"/>
  </r>
  <r>
    <x v="168"/>
    <x v="9"/>
    <x v="3"/>
    <x v="3"/>
    <x v="0"/>
    <n v="56"/>
    <x v="0"/>
    <x v="151"/>
    <n v="190815"/>
    <n v="0.4"/>
    <n v="267141"/>
    <x v="0"/>
    <x v="5"/>
    <m/>
    <n v="0"/>
  </r>
  <r>
    <x v="169"/>
    <x v="0"/>
    <x v="2"/>
    <x v="0"/>
    <x v="0"/>
    <n v="62"/>
    <x v="0"/>
    <x v="166"/>
    <n v="137995"/>
    <n v="0.14"/>
    <n v="157314"/>
    <x v="0"/>
    <x v="5"/>
    <m/>
    <n v="0"/>
  </r>
  <r>
    <x v="170"/>
    <x v="15"/>
    <x v="4"/>
    <x v="1"/>
    <x v="0"/>
    <n v="45"/>
    <x v="1"/>
    <x v="167"/>
    <n v="93840"/>
    <n v="0"/>
    <n v="93840"/>
    <x v="2"/>
    <x v="8"/>
    <m/>
    <n v="0"/>
  </r>
  <r>
    <x v="171"/>
    <x v="1"/>
    <x v="0"/>
    <x v="0"/>
    <x v="1"/>
    <n v="46"/>
    <x v="1"/>
    <x v="168"/>
    <n v="94790"/>
    <n v="0"/>
    <n v="94790"/>
    <x v="1"/>
    <x v="1"/>
    <m/>
    <n v="0"/>
  </r>
  <r>
    <x v="172"/>
    <x v="9"/>
    <x v="4"/>
    <x v="0"/>
    <x v="1"/>
    <n v="48"/>
    <x v="1"/>
    <x v="169"/>
    <n v="197367"/>
    <n v="0.39"/>
    <n v="274340"/>
    <x v="0"/>
    <x v="5"/>
    <m/>
    <n v="0"/>
  </r>
  <r>
    <x v="173"/>
    <x v="2"/>
    <x v="3"/>
    <x v="1"/>
    <x v="0"/>
    <n v="27"/>
    <x v="2"/>
    <x v="170"/>
    <n v="174097"/>
    <n v="0.21"/>
    <n v="210657"/>
    <x v="0"/>
    <x v="3"/>
    <m/>
    <n v="0"/>
  </r>
  <r>
    <x v="174"/>
    <x v="6"/>
    <x v="0"/>
    <x v="2"/>
    <x v="1"/>
    <n v="53"/>
    <x v="1"/>
    <x v="171"/>
    <n v="120128"/>
    <n v="0.1"/>
    <n v="132141"/>
    <x v="0"/>
    <x v="5"/>
    <m/>
    <n v="0"/>
  </r>
  <r>
    <x v="175"/>
    <x v="6"/>
    <x v="6"/>
    <x v="1"/>
    <x v="0"/>
    <n v="59"/>
    <x v="0"/>
    <x v="172"/>
    <n v="129708"/>
    <n v="0.05"/>
    <n v="136193"/>
    <x v="0"/>
    <x v="4"/>
    <m/>
    <n v="0"/>
  </r>
  <r>
    <x v="176"/>
    <x v="6"/>
    <x v="6"/>
    <x v="0"/>
    <x v="1"/>
    <n v="55"/>
    <x v="0"/>
    <x v="173"/>
    <n v="102270"/>
    <n v="0.1"/>
    <n v="112497"/>
    <x v="0"/>
    <x v="2"/>
    <m/>
    <n v="0"/>
  </r>
  <r>
    <x v="177"/>
    <x v="9"/>
    <x v="1"/>
    <x v="2"/>
    <x v="0"/>
    <n v="43"/>
    <x v="3"/>
    <x v="174"/>
    <n v="249686"/>
    <n v="0.31"/>
    <n v="327089"/>
    <x v="1"/>
    <x v="1"/>
    <m/>
    <n v="0"/>
  </r>
  <r>
    <x v="178"/>
    <x v="7"/>
    <x v="1"/>
    <x v="1"/>
    <x v="0"/>
    <n v="55"/>
    <x v="0"/>
    <x v="175"/>
    <n v="50475"/>
    <n v="0"/>
    <n v="50475"/>
    <x v="0"/>
    <x v="7"/>
    <m/>
    <n v="0"/>
  </r>
  <r>
    <x v="179"/>
    <x v="6"/>
    <x v="6"/>
    <x v="0"/>
    <x v="1"/>
    <n v="51"/>
    <x v="1"/>
    <x v="176"/>
    <n v="100099"/>
    <n v="0.08"/>
    <n v="108107"/>
    <x v="0"/>
    <x v="4"/>
    <m/>
    <n v="0"/>
  </r>
  <r>
    <x v="180"/>
    <x v="12"/>
    <x v="0"/>
    <x v="1"/>
    <x v="0"/>
    <n v="54"/>
    <x v="1"/>
    <x v="177"/>
    <n v="41673"/>
    <n v="0"/>
    <n v="41673"/>
    <x v="0"/>
    <x v="4"/>
    <m/>
    <n v="0"/>
  </r>
  <r>
    <x v="181"/>
    <x v="4"/>
    <x v="6"/>
    <x v="2"/>
    <x v="0"/>
    <n v="47"/>
    <x v="1"/>
    <x v="178"/>
    <n v="70996"/>
    <n v="0"/>
    <n v="70996"/>
    <x v="1"/>
    <x v="11"/>
    <m/>
    <n v="0"/>
  </r>
  <r>
    <x v="182"/>
    <x v="7"/>
    <x v="6"/>
    <x v="3"/>
    <x v="1"/>
    <n v="55"/>
    <x v="0"/>
    <x v="179"/>
    <n v="40752"/>
    <n v="0"/>
    <n v="40752"/>
    <x v="0"/>
    <x v="3"/>
    <m/>
    <n v="0"/>
  </r>
  <r>
    <x v="183"/>
    <x v="24"/>
    <x v="0"/>
    <x v="1"/>
    <x v="0"/>
    <n v="50"/>
    <x v="1"/>
    <x v="180"/>
    <n v="97537"/>
    <n v="0"/>
    <n v="97537"/>
    <x v="1"/>
    <x v="11"/>
    <m/>
    <n v="0"/>
  </r>
  <r>
    <x v="184"/>
    <x v="30"/>
    <x v="0"/>
    <x v="0"/>
    <x v="1"/>
    <n v="31"/>
    <x v="2"/>
    <x v="181"/>
    <n v="96567"/>
    <n v="0"/>
    <n v="96567"/>
    <x v="1"/>
    <x v="6"/>
    <m/>
    <n v="0"/>
  </r>
  <r>
    <x v="185"/>
    <x v="28"/>
    <x v="0"/>
    <x v="2"/>
    <x v="1"/>
    <n v="47"/>
    <x v="1"/>
    <x v="182"/>
    <n v="49404"/>
    <n v="0"/>
    <n v="49404"/>
    <x v="1"/>
    <x v="10"/>
    <m/>
    <n v="0"/>
  </r>
  <r>
    <x v="186"/>
    <x v="30"/>
    <x v="0"/>
    <x v="0"/>
    <x v="1"/>
    <n v="29"/>
    <x v="2"/>
    <x v="183"/>
    <n v="66819"/>
    <n v="0"/>
    <n v="66819"/>
    <x v="2"/>
    <x v="9"/>
    <m/>
    <n v="0"/>
  </r>
  <r>
    <x v="187"/>
    <x v="7"/>
    <x v="6"/>
    <x v="2"/>
    <x v="1"/>
    <n v="38"/>
    <x v="3"/>
    <x v="184"/>
    <n v="50784"/>
    <n v="0"/>
    <n v="50784"/>
    <x v="2"/>
    <x v="9"/>
    <m/>
    <n v="0"/>
  </r>
  <r>
    <x v="188"/>
    <x v="0"/>
    <x v="4"/>
    <x v="0"/>
    <x v="1"/>
    <n v="29"/>
    <x v="2"/>
    <x v="185"/>
    <n v="125828"/>
    <n v="0.15"/>
    <n v="144702"/>
    <x v="2"/>
    <x v="12"/>
    <m/>
    <n v="0"/>
  </r>
  <r>
    <x v="189"/>
    <x v="15"/>
    <x v="4"/>
    <x v="1"/>
    <x v="1"/>
    <n v="33"/>
    <x v="2"/>
    <x v="186"/>
    <n v="92610"/>
    <n v="0"/>
    <n v="92610"/>
    <x v="0"/>
    <x v="7"/>
    <m/>
    <n v="0"/>
  </r>
  <r>
    <x v="190"/>
    <x v="0"/>
    <x v="2"/>
    <x v="2"/>
    <x v="1"/>
    <n v="50"/>
    <x v="1"/>
    <x v="187"/>
    <n v="123405"/>
    <n v="0.13"/>
    <n v="139448"/>
    <x v="0"/>
    <x v="7"/>
    <m/>
    <n v="0"/>
  </r>
  <r>
    <x v="191"/>
    <x v="5"/>
    <x v="2"/>
    <x v="1"/>
    <x v="0"/>
    <n v="46"/>
    <x v="1"/>
    <x v="188"/>
    <n v="73004"/>
    <n v="0"/>
    <n v="73004"/>
    <x v="1"/>
    <x v="10"/>
    <m/>
    <n v="0"/>
  </r>
  <r>
    <x v="192"/>
    <x v="11"/>
    <x v="5"/>
    <x v="3"/>
    <x v="1"/>
    <n v="57"/>
    <x v="0"/>
    <x v="189"/>
    <n v="95061"/>
    <n v="0.1"/>
    <n v="104567"/>
    <x v="1"/>
    <x v="6"/>
    <m/>
    <n v="0"/>
  </r>
  <r>
    <x v="193"/>
    <x v="2"/>
    <x v="2"/>
    <x v="3"/>
    <x v="0"/>
    <n v="49"/>
    <x v="1"/>
    <x v="190"/>
    <n v="160832"/>
    <n v="0.3"/>
    <n v="209082"/>
    <x v="0"/>
    <x v="3"/>
    <m/>
    <n v="0"/>
  </r>
  <r>
    <x v="194"/>
    <x v="31"/>
    <x v="0"/>
    <x v="1"/>
    <x v="1"/>
    <n v="54"/>
    <x v="1"/>
    <x v="191"/>
    <n v="64417"/>
    <n v="0"/>
    <n v="64417"/>
    <x v="0"/>
    <x v="7"/>
    <m/>
    <n v="0"/>
  </r>
  <r>
    <x v="195"/>
    <x v="6"/>
    <x v="2"/>
    <x v="3"/>
    <x v="1"/>
    <n v="28"/>
    <x v="2"/>
    <x v="192"/>
    <n v="127543"/>
    <n v="0.06"/>
    <n v="135196"/>
    <x v="1"/>
    <x v="6"/>
    <m/>
    <n v="0"/>
  </r>
  <r>
    <x v="196"/>
    <x v="7"/>
    <x v="6"/>
    <x v="1"/>
    <x v="1"/>
    <n v="30"/>
    <x v="2"/>
    <x v="193"/>
    <n v="56154"/>
    <n v="0"/>
    <n v="56154"/>
    <x v="2"/>
    <x v="12"/>
    <m/>
    <n v="0"/>
  </r>
  <r>
    <x v="197"/>
    <x v="9"/>
    <x v="2"/>
    <x v="1"/>
    <x v="0"/>
    <n v="36"/>
    <x v="3"/>
    <x v="194"/>
    <n v="218530"/>
    <n v="0.3"/>
    <n v="284089"/>
    <x v="1"/>
    <x v="6"/>
    <m/>
    <n v="0"/>
  </r>
  <r>
    <x v="198"/>
    <x v="31"/>
    <x v="0"/>
    <x v="1"/>
    <x v="0"/>
    <n v="36"/>
    <x v="3"/>
    <x v="195"/>
    <n v="91954"/>
    <n v="0"/>
    <n v="91954"/>
    <x v="0"/>
    <x v="7"/>
    <m/>
    <n v="0"/>
  </r>
  <r>
    <x v="199"/>
    <x v="9"/>
    <x v="6"/>
    <x v="3"/>
    <x v="0"/>
    <n v="30"/>
    <x v="2"/>
    <x v="196"/>
    <n v="221217"/>
    <n v="0.32"/>
    <n v="292006"/>
    <x v="0"/>
    <x v="7"/>
    <d v="2017-09-25T00:00:00"/>
    <n v="1"/>
  </r>
  <r>
    <x v="200"/>
    <x v="27"/>
    <x v="0"/>
    <x v="1"/>
    <x v="1"/>
    <n v="29"/>
    <x v="2"/>
    <x v="197"/>
    <n v="87536"/>
    <n v="0"/>
    <n v="87536"/>
    <x v="0"/>
    <x v="0"/>
    <m/>
    <n v="0"/>
  </r>
  <r>
    <x v="201"/>
    <x v="7"/>
    <x v="2"/>
    <x v="3"/>
    <x v="0"/>
    <n v="47"/>
    <x v="1"/>
    <x v="198"/>
    <n v="41429"/>
    <n v="0"/>
    <n v="41429"/>
    <x v="0"/>
    <x v="0"/>
    <m/>
    <n v="0"/>
  </r>
  <r>
    <x v="202"/>
    <x v="9"/>
    <x v="5"/>
    <x v="1"/>
    <x v="1"/>
    <n v="35"/>
    <x v="3"/>
    <x v="199"/>
    <n v="245482"/>
    <n v="0.39"/>
    <n v="341220"/>
    <x v="0"/>
    <x v="0"/>
    <m/>
    <n v="0"/>
  </r>
  <r>
    <x v="203"/>
    <x v="25"/>
    <x v="5"/>
    <x v="1"/>
    <x v="0"/>
    <n v="25"/>
    <x v="2"/>
    <x v="200"/>
    <n v="71359"/>
    <n v="0"/>
    <n v="71359"/>
    <x v="0"/>
    <x v="3"/>
    <m/>
    <n v="0"/>
  </r>
  <r>
    <x v="204"/>
    <x v="2"/>
    <x v="5"/>
    <x v="2"/>
    <x v="1"/>
    <n v="45"/>
    <x v="1"/>
    <x v="201"/>
    <n v="183161"/>
    <n v="0.22"/>
    <n v="223456"/>
    <x v="0"/>
    <x v="4"/>
    <m/>
    <n v="0"/>
  </r>
  <r>
    <x v="205"/>
    <x v="32"/>
    <x v="0"/>
    <x v="3"/>
    <x v="1"/>
    <n v="58"/>
    <x v="0"/>
    <x v="202"/>
    <n v="69260"/>
    <n v="0"/>
    <n v="69260"/>
    <x v="0"/>
    <x v="3"/>
    <m/>
    <n v="0"/>
  </r>
  <r>
    <x v="206"/>
    <x v="19"/>
    <x v="5"/>
    <x v="2"/>
    <x v="1"/>
    <n v="51"/>
    <x v="1"/>
    <x v="203"/>
    <n v="95639"/>
    <n v="0"/>
    <n v="95639"/>
    <x v="0"/>
    <x v="5"/>
    <m/>
    <n v="0"/>
  </r>
  <r>
    <x v="207"/>
    <x v="6"/>
    <x v="4"/>
    <x v="0"/>
    <x v="1"/>
    <n v="48"/>
    <x v="1"/>
    <x v="204"/>
    <n v="120660"/>
    <n v="0.07"/>
    <n v="129106"/>
    <x v="1"/>
    <x v="11"/>
    <m/>
    <n v="0"/>
  </r>
  <r>
    <x v="208"/>
    <x v="4"/>
    <x v="2"/>
    <x v="3"/>
    <x v="1"/>
    <n v="36"/>
    <x v="3"/>
    <x v="205"/>
    <n v="75119"/>
    <n v="0"/>
    <n v="75119"/>
    <x v="0"/>
    <x v="2"/>
    <m/>
    <n v="0"/>
  </r>
  <r>
    <x v="209"/>
    <x v="9"/>
    <x v="3"/>
    <x v="0"/>
    <x v="1"/>
    <n v="59"/>
    <x v="0"/>
    <x v="206"/>
    <n v="192213"/>
    <n v="0.4"/>
    <n v="269098"/>
    <x v="0"/>
    <x v="2"/>
    <m/>
    <n v="0"/>
  </r>
  <r>
    <x v="210"/>
    <x v="5"/>
    <x v="2"/>
    <x v="2"/>
    <x v="0"/>
    <n v="45"/>
    <x v="1"/>
    <x v="207"/>
    <n v="65047"/>
    <n v="0"/>
    <n v="65047"/>
    <x v="2"/>
    <x v="12"/>
    <m/>
    <n v="0"/>
  </r>
  <r>
    <x v="211"/>
    <x v="0"/>
    <x v="2"/>
    <x v="1"/>
    <x v="1"/>
    <n v="29"/>
    <x v="2"/>
    <x v="208"/>
    <n v="151413"/>
    <n v="0.15"/>
    <n v="174125"/>
    <x v="0"/>
    <x v="0"/>
    <m/>
    <n v="0"/>
  </r>
  <r>
    <x v="212"/>
    <x v="4"/>
    <x v="3"/>
    <x v="2"/>
    <x v="1"/>
    <n v="62"/>
    <x v="0"/>
    <x v="209"/>
    <n v="76906"/>
    <n v="0"/>
    <n v="76906"/>
    <x v="0"/>
    <x v="0"/>
    <m/>
    <n v="0"/>
  </r>
  <r>
    <x v="213"/>
    <x v="6"/>
    <x v="0"/>
    <x v="3"/>
    <x v="1"/>
    <n v="51"/>
    <x v="1"/>
    <x v="210"/>
    <n v="122802"/>
    <n v="0.05"/>
    <n v="128942"/>
    <x v="1"/>
    <x v="6"/>
    <m/>
    <n v="0"/>
  </r>
  <r>
    <x v="214"/>
    <x v="25"/>
    <x v="5"/>
    <x v="0"/>
    <x v="1"/>
    <n v="47"/>
    <x v="1"/>
    <x v="211"/>
    <n v="99091"/>
    <n v="0"/>
    <n v="99091"/>
    <x v="0"/>
    <x v="5"/>
    <m/>
    <n v="0"/>
  </r>
  <r>
    <x v="215"/>
    <x v="8"/>
    <x v="5"/>
    <x v="1"/>
    <x v="1"/>
    <n v="40"/>
    <x v="3"/>
    <x v="212"/>
    <n v="113987"/>
    <n v="0"/>
    <n v="113987"/>
    <x v="2"/>
    <x v="8"/>
    <m/>
    <n v="0"/>
  </r>
  <r>
    <x v="216"/>
    <x v="4"/>
    <x v="1"/>
    <x v="3"/>
    <x v="0"/>
    <n v="28"/>
    <x v="2"/>
    <x v="213"/>
    <n v="95045"/>
    <n v="0"/>
    <n v="95045"/>
    <x v="0"/>
    <x v="2"/>
    <m/>
    <n v="0"/>
  </r>
  <r>
    <x v="217"/>
    <x v="9"/>
    <x v="6"/>
    <x v="2"/>
    <x v="0"/>
    <n v="29"/>
    <x v="2"/>
    <x v="214"/>
    <n v="190401"/>
    <n v="0.37"/>
    <n v="260849"/>
    <x v="0"/>
    <x v="7"/>
    <m/>
    <n v="0"/>
  </r>
  <r>
    <x v="218"/>
    <x v="4"/>
    <x v="1"/>
    <x v="3"/>
    <x v="1"/>
    <n v="46"/>
    <x v="1"/>
    <x v="215"/>
    <n v="86061"/>
    <n v="0"/>
    <n v="86061"/>
    <x v="2"/>
    <x v="9"/>
    <m/>
    <n v="0"/>
  </r>
  <r>
    <x v="219"/>
    <x v="26"/>
    <x v="2"/>
    <x v="2"/>
    <x v="1"/>
    <n v="45"/>
    <x v="1"/>
    <x v="216"/>
    <n v="79882"/>
    <n v="0"/>
    <n v="79882"/>
    <x v="0"/>
    <x v="3"/>
    <m/>
    <n v="0"/>
  </r>
  <r>
    <x v="220"/>
    <x v="9"/>
    <x v="5"/>
    <x v="1"/>
    <x v="0"/>
    <n v="30"/>
    <x v="2"/>
    <x v="217"/>
    <n v="255431"/>
    <n v="0.36"/>
    <n v="347386"/>
    <x v="0"/>
    <x v="7"/>
    <m/>
    <n v="0"/>
  </r>
  <r>
    <x v="221"/>
    <x v="31"/>
    <x v="0"/>
    <x v="1"/>
    <x v="0"/>
    <n v="48"/>
    <x v="1"/>
    <x v="218"/>
    <n v="82017"/>
    <n v="0"/>
    <n v="82017"/>
    <x v="1"/>
    <x v="10"/>
    <m/>
    <n v="0"/>
  </r>
  <r>
    <x v="222"/>
    <x v="7"/>
    <x v="1"/>
    <x v="1"/>
    <x v="0"/>
    <n v="51"/>
    <x v="1"/>
    <x v="219"/>
    <n v="53799"/>
    <n v="0"/>
    <n v="53799"/>
    <x v="0"/>
    <x v="7"/>
    <m/>
    <n v="0"/>
  </r>
  <r>
    <x v="223"/>
    <x v="4"/>
    <x v="2"/>
    <x v="3"/>
    <x v="0"/>
    <n v="28"/>
    <x v="2"/>
    <x v="220"/>
    <n v="82739"/>
    <n v="0"/>
    <n v="82739"/>
    <x v="0"/>
    <x v="3"/>
    <m/>
    <n v="0"/>
  </r>
  <r>
    <x v="224"/>
    <x v="21"/>
    <x v="0"/>
    <x v="1"/>
    <x v="0"/>
    <n v="36"/>
    <x v="3"/>
    <x v="221"/>
    <n v="99080"/>
    <n v="0"/>
    <n v="99080"/>
    <x v="0"/>
    <x v="2"/>
    <m/>
    <n v="0"/>
  </r>
  <r>
    <x v="225"/>
    <x v="26"/>
    <x v="2"/>
    <x v="3"/>
    <x v="0"/>
    <n v="40"/>
    <x v="3"/>
    <x v="222"/>
    <n v="96719"/>
    <n v="0"/>
    <n v="96719"/>
    <x v="1"/>
    <x v="11"/>
    <m/>
    <n v="0"/>
  </r>
  <r>
    <x v="226"/>
    <x v="2"/>
    <x v="4"/>
    <x v="0"/>
    <x v="0"/>
    <n v="51"/>
    <x v="1"/>
    <x v="223"/>
    <n v="180687"/>
    <n v="0.19"/>
    <n v="215018"/>
    <x v="0"/>
    <x v="3"/>
    <m/>
    <n v="0"/>
  </r>
  <r>
    <x v="227"/>
    <x v="11"/>
    <x v="5"/>
    <x v="3"/>
    <x v="1"/>
    <n v="45"/>
    <x v="1"/>
    <x v="224"/>
    <n v="95743"/>
    <n v="0.15"/>
    <n v="110104"/>
    <x v="0"/>
    <x v="5"/>
    <d v="2010-01-15T00:00:00"/>
    <n v="1"/>
  </r>
  <r>
    <x v="228"/>
    <x v="25"/>
    <x v="5"/>
    <x v="0"/>
    <x v="0"/>
    <n v="44"/>
    <x v="3"/>
    <x v="225"/>
    <n v="89695"/>
    <n v="0"/>
    <n v="89695"/>
    <x v="0"/>
    <x v="5"/>
    <m/>
    <n v="0"/>
  </r>
  <r>
    <x v="229"/>
    <x v="6"/>
    <x v="1"/>
    <x v="1"/>
    <x v="1"/>
    <n v="64"/>
    <x v="0"/>
    <x v="226"/>
    <n v="122753"/>
    <n v="0.09"/>
    <n v="133801"/>
    <x v="1"/>
    <x v="1"/>
    <m/>
    <n v="0"/>
  </r>
  <r>
    <x v="230"/>
    <x v="15"/>
    <x v="4"/>
    <x v="0"/>
    <x v="1"/>
    <n v="30"/>
    <x v="2"/>
    <x v="227"/>
    <n v="93734"/>
    <n v="0"/>
    <n v="93734"/>
    <x v="0"/>
    <x v="3"/>
    <m/>
    <n v="0"/>
  </r>
  <r>
    <x v="231"/>
    <x v="7"/>
    <x v="3"/>
    <x v="3"/>
    <x v="1"/>
    <n v="28"/>
    <x v="2"/>
    <x v="228"/>
    <n v="52069"/>
    <n v="0"/>
    <n v="52069"/>
    <x v="1"/>
    <x v="1"/>
    <m/>
    <n v="0"/>
  </r>
  <r>
    <x v="232"/>
    <x v="9"/>
    <x v="3"/>
    <x v="3"/>
    <x v="0"/>
    <n v="33"/>
    <x v="2"/>
    <x v="229"/>
    <n v="258426"/>
    <n v="0.4"/>
    <n v="361796"/>
    <x v="2"/>
    <x v="9"/>
    <m/>
    <n v="0"/>
  </r>
  <r>
    <x v="233"/>
    <x v="6"/>
    <x v="1"/>
    <x v="2"/>
    <x v="1"/>
    <n v="51"/>
    <x v="1"/>
    <x v="230"/>
    <n v="125375"/>
    <n v="0.09"/>
    <n v="136659"/>
    <x v="0"/>
    <x v="2"/>
    <m/>
    <n v="0"/>
  </r>
  <r>
    <x v="234"/>
    <x v="9"/>
    <x v="3"/>
    <x v="1"/>
    <x v="1"/>
    <n v="25"/>
    <x v="2"/>
    <x v="231"/>
    <n v="198243"/>
    <n v="0.31"/>
    <n v="259698"/>
    <x v="0"/>
    <x v="4"/>
    <m/>
    <n v="0"/>
  </r>
  <r>
    <x v="235"/>
    <x v="22"/>
    <x v="5"/>
    <x v="0"/>
    <x v="0"/>
    <n v="42"/>
    <x v="3"/>
    <x v="232"/>
    <n v="96023"/>
    <n v="0"/>
    <n v="96023"/>
    <x v="0"/>
    <x v="4"/>
    <m/>
    <n v="0"/>
  </r>
  <r>
    <x v="236"/>
    <x v="4"/>
    <x v="6"/>
    <x v="0"/>
    <x v="0"/>
    <n v="34"/>
    <x v="2"/>
    <x v="233"/>
    <n v="83066"/>
    <n v="0"/>
    <n v="83066"/>
    <x v="0"/>
    <x v="2"/>
    <d v="2013-06-05T00:00:00"/>
    <n v="1"/>
  </r>
  <r>
    <x v="237"/>
    <x v="13"/>
    <x v="2"/>
    <x v="0"/>
    <x v="0"/>
    <n v="48"/>
    <x v="1"/>
    <x v="234"/>
    <n v="61216"/>
    <n v="0"/>
    <n v="61216"/>
    <x v="0"/>
    <x v="0"/>
    <m/>
    <n v="0"/>
  </r>
  <r>
    <x v="238"/>
    <x v="0"/>
    <x v="3"/>
    <x v="3"/>
    <x v="1"/>
    <n v="33"/>
    <x v="2"/>
    <x v="235"/>
    <n v="144231"/>
    <n v="0.14"/>
    <n v="164423"/>
    <x v="0"/>
    <x v="7"/>
    <d v="2020-07-17T00:00:00"/>
    <n v="1"/>
  </r>
  <r>
    <x v="239"/>
    <x v="16"/>
    <x v="4"/>
    <x v="0"/>
    <x v="1"/>
    <n v="41"/>
    <x v="3"/>
    <x v="236"/>
    <n v="51630"/>
    <n v="0"/>
    <n v="51630"/>
    <x v="1"/>
    <x v="10"/>
    <m/>
    <n v="0"/>
  </r>
  <r>
    <x v="240"/>
    <x v="0"/>
    <x v="2"/>
    <x v="3"/>
    <x v="1"/>
    <n v="55"/>
    <x v="0"/>
    <x v="237"/>
    <n v="124129"/>
    <n v="0.15"/>
    <n v="142748"/>
    <x v="2"/>
    <x v="12"/>
    <m/>
    <n v="0"/>
  </r>
  <r>
    <x v="241"/>
    <x v="22"/>
    <x v="5"/>
    <x v="1"/>
    <x v="1"/>
    <n v="36"/>
    <x v="3"/>
    <x v="238"/>
    <n v="60055"/>
    <n v="0"/>
    <n v="60055"/>
    <x v="0"/>
    <x v="0"/>
    <m/>
    <n v="0"/>
  </r>
  <r>
    <x v="242"/>
    <x v="2"/>
    <x v="5"/>
    <x v="0"/>
    <x v="1"/>
    <n v="31"/>
    <x v="2"/>
    <x v="239"/>
    <n v="189290"/>
    <n v="0.22"/>
    <n v="230934"/>
    <x v="2"/>
    <x v="12"/>
    <d v="2020-09-25T00:00:00"/>
    <n v="1"/>
  </r>
  <r>
    <x v="243"/>
    <x v="9"/>
    <x v="0"/>
    <x v="3"/>
    <x v="0"/>
    <n v="53"/>
    <x v="1"/>
    <x v="240"/>
    <n v="182202"/>
    <n v="0.3"/>
    <n v="236863"/>
    <x v="0"/>
    <x v="5"/>
    <m/>
    <n v="0"/>
  </r>
  <r>
    <x v="244"/>
    <x v="6"/>
    <x v="2"/>
    <x v="2"/>
    <x v="1"/>
    <n v="43"/>
    <x v="3"/>
    <x v="241"/>
    <n v="117518"/>
    <n v="0.07"/>
    <n v="125744"/>
    <x v="0"/>
    <x v="0"/>
    <m/>
    <n v="0"/>
  </r>
  <r>
    <x v="245"/>
    <x v="0"/>
    <x v="1"/>
    <x v="1"/>
    <x v="0"/>
    <n v="37"/>
    <x v="3"/>
    <x v="242"/>
    <n v="157474"/>
    <n v="0.11"/>
    <n v="174796"/>
    <x v="2"/>
    <x v="9"/>
    <m/>
    <n v="0"/>
  </r>
  <r>
    <x v="246"/>
    <x v="6"/>
    <x v="6"/>
    <x v="1"/>
    <x v="1"/>
    <n v="38"/>
    <x v="3"/>
    <x v="243"/>
    <n v="126856"/>
    <n v="0.06"/>
    <n v="134467"/>
    <x v="0"/>
    <x v="7"/>
    <m/>
    <n v="0"/>
  </r>
  <r>
    <x v="247"/>
    <x v="0"/>
    <x v="3"/>
    <x v="1"/>
    <x v="0"/>
    <n v="49"/>
    <x v="1"/>
    <x v="244"/>
    <n v="129124"/>
    <n v="0.12"/>
    <n v="144619"/>
    <x v="1"/>
    <x v="6"/>
    <m/>
    <n v="0"/>
  </r>
  <r>
    <x v="248"/>
    <x v="2"/>
    <x v="2"/>
    <x v="0"/>
    <x v="0"/>
    <n v="45"/>
    <x v="1"/>
    <x v="245"/>
    <n v="165181"/>
    <n v="0.16"/>
    <n v="191610"/>
    <x v="0"/>
    <x v="0"/>
    <m/>
    <n v="0"/>
  </r>
  <r>
    <x v="249"/>
    <x v="9"/>
    <x v="1"/>
    <x v="3"/>
    <x v="1"/>
    <n v="50"/>
    <x v="1"/>
    <x v="246"/>
    <n v="247939"/>
    <n v="0.35"/>
    <n v="334718"/>
    <x v="2"/>
    <x v="9"/>
    <m/>
    <n v="0"/>
  </r>
  <r>
    <x v="250"/>
    <x v="2"/>
    <x v="5"/>
    <x v="2"/>
    <x v="1"/>
    <n v="64"/>
    <x v="0"/>
    <x v="247"/>
    <n v="169509"/>
    <n v="0.18"/>
    <n v="200021"/>
    <x v="2"/>
    <x v="8"/>
    <m/>
    <n v="0"/>
  </r>
  <r>
    <x v="251"/>
    <x v="0"/>
    <x v="3"/>
    <x v="1"/>
    <x v="0"/>
    <n v="55"/>
    <x v="0"/>
    <x v="248"/>
    <n v="138521"/>
    <n v="0.1"/>
    <n v="152373"/>
    <x v="0"/>
    <x v="4"/>
    <m/>
    <n v="0"/>
  </r>
  <r>
    <x v="252"/>
    <x v="11"/>
    <x v="5"/>
    <x v="2"/>
    <x v="0"/>
    <n v="45"/>
    <x v="1"/>
    <x v="249"/>
    <n v="113873"/>
    <n v="0.11"/>
    <n v="126399"/>
    <x v="2"/>
    <x v="9"/>
    <m/>
    <n v="0"/>
  </r>
  <r>
    <x v="253"/>
    <x v="14"/>
    <x v="0"/>
    <x v="3"/>
    <x v="0"/>
    <n v="39"/>
    <x v="3"/>
    <x v="250"/>
    <n v="73317"/>
    <n v="0"/>
    <n v="73317"/>
    <x v="0"/>
    <x v="4"/>
    <m/>
    <n v="0"/>
  </r>
  <r>
    <x v="254"/>
    <x v="31"/>
    <x v="0"/>
    <x v="2"/>
    <x v="0"/>
    <n v="40"/>
    <x v="3"/>
    <x v="251"/>
    <n v="69096"/>
    <n v="0"/>
    <n v="69096"/>
    <x v="0"/>
    <x v="0"/>
    <m/>
    <n v="0"/>
  </r>
  <r>
    <x v="255"/>
    <x v="15"/>
    <x v="4"/>
    <x v="1"/>
    <x v="1"/>
    <n v="48"/>
    <x v="1"/>
    <x v="252"/>
    <n v="87158"/>
    <n v="0"/>
    <n v="87158"/>
    <x v="2"/>
    <x v="8"/>
    <m/>
    <n v="0"/>
  </r>
  <r>
    <x v="256"/>
    <x v="22"/>
    <x v="5"/>
    <x v="3"/>
    <x v="1"/>
    <n v="64"/>
    <x v="0"/>
    <x v="253"/>
    <n v="70778"/>
    <n v="0"/>
    <n v="70778"/>
    <x v="0"/>
    <x v="5"/>
    <m/>
    <n v="0"/>
  </r>
  <r>
    <x v="257"/>
    <x v="2"/>
    <x v="4"/>
    <x v="2"/>
    <x v="0"/>
    <n v="65"/>
    <x v="4"/>
    <x v="254"/>
    <n v="153938"/>
    <n v="0.2"/>
    <n v="184726"/>
    <x v="0"/>
    <x v="3"/>
    <m/>
    <n v="0"/>
  </r>
  <r>
    <x v="258"/>
    <x v="28"/>
    <x v="0"/>
    <x v="0"/>
    <x v="1"/>
    <n v="43"/>
    <x v="3"/>
    <x v="255"/>
    <n v="59888"/>
    <n v="0"/>
    <n v="59888"/>
    <x v="1"/>
    <x v="10"/>
    <m/>
    <n v="0"/>
  </r>
  <r>
    <x v="259"/>
    <x v="22"/>
    <x v="5"/>
    <x v="3"/>
    <x v="1"/>
    <n v="50"/>
    <x v="1"/>
    <x v="256"/>
    <n v="63098"/>
    <n v="0"/>
    <n v="63098"/>
    <x v="0"/>
    <x v="7"/>
    <m/>
    <n v="0"/>
  </r>
  <r>
    <x v="260"/>
    <x v="9"/>
    <x v="1"/>
    <x v="3"/>
    <x v="0"/>
    <n v="27"/>
    <x v="2"/>
    <x v="257"/>
    <n v="255369"/>
    <n v="0.33"/>
    <n v="339641"/>
    <x v="2"/>
    <x v="12"/>
    <m/>
    <n v="0"/>
  </r>
  <r>
    <x v="261"/>
    <x v="0"/>
    <x v="4"/>
    <x v="1"/>
    <x v="0"/>
    <n v="55"/>
    <x v="0"/>
    <x v="258"/>
    <n v="142318"/>
    <n v="0.14"/>
    <n v="162243"/>
    <x v="0"/>
    <x v="2"/>
    <m/>
    <n v="0"/>
  </r>
  <r>
    <x v="262"/>
    <x v="20"/>
    <x v="4"/>
    <x v="1"/>
    <x v="1"/>
    <n v="41"/>
    <x v="3"/>
    <x v="259"/>
    <n v="49186"/>
    <n v="0"/>
    <n v="49186"/>
    <x v="0"/>
    <x v="5"/>
    <d v="2008-06-17T00:00:00"/>
    <n v="1"/>
  </r>
  <r>
    <x v="263"/>
    <x v="9"/>
    <x v="4"/>
    <x v="0"/>
    <x v="0"/>
    <n v="34"/>
    <x v="2"/>
    <x v="260"/>
    <n v="220937"/>
    <n v="0.38"/>
    <n v="304893"/>
    <x v="0"/>
    <x v="5"/>
    <m/>
    <n v="0"/>
  </r>
  <r>
    <x v="264"/>
    <x v="2"/>
    <x v="0"/>
    <x v="2"/>
    <x v="0"/>
    <n v="47"/>
    <x v="1"/>
    <x v="261"/>
    <n v="183156"/>
    <n v="0.3"/>
    <n v="238103"/>
    <x v="0"/>
    <x v="0"/>
    <m/>
    <n v="0"/>
  </r>
  <r>
    <x v="265"/>
    <x v="9"/>
    <x v="0"/>
    <x v="2"/>
    <x v="0"/>
    <n v="32"/>
    <x v="2"/>
    <x v="262"/>
    <n v="192749"/>
    <n v="0.31"/>
    <n v="252501"/>
    <x v="0"/>
    <x v="2"/>
    <m/>
    <n v="0"/>
  </r>
  <r>
    <x v="266"/>
    <x v="0"/>
    <x v="0"/>
    <x v="1"/>
    <x v="0"/>
    <n v="39"/>
    <x v="3"/>
    <x v="263"/>
    <n v="135325"/>
    <n v="0.14"/>
    <n v="154270"/>
    <x v="0"/>
    <x v="3"/>
    <m/>
    <n v="0"/>
  </r>
  <r>
    <x v="267"/>
    <x v="4"/>
    <x v="2"/>
    <x v="2"/>
    <x v="0"/>
    <n v="26"/>
    <x v="2"/>
    <x v="264"/>
    <n v="79356"/>
    <n v="0"/>
    <n v="79356"/>
    <x v="0"/>
    <x v="3"/>
    <m/>
    <n v="0"/>
  </r>
  <r>
    <x v="268"/>
    <x v="25"/>
    <x v="5"/>
    <x v="1"/>
    <x v="1"/>
    <n v="40"/>
    <x v="3"/>
    <x v="265"/>
    <n v="74412"/>
    <n v="0"/>
    <n v="74412"/>
    <x v="0"/>
    <x v="0"/>
    <m/>
    <n v="0"/>
  </r>
  <r>
    <x v="269"/>
    <x v="3"/>
    <x v="0"/>
    <x v="1"/>
    <x v="0"/>
    <n v="32"/>
    <x v="2"/>
    <x v="266"/>
    <n v="61886"/>
    <n v="0.09"/>
    <n v="67456"/>
    <x v="2"/>
    <x v="9"/>
    <m/>
    <n v="0"/>
  </r>
  <r>
    <x v="270"/>
    <x v="2"/>
    <x v="3"/>
    <x v="0"/>
    <x v="0"/>
    <n v="58"/>
    <x v="0"/>
    <x v="267"/>
    <n v="173071"/>
    <n v="0.29"/>
    <n v="223262"/>
    <x v="0"/>
    <x v="7"/>
    <m/>
    <n v="0"/>
  </r>
  <r>
    <x v="271"/>
    <x v="17"/>
    <x v="5"/>
    <x v="0"/>
    <x v="0"/>
    <n v="58"/>
    <x v="0"/>
    <x v="268"/>
    <n v="70189"/>
    <n v="0"/>
    <n v="70189"/>
    <x v="0"/>
    <x v="7"/>
    <m/>
    <n v="0"/>
  </r>
  <r>
    <x v="272"/>
    <x v="9"/>
    <x v="2"/>
    <x v="0"/>
    <x v="0"/>
    <n v="42"/>
    <x v="3"/>
    <x v="269"/>
    <n v="181452"/>
    <n v="0.3"/>
    <n v="235888"/>
    <x v="0"/>
    <x v="7"/>
    <m/>
    <n v="0"/>
  </r>
  <r>
    <x v="273"/>
    <x v="16"/>
    <x v="4"/>
    <x v="2"/>
    <x v="1"/>
    <n v="26"/>
    <x v="2"/>
    <x v="270"/>
    <n v="70369"/>
    <n v="0"/>
    <n v="70369"/>
    <x v="0"/>
    <x v="0"/>
    <m/>
    <n v="0"/>
  </r>
  <r>
    <x v="274"/>
    <x v="4"/>
    <x v="3"/>
    <x v="1"/>
    <x v="1"/>
    <n v="38"/>
    <x v="3"/>
    <x v="271"/>
    <n v="78056"/>
    <n v="0"/>
    <n v="78056"/>
    <x v="2"/>
    <x v="12"/>
    <m/>
    <n v="0"/>
  </r>
  <r>
    <x v="275"/>
    <x v="2"/>
    <x v="1"/>
    <x v="0"/>
    <x v="1"/>
    <n v="64"/>
    <x v="0"/>
    <x v="272"/>
    <n v="189933"/>
    <n v="0.23"/>
    <n v="233618"/>
    <x v="0"/>
    <x v="4"/>
    <m/>
    <n v="0"/>
  </r>
  <r>
    <x v="276"/>
    <x v="18"/>
    <x v="5"/>
    <x v="2"/>
    <x v="1"/>
    <n v="38"/>
    <x v="3"/>
    <x v="273"/>
    <n v="78237"/>
    <n v="0"/>
    <n v="78237"/>
    <x v="0"/>
    <x v="3"/>
    <m/>
    <n v="0"/>
  </r>
  <r>
    <x v="277"/>
    <x v="7"/>
    <x v="3"/>
    <x v="0"/>
    <x v="0"/>
    <n v="55"/>
    <x v="0"/>
    <x v="274"/>
    <n v="48687"/>
    <n v="0"/>
    <n v="48687"/>
    <x v="2"/>
    <x v="9"/>
    <m/>
    <n v="0"/>
  </r>
  <r>
    <x v="278"/>
    <x v="0"/>
    <x v="6"/>
    <x v="1"/>
    <x v="0"/>
    <n v="45"/>
    <x v="1"/>
    <x v="275"/>
    <n v="121065"/>
    <n v="0.15"/>
    <n v="139225"/>
    <x v="2"/>
    <x v="9"/>
    <m/>
    <n v="0"/>
  </r>
  <r>
    <x v="279"/>
    <x v="4"/>
    <x v="2"/>
    <x v="3"/>
    <x v="1"/>
    <n v="43"/>
    <x v="3"/>
    <x v="276"/>
    <n v="94246"/>
    <n v="0"/>
    <n v="94246"/>
    <x v="0"/>
    <x v="5"/>
    <m/>
    <n v="0"/>
  </r>
  <r>
    <x v="280"/>
    <x v="28"/>
    <x v="0"/>
    <x v="1"/>
    <x v="0"/>
    <n v="34"/>
    <x v="2"/>
    <x v="82"/>
    <n v="44614"/>
    <n v="0"/>
    <n v="44614"/>
    <x v="0"/>
    <x v="4"/>
    <m/>
    <n v="0"/>
  </r>
  <r>
    <x v="281"/>
    <x v="9"/>
    <x v="0"/>
    <x v="0"/>
    <x v="1"/>
    <n v="40"/>
    <x v="3"/>
    <x v="277"/>
    <n v="234469"/>
    <n v="0.31"/>
    <n v="307154"/>
    <x v="1"/>
    <x v="11"/>
    <m/>
    <n v="0"/>
  </r>
  <r>
    <x v="282"/>
    <x v="18"/>
    <x v="5"/>
    <x v="0"/>
    <x v="1"/>
    <n v="52"/>
    <x v="1"/>
    <x v="278"/>
    <n v="88272"/>
    <n v="0"/>
    <n v="88272"/>
    <x v="2"/>
    <x v="12"/>
    <m/>
    <n v="0"/>
  </r>
  <r>
    <x v="283"/>
    <x v="13"/>
    <x v="1"/>
    <x v="3"/>
    <x v="1"/>
    <n v="52"/>
    <x v="1"/>
    <x v="279"/>
    <n v="74449"/>
    <n v="0"/>
    <n v="74449"/>
    <x v="1"/>
    <x v="10"/>
    <m/>
    <n v="0"/>
  </r>
  <r>
    <x v="284"/>
    <x v="9"/>
    <x v="5"/>
    <x v="2"/>
    <x v="1"/>
    <n v="47"/>
    <x v="1"/>
    <x v="280"/>
    <n v="222941"/>
    <n v="0.39"/>
    <n v="309888"/>
    <x v="1"/>
    <x v="10"/>
    <m/>
    <n v="0"/>
  </r>
  <r>
    <x v="285"/>
    <x v="7"/>
    <x v="6"/>
    <x v="1"/>
    <x v="0"/>
    <n v="65"/>
    <x v="4"/>
    <x v="281"/>
    <n v="50341"/>
    <n v="0"/>
    <n v="50341"/>
    <x v="1"/>
    <x v="10"/>
    <m/>
    <n v="0"/>
  </r>
  <r>
    <x v="286"/>
    <x v="16"/>
    <x v="4"/>
    <x v="3"/>
    <x v="0"/>
    <n v="31"/>
    <x v="2"/>
    <x v="282"/>
    <n v="72235"/>
    <n v="0"/>
    <n v="72235"/>
    <x v="2"/>
    <x v="8"/>
    <m/>
    <n v="0"/>
  </r>
  <r>
    <x v="287"/>
    <x v="4"/>
    <x v="3"/>
    <x v="3"/>
    <x v="0"/>
    <n v="41"/>
    <x v="3"/>
    <x v="283"/>
    <n v="70165"/>
    <n v="0"/>
    <n v="70165"/>
    <x v="0"/>
    <x v="7"/>
    <m/>
    <n v="0"/>
  </r>
  <r>
    <x v="288"/>
    <x v="0"/>
    <x v="6"/>
    <x v="2"/>
    <x v="1"/>
    <n v="30"/>
    <x v="2"/>
    <x v="284"/>
    <n v="148485"/>
    <n v="0.15"/>
    <n v="170758"/>
    <x v="0"/>
    <x v="4"/>
    <m/>
    <n v="0"/>
  </r>
  <r>
    <x v="289"/>
    <x v="1"/>
    <x v="0"/>
    <x v="1"/>
    <x v="0"/>
    <n v="58"/>
    <x v="0"/>
    <x v="285"/>
    <n v="86089"/>
    <n v="0"/>
    <n v="86089"/>
    <x v="0"/>
    <x v="2"/>
    <m/>
    <n v="0"/>
  </r>
  <r>
    <x v="290"/>
    <x v="11"/>
    <x v="5"/>
    <x v="0"/>
    <x v="1"/>
    <n v="54"/>
    <x v="1"/>
    <x v="286"/>
    <n v="106313"/>
    <n v="0.15"/>
    <n v="122260"/>
    <x v="0"/>
    <x v="2"/>
    <m/>
    <n v="0"/>
  </r>
  <r>
    <x v="291"/>
    <x v="7"/>
    <x v="6"/>
    <x v="0"/>
    <x v="0"/>
    <n v="40"/>
    <x v="3"/>
    <x v="287"/>
    <n v="46833"/>
    <n v="0"/>
    <n v="46833"/>
    <x v="1"/>
    <x v="11"/>
    <d v="2021-11-10T00:00:00"/>
    <n v="1"/>
  </r>
  <r>
    <x v="292"/>
    <x v="2"/>
    <x v="1"/>
    <x v="0"/>
    <x v="0"/>
    <n v="63"/>
    <x v="0"/>
    <x v="288"/>
    <n v="155320"/>
    <n v="0.17"/>
    <n v="181724"/>
    <x v="1"/>
    <x v="1"/>
    <m/>
    <n v="0"/>
  </r>
  <r>
    <x v="293"/>
    <x v="4"/>
    <x v="3"/>
    <x v="1"/>
    <x v="1"/>
    <n v="40"/>
    <x v="3"/>
    <x v="289"/>
    <n v="89984"/>
    <n v="0"/>
    <n v="89984"/>
    <x v="1"/>
    <x v="11"/>
    <m/>
    <n v="0"/>
  </r>
  <r>
    <x v="294"/>
    <x v="11"/>
    <x v="5"/>
    <x v="2"/>
    <x v="0"/>
    <n v="65"/>
    <x v="4"/>
    <x v="290"/>
    <n v="83756"/>
    <n v="0.14"/>
    <n v="95482"/>
    <x v="1"/>
    <x v="6"/>
    <m/>
    <n v="0"/>
  </r>
  <r>
    <x v="295"/>
    <x v="2"/>
    <x v="4"/>
    <x v="3"/>
    <x v="0"/>
    <n v="57"/>
    <x v="0"/>
    <x v="291"/>
    <n v="176324"/>
    <n v="0.23"/>
    <n v="216879"/>
    <x v="1"/>
    <x v="6"/>
    <m/>
    <n v="0"/>
  </r>
  <r>
    <x v="296"/>
    <x v="4"/>
    <x v="3"/>
    <x v="2"/>
    <x v="1"/>
    <n v="27"/>
    <x v="2"/>
    <x v="292"/>
    <n v="74077"/>
    <n v="0"/>
    <n v="74077"/>
    <x v="0"/>
    <x v="0"/>
    <m/>
    <n v="0"/>
  </r>
  <r>
    <x v="297"/>
    <x v="6"/>
    <x v="4"/>
    <x v="1"/>
    <x v="0"/>
    <n v="31"/>
    <x v="2"/>
    <x v="293"/>
    <n v="104162"/>
    <n v="0.07"/>
    <n v="111453"/>
    <x v="0"/>
    <x v="5"/>
    <m/>
    <n v="0"/>
  </r>
  <r>
    <x v="298"/>
    <x v="30"/>
    <x v="0"/>
    <x v="3"/>
    <x v="0"/>
    <n v="45"/>
    <x v="1"/>
    <x v="294"/>
    <n v="82162"/>
    <n v="0"/>
    <n v="82162"/>
    <x v="1"/>
    <x v="10"/>
    <d v="2020-10-03T00:00:00"/>
    <n v="1"/>
  </r>
  <r>
    <x v="299"/>
    <x v="5"/>
    <x v="2"/>
    <x v="2"/>
    <x v="0"/>
    <n v="47"/>
    <x v="1"/>
    <x v="295"/>
    <n v="63880"/>
    <n v="0"/>
    <n v="63880"/>
    <x v="1"/>
    <x v="1"/>
    <m/>
    <n v="0"/>
  </r>
  <r>
    <x v="300"/>
    <x v="22"/>
    <x v="5"/>
    <x v="0"/>
    <x v="0"/>
    <n v="55"/>
    <x v="0"/>
    <x v="296"/>
    <n v="73248"/>
    <n v="0"/>
    <n v="73248"/>
    <x v="0"/>
    <x v="7"/>
    <m/>
    <n v="0"/>
  </r>
  <r>
    <x v="301"/>
    <x v="4"/>
    <x v="3"/>
    <x v="1"/>
    <x v="1"/>
    <n v="51"/>
    <x v="1"/>
    <x v="297"/>
    <n v="91853"/>
    <n v="0"/>
    <n v="91853"/>
    <x v="0"/>
    <x v="2"/>
    <m/>
    <n v="0"/>
  </r>
  <r>
    <x v="302"/>
    <x v="2"/>
    <x v="1"/>
    <x v="2"/>
    <x v="1"/>
    <n v="25"/>
    <x v="2"/>
    <x v="298"/>
    <n v="168014"/>
    <n v="0.27"/>
    <n v="213378"/>
    <x v="0"/>
    <x v="2"/>
    <d v="2021-07-27T00:00:00"/>
    <n v="1"/>
  </r>
  <r>
    <x v="303"/>
    <x v="25"/>
    <x v="5"/>
    <x v="3"/>
    <x v="0"/>
    <n v="37"/>
    <x v="3"/>
    <x v="299"/>
    <n v="70770"/>
    <n v="0"/>
    <n v="70770"/>
    <x v="0"/>
    <x v="4"/>
    <m/>
    <n v="0"/>
  </r>
  <r>
    <x v="304"/>
    <x v="16"/>
    <x v="4"/>
    <x v="3"/>
    <x v="1"/>
    <n v="62"/>
    <x v="0"/>
    <x v="300"/>
    <n v="50825"/>
    <n v="0"/>
    <n v="50825"/>
    <x v="0"/>
    <x v="0"/>
    <m/>
    <n v="0"/>
  </r>
  <r>
    <x v="305"/>
    <x v="0"/>
    <x v="1"/>
    <x v="0"/>
    <x v="1"/>
    <n v="31"/>
    <x v="2"/>
    <x v="301"/>
    <n v="145846"/>
    <n v="0.15"/>
    <n v="167723"/>
    <x v="2"/>
    <x v="8"/>
    <m/>
    <n v="0"/>
  </r>
  <r>
    <x v="306"/>
    <x v="0"/>
    <x v="4"/>
    <x v="0"/>
    <x v="0"/>
    <n v="64"/>
    <x v="0"/>
    <x v="302"/>
    <n v="125807"/>
    <n v="0.15"/>
    <n v="144678"/>
    <x v="0"/>
    <x v="2"/>
    <m/>
    <n v="0"/>
  </r>
  <r>
    <x v="307"/>
    <x v="7"/>
    <x v="2"/>
    <x v="2"/>
    <x v="1"/>
    <n v="25"/>
    <x v="2"/>
    <x v="303"/>
    <n v="46845"/>
    <n v="0"/>
    <n v="46845"/>
    <x v="0"/>
    <x v="4"/>
    <m/>
    <n v="0"/>
  </r>
  <r>
    <x v="308"/>
    <x v="0"/>
    <x v="6"/>
    <x v="3"/>
    <x v="0"/>
    <n v="59"/>
    <x v="0"/>
    <x v="304"/>
    <n v="157969"/>
    <n v="0.1"/>
    <n v="173766"/>
    <x v="1"/>
    <x v="1"/>
    <m/>
    <n v="0"/>
  </r>
  <r>
    <x v="309"/>
    <x v="29"/>
    <x v="0"/>
    <x v="3"/>
    <x v="0"/>
    <n v="40"/>
    <x v="3"/>
    <x v="305"/>
    <n v="97807"/>
    <n v="0"/>
    <n v="97807"/>
    <x v="0"/>
    <x v="2"/>
    <m/>
    <n v="0"/>
  </r>
  <r>
    <x v="310"/>
    <x v="16"/>
    <x v="4"/>
    <x v="1"/>
    <x v="1"/>
    <n v="31"/>
    <x v="2"/>
    <x v="306"/>
    <n v="73854"/>
    <n v="0"/>
    <n v="73854"/>
    <x v="0"/>
    <x v="0"/>
    <m/>
    <n v="0"/>
  </r>
  <r>
    <x v="311"/>
    <x v="0"/>
    <x v="3"/>
    <x v="1"/>
    <x v="1"/>
    <n v="45"/>
    <x v="1"/>
    <x v="307"/>
    <n v="149537"/>
    <n v="0.14"/>
    <n v="170472"/>
    <x v="0"/>
    <x v="0"/>
    <m/>
    <n v="0"/>
  </r>
  <r>
    <x v="312"/>
    <x v="0"/>
    <x v="2"/>
    <x v="1"/>
    <x v="0"/>
    <n v="49"/>
    <x v="1"/>
    <x v="308"/>
    <n v="128303"/>
    <n v="0.15"/>
    <n v="147548"/>
    <x v="0"/>
    <x v="3"/>
    <m/>
    <n v="0"/>
  </r>
  <r>
    <x v="313"/>
    <x v="23"/>
    <x v="0"/>
    <x v="2"/>
    <x v="1"/>
    <n v="46"/>
    <x v="1"/>
    <x v="309"/>
    <n v="67374"/>
    <n v="0"/>
    <n v="67374"/>
    <x v="0"/>
    <x v="5"/>
    <m/>
    <n v="0"/>
  </r>
  <r>
    <x v="314"/>
    <x v="6"/>
    <x v="4"/>
    <x v="3"/>
    <x v="1"/>
    <n v="46"/>
    <x v="1"/>
    <x v="310"/>
    <n v="102167"/>
    <n v="0.06"/>
    <n v="108297"/>
    <x v="2"/>
    <x v="9"/>
    <m/>
    <n v="0"/>
  </r>
  <r>
    <x v="315"/>
    <x v="0"/>
    <x v="2"/>
    <x v="1"/>
    <x v="1"/>
    <n v="45"/>
    <x v="1"/>
    <x v="311"/>
    <n v="151027"/>
    <n v="0.1"/>
    <n v="166130"/>
    <x v="1"/>
    <x v="6"/>
    <m/>
    <n v="0"/>
  </r>
  <r>
    <x v="316"/>
    <x v="6"/>
    <x v="3"/>
    <x v="2"/>
    <x v="1"/>
    <n v="40"/>
    <x v="3"/>
    <x v="312"/>
    <n v="120905"/>
    <n v="0.05"/>
    <n v="126950"/>
    <x v="0"/>
    <x v="0"/>
    <m/>
    <n v="0"/>
  </r>
  <r>
    <x v="317"/>
    <x v="9"/>
    <x v="1"/>
    <x v="1"/>
    <x v="0"/>
    <n v="48"/>
    <x v="1"/>
    <x v="313"/>
    <n v="231567"/>
    <n v="0.36"/>
    <n v="314931"/>
    <x v="0"/>
    <x v="0"/>
    <m/>
    <n v="0"/>
  </r>
  <r>
    <x v="318"/>
    <x v="9"/>
    <x v="0"/>
    <x v="0"/>
    <x v="1"/>
    <n v="31"/>
    <x v="2"/>
    <x v="314"/>
    <n v="215388"/>
    <n v="0.33"/>
    <n v="286466"/>
    <x v="0"/>
    <x v="4"/>
    <m/>
    <n v="0"/>
  </r>
  <r>
    <x v="319"/>
    <x v="0"/>
    <x v="2"/>
    <x v="2"/>
    <x v="0"/>
    <n v="30"/>
    <x v="2"/>
    <x v="315"/>
    <n v="127972"/>
    <n v="0.11"/>
    <n v="142049"/>
    <x v="0"/>
    <x v="0"/>
    <m/>
    <n v="0"/>
  </r>
  <r>
    <x v="320"/>
    <x v="19"/>
    <x v="5"/>
    <x v="3"/>
    <x v="0"/>
    <n v="55"/>
    <x v="0"/>
    <x v="316"/>
    <n v="80701"/>
    <n v="0"/>
    <n v="80701"/>
    <x v="0"/>
    <x v="2"/>
    <d v="2005-04-14T00:00:00"/>
    <n v="1"/>
  </r>
  <r>
    <x v="321"/>
    <x v="6"/>
    <x v="6"/>
    <x v="3"/>
    <x v="1"/>
    <n v="28"/>
    <x v="2"/>
    <x v="317"/>
    <n v="115417"/>
    <n v="0.06"/>
    <n v="122342"/>
    <x v="1"/>
    <x v="6"/>
    <m/>
    <n v="0"/>
  </r>
  <r>
    <x v="322"/>
    <x v="10"/>
    <x v="5"/>
    <x v="3"/>
    <x v="0"/>
    <n v="45"/>
    <x v="1"/>
    <x v="318"/>
    <n v="88045"/>
    <n v="0"/>
    <n v="88045"/>
    <x v="0"/>
    <x v="2"/>
    <m/>
    <n v="0"/>
  </r>
  <r>
    <x v="323"/>
    <x v="3"/>
    <x v="0"/>
    <x v="2"/>
    <x v="0"/>
    <n v="45"/>
    <x v="1"/>
    <x v="319"/>
    <n v="86478"/>
    <n v="0.06"/>
    <n v="91667"/>
    <x v="0"/>
    <x v="5"/>
    <m/>
    <n v="0"/>
  </r>
  <r>
    <x v="324"/>
    <x v="9"/>
    <x v="5"/>
    <x v="1"/>
    <x v="1"/>
    <n v="63"/>
    <x v="0"/>
    <x v="320"/>
    <n v="180994"/>
    <n v="0.39"/>
    <n v="251582"/>
    <x v="0"/>
    <x v="0"/>
    <m/>
    <n v="0"/>
  </r>
  <r>
    <x v="325"/>
    <x v="13"/>
    <x v="1"/>
    <x v="0"/>
    <x v="0"/>
    <n v="55"/>
    <x v="0"/>
    <x v="321"/>
    <n v="64494"/>
    <n v="0"/>
    <n v="64494"/>
    <x v="0"/>
    <x v="7"/>
    <m/>
    <n v="0"/>
  </r>
  <r>
    <x v="326"/>
    <x v="5"/>
    <x v="2"/>
    <x v="1"/>
    <x v="1"/>
    <n v="47"/>
    <x v="1"/>
    <x v="322"/>
    <n v="70122"/>
    <n v="0"/>
    <n v="70122"/>
    <x v="0"/>
    <x v="7"/>
    <m/>
    <n v="0"/>
  </r>
  <r>
    <x v="327"/>
    <x v="2"/>
    <x v="3"/>
    <x v="1"/>
    <x v="1"/>
    <n v="29"/>
    <x v="2"/>
    <x v="323"/>
    <n v="181854"/>
    <n v="0.29"/>
    <n v="234592"/>
    <x v="0"/>
    <x v="0"/>
    <d v="2020-04-24T00:00:00"/>
    <n v="1"/>
  </r>
  <r>
    <x v="328"/>
    <x v="20"/>
    <x v="4"/>
    <x v="2"/>
    <x v="0"/>
    <n v="34"/>
    <x v="2"/>
    <x v="324"/>
    <n v="52811"/>
    <n v="0"/>
    <n v="52811"/>
    <x v="0"/>
    <x v="4"/>
    <m/>
    <n v="0"/>
  </r>
  <r>
    <x v="329"/>
    <x v="28"/>
    <x v="0"/>
    <x v="0"/>
    <x v="0"/>
    <n v="28"/>
    <x v="2"/>
    <x v="325"/>
    <n v="50111"/>
    <n v="0"/>
    <n v="50111"/>
    <x v="1"/>
    <x v="11"/>
    <m/>
    <n v="0"/>
  </r>
  <r>
    <x v="330"/>
    <x v="32"/>
    <x v="0"/>
    <x v="1"/>
    <x v="1"/>
    <n v="31"/>
    <x v="2"/>
    <x v="326"/>
    <n v="71192"/>
    <n v="0"/>
    <n v="71192"/>
    <x v="0"/>
    <x v="5"/>
    <m/>
    <n v="0"/>
  </r>
  <r>
    <x v="331"/>
    <x v="2"/>
    <x v="2"/>
    <x v="1"/>
    <x v="0"/>
    <n v="50"/>
    <x v="1"/>
    <x v="327"/>
    <n v="155351"/>
    <n v="0.2"/>
    <n v="186421"/>
    <x v="0"/>
    <x v="0"/>
    <m/>
    <n v="0"/>
  </r>
  <r>
    <x v="332"/>
    <x v="2"/>
    <x v="4"/>
    <x v="2"/>
    <x v="1"/>
    <n v="39"/>
    <x v="3"/>
    <x v="328"/>
    <n v="161690"/>
    <n v="0.29"/>
    <n v="208580"/>
    <x v="1"/>
    <x v="10"/>
    <m/>
    <n v="0"/>
  </r>
  <r>
    <x v="333"/>
    <x v="25"/>
    <x v="5"/>
    <x v="2"/>
    <x v="0"/>
    <n v="35"/>
    <x v="3"/>
    <x v="329"/>
    <n v="60132"/>
    <n v="0"/>
    <n v="60132"/>
    <x v="1"/>
    <x v="1"/>
    <m/>
    <n v="0"/>
  </r>
  <r>
    <x v="334"/>
    <x v="23"/>
    <x v="0"/>
    <x v="1"/>
    <x v="1"/>
    <n v="54"/>
    <x v="1"/>
    <x v="330"/>
    <n v="87216"/>
    <n v="0"/>
    <n v="87216"/>
    <x v="0"/>
    <x v="4"/>
    <m/>
    <n v="0"/>
  </r>
  <r>
    <x v="335"/>
    <x v="28"/>
    <x v="0"/>
    <x v="3"/>
    <x v="1"/>
    <n v="47"/>
    <x v="1"/>
    <x v="331"/>
    <n v="50069"/>
    <n v="0"/>
    <n v="50069"/>
    <x v="0"/>
    <x v="0"/>
    <m/>
    <n v="0"/>
  </r>
  <r>
    <x v="336"/>
    <x v="2"/>
    <x v="0"/>
    <x v="2"/>
    <x v="0"/>
    <n v="26"/>
    <x v="2"/>
    <x v="332"/>
    <n v="151108"/>
    <n v="0.22"/>
    <n v="184352"/>
    <x v="0"/>
    <x v="3"/>
    <m/>
    <n v="0"/>
  </r>
  <r>
    <x v="337"/>
    <x v="3"/>
    <x v="0"/>
    <x v="1"/>
    <x v="0"/>
    <n v="42"/>
    <x v="3"/>
    <x v="333"/>
    <n v="67398"/>
    <n v="0.07"/>
    <n v="72116"/>
    <x v="0"/>
    <x v="3"/>
    <m/>
    <n v="0"/>
  </r>
  <r>
    <x v="338"/>
    <x v="25"/>
    <x v="5"/>
    <x v="0"/>
    <x v="0"/>
    <n v="47"/>
    <x v="1"/>
    <x v="334"/>
    <n v="68488"/>
    <n v="0"/>
    <n v="68488"/>
    <x v="0"/>
    <x v="0"/>
    <m/>
    <n v="0"/>
  </r>
  <r>
    <x v="339"/>
    <x v="10"/>
    <x v="5"/>
    <x v="1"/>
    <x v="0"/>
    <n v="60"/>
    <x v="0"/>
    <x v="335"/>
    <n v="92932"/>
    <n v="0"/>
    <n v="92932"/>
    <x v="0"/>
    <x v="7"/>
    <m/>
    <n v="0"/>
  </r>
  <r>
    <x v="340"/>
    <x v="7"/>
    <x v="1"/>
    <x v="3"/>
    <x v="0"/>
    <n v="36"/>
    <x v="3"/>
    <x v="336"/>
    <n v="43363"/>
    <n v="0"/>
    <n v="43363"/>
    <x v="0"/>
    <x v="5"/>
    <m/>
    <n v="0"/>
  </r>
  <r>
    <x v="341"/>
    <x v="31"/>
    <x v="0"/>
    <x v="2"/>
    <x v="1"/>
    <n v="31"/>
    <x v="2"/>
    <x v="337"/>
    <n v="95963"/>
    <n v="0"/>
    <n v="95963"/>
    <x v="1"/>
    <x v="11"/>
    <m/>
    <n v="0"/>
  </r>
  <r>
    <x v="342"/>
    <x v="6"/>
    <x v="1"/>
    <x v="2"/>
    <x v="0"/>
    <n v="55"/>
    <x v="0"/>
    <x v="338"/>
    <n v="111038"/>
    <n v="0.05"/>
    <n v="116590"/>
    <x v="2"/>
    <x v="12"/>
    <m/>
    <n v="0"/>
  </r>
  <r>
    <x v="343"/>
    <x v="9"/>
    <x v="5"/>
    <x v="0"/>
    <x v="0"/>
    <n v="51"/>
    <x v="1"/>
    <x v="339"/>
    <n v="200246"/>
    <n v="0.34"/>
    <n v="268330"/>
    <x v="0"/>
    <x v="7"/>
    <m/>
    <n v="0"/>
  </r>
  <r>
    <x v="344"/>
    <x v="9"/>
    <x v="0"/>
    <x v="3"/>
    <x v="0"/>
    <n v="48"/>
    <x v="1"/>
    <x v="340"/>
    <n v="194871"/>
    <n v="0.35"/>
    <n v="263076"/>
    <x v="0"/>
    <x v="7"/>
    <m/>
    <n v="0"/>
  </r>
  <r>
    <x v="345"/>
    <x v="4"/>
    <x v="3"/>
    <x v="0"/>
    <x v="1"/>
    <n v="58"/>
    <x v="0"/>
    <x v="341"/>
    <n v="98769"/>
    <n v="0"/>
    <n v="98769"/>
    <x v="2"/>
    <x v="9"/>
    <d v="2016-10-03T00:00:00"/>
    <n v="1"/>
  </r>
  <r>
    <x v="346"/>
    <x v="5"/>
    <x v="2"/>
    <x v="0"/>
    <x v="0"/>
    <n v="29"/>
    <x v="2"/>
    <x v="342"/>
    <n v="65334"/>
    <n v="0"/>
    <n v="65334"/>
    <x v="2"/>
    <x v="9"/>
    <m/>
    <n v="0"/>
  </r>
  <r>
    <x v="347"/>
    <x v="1"/>
    <x v="0"/>
    <x v="1"/>
    <x v="0"/>
    <n v="25"/>
    <x v="2"/>
    <x v="343"/>
    <n v="83934"/>
    <n v="0"/>
    <n v="83934"/>
    <x v="0"/>
    <x v="4"/>
    <m/>
    <n v="0"/>
  </r>
  <r>
    <x v="348"/>
    <x v="2"/>
    <x v="3"/>
    <x v="0"/>
    <x v="1"/>
    <n v="36"/>
    <x v="3"/>
    <x v="344"/>
    <n v="150399"/>
    <n v="0.28"/>
    <n v="192511"/>
    <x v="0"/>
    <x v="2"/>
    <m/>
    <n v="0"/>
  </r>
  <r>
    <x v="349"/>
    <x v="2"/>
    <x v="4"/>
    <x v="0"/>
    <x v="1"/>
    <n v="37"/>
    <x v="3"/>
    <x v="345"/>
    <n v="160280"/>
    <n v="0.19"/>
    <n v="190733"/>
    <x v="1"/>
    <x v="10"/>
    <m/>
    <n v="0"/>
  </r>
  <r>
    <x v="350"/>
    <x v="20"/>
    <x v="4"/>
    <x v="2"/>
    <x v="1"/>
    <n v="57"/>
    <x v="0"/>
    <x v="346"/>
    <n v="54051"/>
    <n v="0"/>
    <n v="54051"/>
    <x v="0"/>
    <x v="4"/>
    <d v="1998-10-11T00:00:00"/>
    <n v="1"/>
  </r>
  <r>
    <x v="351"/>
    <x v="2"/>
    <x v="5"/>
    <x v="0"/>
    <x v="0"/>
    <n v="59"/>
    <x v="0"/>
    <x v="347"/>
    <n v="150699"/>
    <n v="0.29"/>
    <n v="194402"/>
    <x v="2"/>
    <x v="12"/>
    <m/>
    <n v="0"/>
  </r>
  <r>
    <x v="352"/>
    <x v="13"/>
    <x v="6"/>
    <x v="2"/>
    <x v="1"/>
    <n v="37"/>
    <x v="3"/>
    <x v="348"/>
    <n v="69570"/>
    <n v="0"/>
    <n v="69570"/>
    <x v="0"/>
    <x v="4"/>
    <m/>
    <n v="0"/>
  </r>
  <r>
    <x v="353"/>
    <x v="31"/>
    <x v="0"/>
    <x v="1"/>
    <x v="0"/>
    <n v="30"/>
    <x v="2"/>
    <x v="349"/>
    <n v="86774"/>
    <n v="0"/>
    <n v="86774"/>
    <x v="1"/>
    <x v="11"/>
    <m/>
    <n v="0"/>
  </r>
  <r>
    <x v="354"/>
    <x v="16"/>
    <x v="4"/>
    <x v="1"/>
    <x v="1"/>
    <n v="49"/>
    <x v="1"/>
    <x v="350"/>
    <n v="57606"/>
    <n v="0"/>
    <n v="57606"/>
    <x v="0"/>
    <x v="4"/>
    <m/>
    <n v="0"/>
  </r>
  <r>
    <x v="355"/>
    <x v="0"/>
    <x v="1"/>
    <x v="3"/>
    <x v="0"/>
    <n v="48"/>
    <x v="1"/>
    <x v="351"/>
    <n v="125730"/>
    <n v="0.11"/>
    <n v="139560"/>
    <x v="1"/>
    <x v="1"/>
    <m/>
    <n v="0"/>
  </r>
  <r>
    <x v="356"/>
    <x v="27"/>
    <x v="0"/>
    <x v="0"/>
    <x v="0"/>
    <n v="51"/>
    <x v="1"/>
    <x v="352"/>
    <n v="64170"/>
    <n v="0"/>
    <n v="64170"/>
    <x v="0"/>
    <x v="7"/>
    <m/>
    <n v="0"/>
  </r>
  <r>
    <x v="357"/>
    <x v="15"/>
    <x v="4"/>
    <x v="2"/>
    <x v="1"/>
    <n v="56"/>
    <x v="0"/>
    <x v="353"/>
    <n v="72303"/>
    <n v="0"/>
    <n v="72303"/>
    <x v="0"/>
    <x v="3"/>
    <m/>
    <n v="0"/>
  </r>
  <r>
    <x v="358"/>
    <x v="6"/>
    <x v="2"/>
    <x v="0"/>
    <x v="1"/>
    <n v="36"/>
    <x v="3"/>
    <x v="354"/>
    <n v="105891"/>
    <n v="0.07"/>
    <n v="113303"/>
    <x v="0"/>
    <x v="0"/>
    <m/>
    <n v="0"/>
  </r>
  <r>
    <x v="359"/>
    <x v="9"/>
    <x v="6"/>
    <x v="2"/>
    <x v="1"/>
    <n v="38"/>
    <x v="3"/>
    <x v="355"/>
    <n v="255230"/>
    <n v="0.36"/>
    <n v="347113"/>
    <x v="0"/>
    <x v="5"/>
    <m/>
    <n v="0"/>
  </r>
  <r>
    <x v="360"/>
    <x v="13"/>
    <x v="2"/>
    <x v="1"/>
    <x v="0"/>
    <n v="56"/>
    <x v="0"/>
    <x v="356"/>
    <n v="59591"/>
    <n v="0"/>
    <n v="59591"/>
    <x v="2"/>
    <x v="12"/>
    <m/>
    <n v="0"/>
  </r>
  <r>
    <x v="361"/>
    <x v="9"/>
    <x v="4"/>
    <x v="1"/>
    <x v="0"/>
    <n v="52"/>
    <x v="1"/>
    <x v="357"/>
    <n v="187048"/>
    <n v="0.32"/>
    <n v="246903"/>
    <x v="1"/>
    <x v="11"/>
    <m/>
    <n v="0"/>
  </r>
  <r>
    <x v="362"/>
    <x v="13"/>
    <x v="1"/>
    <x v="2"/>
    <x v="0"/>
    <n v="53"/>
    <x v="1"/>
    <x v="358"/>
    <n v="58605"/>
    <n v="0"/>
    <n v="58605"/>
    <x v="0"/>
    <x v="3"/>
    <m/>
    <n v="0"/>
  </r>
  <r>
    <x v="363"/>
    <x v="2"/>
    <x v="5"/>
    <x v="3"/>
    <x v="0"/>
    <n v="60"/>
    <x v="0"/>
    <x v="359"/>
    <n v="178502"/>
    <n v="0.2"/>
    <n v="214202"/>
    <x v="0"/>
    <x v="5"/>
    <m/>
    <n v="0"/>
  </r>
  <r>
    <x v="364"/>
    <x v="6"/>
    <x v="3"/>
    <x v="2"/>
    <x v="1"/>
    <n v="63"/>
    <x v="0"/>
    <x v="360"/>
    <n v="103724"/>
    <n v="0.05"/>
    <n v="108910"/>
    <x v="1"/>
    <x v="6"/>
    <m/>
    <n v="0"/>
  </r>
  <r>
    <x v="365"/>
    <x v="2"/>
    <x v="5"/>
    <x v="0"/>
    <x v="0"/>
    <n v="37"/>
    <x v="3"/>
    <x v="361"/>
    <n v="156277"/>
    <n v="0.22"/>
    <n v="190658"/>
    <x v="2"/>
    <x v="8"/>
    <m/>
    <n v="0"/>
  </r>
  <r>
    <x v="366"/>
    <x v="17"/>
    <x v="5"/>
    <x v="0"/>
    <x v="0"/>
    <n v="30"/>
    <x v="2"/>
    <x v="362"/>
    <n v="87744"/>
    <n v="0"/>
    <n v="87744"/>
    <x v="2"/>
    <x v="12"/>
    <m/>
    <n v="0"/>
  </r>
  <r>
    <x v="367"/>
    <x v="13"/>
    <x v="1"/>
    <x v="1"/>
    <x v="1"/>
    <n v="30"/>
    <x v="2"/>
    <x v="363"/>
    <n v="54714"/>
    <n v="0"/>
    <n v="54714"/>
    <x v="0"/>
    <x v="7"/>
    <m/>
    <n v="0"/>
  </r>
  <r>
    <x v="368"/>
    <x v="14"/>
    <x v="0"/>
    <x v="3"/>
    <x v="0"/>
    <n v="45"/>
    <x v="1"/>
    <x v="364"/>
    <n v="99169"/>
    <n v="0"/>
    <n v="99169"/>
    <x v="1"/>
    <x v="10"/>
    <m/>
    <n v="0"/>
  </r>
  <r>
    <x v="369"/>
    <x v="0"/>
    <x v="3"/>
    <x v="0"/>
    <x v="0"/>
    <n v="55"/>
    <x v="0"/>
    <x v="365"/>
    <n v="142628"/>
    <n v="0.12"/>
    <n v="159743"/>
    <x v="1"/>
    <x v="1"/>
    <m/>
    <n v="0"/>
  </r>
  <r>
    <x v="370"/>
    <x v="4"/>
    <x v="6"/>
    <x v="1"/>
    <x v="0"/>
    <n v="33"/>
    <x v="2"/>
    <x v="366"/>
    <n v="75869"/>
    <n v="0"/>
    <n v="75869"/>
    <x v="2"/>
    <x v="12"/>
    <m/>
    <n v="0"/>
  </r>
  <r>
    <x v="371"/>
    <x v="23"/>
    <x v="0"/>
    <x v="1"/>
    <x v="0"/>
    <n v="65"/>
    <x v="4"/>
    <x v="367"/>
    <n v="60985"/>
    <n v="0"/>
    <n v="60985"/>
    <x v="0"/>
    <x v="0"/>
    <m/>
    <n v="0"/>
  </r>
  <r>
    <x v="372"/>
    <x v="0"/>
    <x v="0"/>
    <x v="0"/>
    <x v="0"/>
    <n v="60"/>
    <x v="0"/>
    <x v="368"/>
    <n v="126911"/>
    <n v="0.1"/>
    <n v="139602"/>
    <x v="1"/>
    <x v="6"/>
    <m/>
    <n v="0"/>
  </r>
  <r>
    <x v="373"/>
    <x v="9"/>
    <x v="2"/>
    <x v="0"/>
    <x v="1"/>
    <n v="56"/>
    <x v="0"/>
    <x v="369"/>
    <n v="216949"/>
    <n v="0.32"/>
    <n v="286373"/>
    <x v="1"/>
    <x v="6"/>
    <m/>
    <n v="0"/>
  </r>
  <r>
    <x v="374"/>
    <x v="2"/>
    <x v="5"/>
    <x v="1"/>
    <x v="1"/>
    <n v="53"/>
    <x v="1"/>
    <x v="370"/>
    <n v="168510"/>
    <n v="0.29"/>
    <n v="217378"/>
    <x v="0"/>
    <x v="0"/>
    <m/>
    <n v="0"/>
  </r>
  <r>
    <x v="375"/>
    <x v="17"/>
    <x v="5"/>
    <x v="2"/>
    <x v="0"/>
    <n v="36"/>
    <x v="3"/>
    <x v="371"/>
    <n v="85870"/>
    <n v="0"/>
    <n v="85870"/>
    <x v="2"/>
    <x v="12"/>
    <m/>
    <n v="0"/>
  </r>
  <r>
    <x v="376"/>
    <x v="4"/>
    <x v="6"/>
    <x v="3"/>
    <x v="0"/>
    <n v="46"/>
    <x v="1"/>
    <x v="372"/>
    <n v="86510"/>
    <n v="0"/>
    <n v="86510"/>
    <x v="1"/>
    <x v="10"/>
    <d v="2003-01-02T00:00:00"/>
    <n v="1"/>
  </r>
  <r>
    <x v="377"/>
    <x v="6"/>
    <x v="2"/>
    <x v="2"/>
    <x v="0"/>
    <n v="38"/>
    <x v="3"/>
    <x v="373"/>
    <n v="119647"/>
    <n v="0.09"/>
    <n v="130415"/>
    <x v="2"/>
    <x v="12"/>
    <m/>
    <n v="0"/>
  </r>
  <r>
    <x v="378"/>
    <x v="14"/>
    <x v="0"/>
    <x v="0"/>
    <x v="1"/>
    <n v="62"/>
    <x v="0"/>
    <x v="374"/>
    <n v="80921"/>
    <n v="0"/>
    <n v="80921"/>
    <x v="0"/>
    <x v="7"/>
    <m/>
    <n v="0"/>
  </r>
  <r>
    <x v="379"/>
    <x v="11"/>
    <x v="5"/>
    <x v="0"/>
    <x v="0"/>
    <n v="61"/>
    <x v="0"/>
    <x v="375"/>
    <n v="98110"/>
    <n v="0.13"/>
    <n v="110864"/>
    <x v="0"/>
    <x v="2"/>
    <m/>
    <n v="0"/>
  </r>
  <r>
    <x v="380"/>
    <x v="23"/>
    <x v="0"/>
    <x v="2"/>
    <x v="0"/>
    <n v="59"/>
    <x v="0"/>
    <x v="376"/>
    <n v="86831"/>
    <n v="0"/>
    <n v="86831"/>
    <x v="0"/>
    <x v="3"/>
    <m/>
    <n v="0"/>
  </r>
  <r>
    <x v="381"/>
    <x v="1"/>
    <x v="0"/>
    <x v="2"/>
    <x v="0"/>
    <n v="49"/>
    <x v="1"/>
    <x v="377"/>
    <n v="72826"/>
    <n v="0"/>
    <n v="72826"/>
    <x v="1"/>
    <x v="10"/>
    <m/>
    <n v="0"/>
  </r>
  <r>
    <x v="382"/>
    <x v="2"/>
    <x v="6"/>
    <x v="1"/>
    <x v="0"/>
    <n v="64"/>
    <x v="0"/>
    <x v="378"/>
    <n v="171217"/>
    <n v="0.19"/>
    <n v="203748"/>
    <x v="0"/>
    <x v="0"/>
    <m/>
    <n v="0"/>
  </r>
  <r>
    <x v="383"/>
    <x v="6"/>
    <x v="0"/>
    <x v="0"/>
    <x v="0"/>
    <n v="57"/>
    <x v="0"/>
    <x v="379"/>
    <n v="103058"/>
    <n v="0.07"/>
    <n v="110272"/>
    <x v="0"/>
    <x v="7"/>
    <m/>
    <n v="0"/>
  </r>
  <r>
    <x v="384"/>
    <x v="6"/>
    <x v="2"/>
    <x v="2"/>
    <x v="1"/>
    <n v="52"/>
    <x v="1"/>
    <x v="380"/>
    <n v="117062"/>
    <n v="0.07"/>
    <n v="125256"/>
    <x v="0"/>
    <x v="3"/>
    <m/>
    <n v="0"/>
  </r>
  <r>
    <x v="385"/>
    <x v="0"/>
    <x v="3"/>
    <x v="2"/>
    <x v="1"/>
    <n v="40"/>
    <x v="3"/>
    <x v="381"/>
    <n v="159031"/>
    <n v="0.1"/>
    <n v="174934"/>
    <x v="0"/>
    <x v="4"/>
    <m/>
    <n v="0"/>
  </r>
  <r>
    <x v="386"/>
    <x v="0"/>
    <x v="0"/>
    <x v="0"/>
    <x v="0"/>
    <n v="49"/>
    <x v="1"/>
    <x v="382"/>
    <n v="125086"/>
    <n v="0.1"/>
    <n v="137595"/>
    <x v="2"/>
    <x v="12"/>
    <m/>
    <n v="0"/>
  </r>
  <r>
    <x v="387"/>
    <x v="27"/>
    <x v="0"/>
    <x v="2"/>
    <x v="1"/>
    <n v="43"/>
    <x v="3"/>
    <x v="383"/>
    <n v="67976"/>
    <n v="0"/>
    <n v="67976"/>
    <x v="0"/>
    <x v="0"/>
    <m/>
    <n v="0"/>
  </r>
  <r>
    <x v="388"/>
    <x v="13"/>
    <x v="1"/>
    <x v="2"/>
    <x v="1"/>
    <n v="31"/>
    <x v="2"/>
    <x v="384"/>
    <n v="74215"/>
    <n v="0"/>
    <n v="74215"/>
    <x v="0"/>
    <x v="3"/>
    <m/>
    <n v="0"/>
  </r>
  <r>
    <x v="389"/>
    <x v="2"/>
    <x v="3"/>
    <x v="1"/>
    <x v="1"/>
    <n v="55"/>
    <x v="0"/>
    <x v="385"/>
    <n v="187389"/>
    <n v="0.25"/>
    <n v="234236"/>
    <x v="1"/>
    <x v="11"/>
    <m/>
    <n v="0"/>
  </r>
  <r>
    <x v="390"/>
    <x v="0"/>
    <x v="4"/>
    <x v="2"/>
    <x v="0"/>
    <n v="41"/>
    <x v="3"/>
    <x v="386"/>
    <n v="131841"/>
    <n v="0.13"/>
    <n v="148980"/>
    <x v="0"/>
    <x v="7"/>
    <m/>
    <n v="0"/>
  </r>
  <r>
    <x v="391"/>
    <x v="4"/>
    <x v="3"/>
    <x v="0"/>
    <x v="1"/>
    <n v="34"/>
    <x v="2"/>
    <x v="387"/>
    <n v="97231"/>
    <n v="0"/>
    <n v="97231"/>
    <x v="1"/>
    <x v="10"/>
    <m/>
    <n v="0"/>
  </r>
  <r>
    <x v="392"/>
    <x v="0"/>
    <x v="1"/>
    <x v="3"/>
    <x v="0"/>
    <n v="41"/>
    <x v="3"/>
    <x v="388"/>
    <n v="155004"/>
    <n v="0.12"/>
    <n v="173604"/>
    <x v="0"/>
    <x v="5"/>
    <m/>
    <n v="0"/>
  </r>
  <r>
    <x v="393"/>
    <x v="28"/>
    <x v="0"/>
    <x v="1"/>
    <x v="1"/>
    <n v="40"/>
    <x v="3"/>
    <x v="389"/>
    <n v="41859"/>
    <n v="0"/>
    <n v="41859"/>
    <x v="0"/>
    <x v="0"/>
    <m/>
    <n v="0"/>
  </r>
  <r>
    <x v="394"/>
    <x v="12"/>
    <x v="0"/>
    <x v="1"/>
    <x v="1"/>
    <n v="42"/>
    <x v="3"/>
    <x v="390"/>
    <n v="52733"/>
    <n v="0"/>
    <n v="52733"/>
    <x v="0"/>
    <x v="2"/>
    <m/>
    <n v="0"/>
  </r>
  <r>
    <x v="395"/>
    <x v="9"/>
    <x v="4"/>
    <x v="3"/>
    <x v="1"/>
    <n v="31"/>
    <x v="2"/>
    <x v="391"/>
    <n v="250953"/>
    <n v="0.34"/>
    <n v="336277"/>
    <x v="0"/>
    <x v="7"/>
    <m/>
    <n v="0"/>
  </r>
  <r>
    <x v="396"/>
    <x v="2"/>
    <x v="6"/>
    <x v="0"/>
    <x v="1"/>
    <n v="49"/>
    <x v="1"/>
    <x v="392"/>
    <n v="191807"/>
    <n v="0.21"/>
    <n v="232086"/>
    <x v="1"/>
    <x v="1"/>
    <m/>
    <n v="0"/>
  </r>
  <r>
    <x v="397"/>
    <x v="1"/>
    <x v="0"/>
    <x v="2"/>
    <x v="1"/>
    <n v="42"/>
    <x v="3"/>
    <x v="393"/>
    <n v="64677"/>
    <n v="0"/>
    <n v="64677"/>
    <x v="1"/>
    <x v="1"/>
    <m/>
    <n v="0"/>
  </r>
  <r>
    <x v="398"/>
    <x v="0"/>
    <x v="0"/>
    <x v="3"/>
    <x v="1"/>
    <n v="46"/>
    <x v="1"/>
    <x v="394"/>
    <n v="130274"/>
    <n v="0.11"/>
    <n v="144604"/>
    <x v="0"/>
    <x v="2"/>
    <m/>
    <n v="0"/>
  </r>
  <r>
    <x v="399"/>
    <x v="23"/>
    <x v="0"/>
    <x v="0"/>
    <x v="1"/>
    <n v="37"/>
    <x v="3"/>
    <x v="133"/>
    <n v="96331"/>
    <n v="0"/>
    <n v="96331"/>
    <x v="1"/>
    <x v="6"/>
    <m/>
    <n v="0"/>
  </r>
  <r>
    <x v="400"/>
    <x v="0"/>
    <x v="1"/>
    <x v="0"/>
    <x v="0"/>
    <n v="51"/>
    <x v="1"/>
    <x v="395"/>
    <n v="150758"/>
    <n v="0.13"/>
    <n v="170357"/>
    <x v="0"/>
    <x v="2"/>
    <d v="2007-08-16T00:00:00"/>
    <n v="1"/>
  </r>
  <r>
    <x v="401"/>
    <x v="2"/>
    <x v="5"/>
    <x v="3"/>
    <x v="1"/>
    <n v="46"/>
    <x v="1"/>
    <x v="396"/>
    <n v="173629"/>
    <n v="0.21"/>
    <n v="210091"/>
    <x v="2"/>
    <x v="12"/>
    <m/>
    <n v="0"/>
  </r>
  <r>
    <x v="402"/>
    <x v="29"/>
    <x v="0"/>
    <x v="3"/>
    <x v="1"/>
    <n v="55"/>
    <x v="0"/>
    <x v="397"/>
    <n v="62174"/>
    <n v="0"/>
    <n v="62174"/>
    <x v="0"/>
    <x v="2"/>
    <m/>
    <n v="0"/>
  </r>
  <r>
    <x v="403"/>
    <x v="13"/>
    <x v="3"/>
    <x v="1"/>
    <x v="1"/>
    <n v="43"/>
    <x v="3"/>
    <x v="376"/>
    <n v="56555"/>
    <n v="0"/>
    <n v="56555"/>
    <x v="0"/>
    <x v="3"/>
    <m/>
    <n v="0"/>
  </r>
  <r>
    <x v="404"/>
    <x v="13"/>
    <x v="6"/>
    <x v="1"/>
    <x v="1"/>
    <n v="48"/>
    <x v="1"/>
    <x v="398"/>
    <n v="74655"/>
    <n v="0"/>
    <n v="74655"/>
    <x v="0"/>
    <x v="5"/>
    <m/>
    <n v="0"/>
  </r>
  <r>
    <x v="405"/>
    <x v="27"/>
    <x v="0"/>
    <x v="3"/>
    <x v="1"/>
    <n v="48"/>
    <x v="1"/>
    <x v="399"/>
    <n v="93017"/>
    <n v="0"/>
    <n v="93017"/>
    <x v="0"/>
    <x v="0"/>
    <m/>
    <n v="0"/>
  </r>
  <r>
    <x v="406"/>
    <x v="4"/>
    <x v="6"/>
    <x v="1"/>
    <x v="1"/>
    <n v="51"/>
    <x v="1"/>
    <x v="400"/>
    <n v="82300"/>
    <n v="0"/>
    <n v="82300"/>
    <x v="1"/>
    <x v="11"/>
    <m/>
    <n v="0"/>
  </r>
  <r>
    <x v="407"/>
    <x v="18"/>
    <x v="5"/>
    <x v="0"/>
    <x v="0"/>
    <n v="46"/>
    <x v="1"/>
    <x v="401"/>
    <n v="91621"/>
    <n v="0"/>
    <n v="91621"/>
    <x v="0"/>
    <x v="2"/>
    <m/>
    <n v="0"/>
  </r>
  <r>
    <x v="408"/>
    <x v="4"/>
    <x v="6"/>
    <x v="0"/>
    <x v="1"/>
    <n v="33"/>
    <x v="2"/>
    <x v="402"/>
    <n v="91280"/>
    <n v="0"/>
    <n v="91280"/>
    <x v="0"/>
    <x v="4"/>
    <m/>
    <n v="0"/>
  </r>
  <r>
    <x v="409"/>
    <x v="20"/>
    <x v="4"/>
    <x v="1"/>
    <x v="0"/>
    <n v="42"/>
    <x v="3"/>
    <x v="403"/>
    <n v="47071"/>
    <n v="0"/>
    <n v="47071"/>
    <x v="0"/>
    <x v="7"/>
    <m/>
    <n v="0"/>
  </r>
  <r>
    <x v="410"/>
    <x v="30"/>
    <x v="0"/>
    <x v="1"/>
    <x v="0"/>
    <n v="55"/>
    <x v="0"/>
    <x v="404"/>
    <n v="81218"/>
    <n v="0"/>
    <n v="81218"/>
    <x v="0"/>
    <x v="2"/>
    <m/>
    <n v="0"/>
  </r>
  <r>
    <x v="411"/>
    <x v="9"/>
    <x v="5"/>
    <x v="1"/>
    <x v="0"/>
    <n v="50"/>
    <x v="1"/>
    <x v="405"/>
    <n v="181801"/>
    <n v="0.4"/>
    <n v="254521"/>
    <x v="1"/>
    <x v="1"/>
    <d v="2019-12-11T00:00:00"/>
    <n v="1"/>
  </r>
  <r>
    <x v="412"/>
    <x v="5"/>
    <x v="2"/>
    <x v="1"/>
    <x v="0"/>
    <n v="26"/>
    <x v="2"/>
    <x v="406"/>
    <n v="63137"/>
    <n v="0"/>
    <n v="63137"/>
    <x v="0"/>
    <x v="2"/>
    <m/>
    <n v="0"/>
  </r>
  <r>
    <x v="413"/>
    <x v="9"/>
    <x v="5"/>
    <x v="1"/>
    <x v="0"/>
    <n v="55"/>
    <x v="0"/>
    <x v="407"/>
    <n v="221465"/>
    <n v="0.34"/>
    <n v="296763"/>
    <x v="1"/>
    <x v="11"/>
    <m/>
    <n v="0"/>
  </r>
  <r>
    <x v="414"/>
    <x v="10"/>
    <x v="5"/>
    <x v="0"/>
    <x v="0"/>
    <n v="50"/>
    <x v="1"/>
    <x v="408"/>
    <n v="79388"/>
    <n v="0"/>
    <n v="79388"/>
    <x v="0"/>
    <x v="5"/>
    <d v="2019-08-04T00:00:00"/>
    <n v="1"/>
  </r>
  <r>
    <x v="415"/>
    <x v="29"/>
    <x v="0"/>
    <x v="1"/>
    <x v="0"/>
    <n v="28"/>
    <x v="2"/>
    <x v="131"/>
    <n v="68176"/>
    <n v="0"/>
    <n v="68176"/>
    <x v="0"/>
    <x v="0"/>
    <m/>
    <n v="0"/>
  </r>
  <r>
    <x v="416"/>
    <x v="0"/>
    <x v="1"/>
    <x v="0"/>
    <x v="0"/>
    <n v="39"/>
    <x v="3"/>
    <x v="409"/>
    <n v="122829"/>
    <n v="0.11"/>
    <n v="136340"/>
    <x v="0"/>
    <x v="2"/>
    <m/>
    <n v="0"/>
  </r>
  <r>
    <x v="417"/>
    <x v="0"/>
    <x v="6"/>
    <x v="2"/>
    <x v="0"/>
    <n v="31"/>
    <x v="2"/>
    <x v="410"/>
    <n v="126353"/>
    <n v="0.12"/>
    <n v="141515"/>
    <x v="1"/>
    <x v="6"/>
    <m/>
    <n v="0"/>
  </r>
  <r>
    <x v="418"/>
    <x v="2"/>
    <x v="3"/>
    <x v="2"/>
    <x v="0"/>
    <n v="55"/>
    <x v="0"/>
    <x v="411"/>
    <n v="188727"/>
    <n v="0.23"/>
    <n v="232134"/>
    <x v="1"/>
    <x v="11"/>
    <m/>
    <n v="0"/>
  </r>
  <r>
    <x v="419"/>
    <x v="4"/>
    <x v="2"/>
    <x v="0"/>
    <x v="1"/>
    <n v="52"/>
    <x v="1"/>
    <x v="412"/>
    <n v="99624"/>
    <n v="0"/>
    <n v="99624"/>
    <x v="0"/>
    <x v="0"/>
    <m/>
    <n v="0"/>
  </r>
  <r>
    <x v="420"/>
    <x v="6"/>
    <x v="2"/>
    <x v="2"/>
    <x v="0"/>
    <n v="55"/>
    <x v="0"/>
    <x v="413"/>
    <n v="108686"/>
    <n v="0.06"/>
    <n v="115207"/>
    <x v="0"/>
    <x v="7"/>
    <m/>
    <n v="0"/>
  </r>
  <r>
    <x v="421"/>
    <x v="7"/>
    <x v="3"/>
    <x v="3"/>
    <x v="0"/>
    <n v="56"/>
    <x v="0"/>
    <x v="414"/>
    <n v="50857"/>
    <n v="0"/>
    <n v="50857"/>
    <x v="2"/>
    <x v="8"/>
    <m/>
    <n v="0"/>
  </r>
  <r>
    <x v="422"/>
    <x v="19"/>
    <x v="5"/>
    <x v="1"/>
    <x v="1"/>
    <n v="47"/>
    <x v="1"/>
    <x v="415"/>
    <n v="120628"/>
    <n v="0"/>
    <n v="120628"/>
    <x v="0"/>
    <x v="2"/>
    <m/>
    <n v="0"/>
  </r>
  <r>
    <x v="423"/>
    <x v="2"/>
    <x v="2"/>
    <x v="2"/>
    <x v="0"/>
    <n v="63"/>
    <x v="0"/>
    <x v="416"/>
    <n v="181216"/>
    <n v="0.27"/>
    <n v="230144"/>
    <x v="0"/>
    <x v="7"/>
    <m/>
    <n v="0"/>
  </r>
  <r>
    <x v="424"/>
    <x v="7"/>
    <x v="1"/>
    <x v="3"/>
    <x v="0"/>
    <n v="63"/>
    <x v="0"/>
    <x v="417"/>
    <n v="46081"/>
    <n v="0"/>
    <n v="46081"/>
    <x v="0"/>
    <x v="2"/>
    <m/>
    <n v="0"/>
  </r>
  <r>
    <x v="425"/>
    <x v="0"/>
    <x v="3"/>
    <x v="3"/>
    <x v="0"/>
    <n v="55"/>
    <x v="0"/>
    <x v="418"/>
    <n v="159885"/>
    <n v="0.12"/>
    <n v="179071"/>
    <x v="0"/>
    <x v="7"/>
    <m/>
    <n v="0"/>
  </r>
  <r>
    <x v="426"/>
    <x v="2"/>
    <x v="2"/>
    <x v="1"/>
    <x v="0"/>
    <n v="55"/>
    <x v="0"/>
    <x v="419"/>
    <n v="153271"/>
    <n v="0.15"/>
    <n v="176262"/>
    <x v="0"/>
    <x v="5"/>
    <m/>
    <n v="0"/>
  </r>
  <r>
    <x v="427"/>
    <x v="6"/>
    <x v="4"/>
    <x v="1"/>
    <x v="1"/>
    <n v="42"/>
    <x v="3"/>
    <x v="420"/>
    <n v="114242"/>
    <n v="0.08"/>
    <n v="123381"/>
    <x v="0"/>
    <x v="3"/>
    <m/>
    <n v="0"/>
  </r>
  <r>
    <x v="428"/>
    <x v="12"/>
    <x v="0"/>
    <x v="2"/>
    <x v="0"/>
    <n v="39"/>
    <x v="3"/>
    <x v="421"/>
    <n v="48415"/>
    <n v="0"/>
    <n v="48415"/>
    <x v="1"/>
    <x v="6"/>
    <m/>
    <n v="0"/>
  </r>
  <r>
    <x v="429"/>
    <x v="25"/>
    <x v="5"/>
    <x v="1"/>
    <x v="1"/>
    <n v="35"/>
    <x v="3"/>
    <x v="422"/>
    <n v="65566"/>
    <n v="0"/>
    <n v="65566"/>
    <x v="0"/>
    <x v="0"/>
    <m/>
    <n v="0"/>
  </r>
  <r>
    <x v="430"/>
    <x v="0"/>
    <x v="6"/>
    <x v="0"/>
    <x v="1"/>
    <n v="45"/>
    <x v="1"/>
    <x v="423"/>
    <n v="147752"/>
    <n v="0.12"/>
    <n v="165482"/>
    <x v="1"/>
    <x v="6"/>
    <d v="2011-12-26T00:00:00"/>
    <n v="1"/>
  </r>
  <r>
    <x v="431"/>
    <x v="0"/>
    <x v="6"/>
    <x v="1"/>
    <x v="0"/>
    <n v="25"/>
    <x v="2"/>
    <x v="424"/>
    <n v="136810"/>
    <n v="0.14"/>
    <n v="155963"/>
    <x v="1"/>
    <x v="1"/>
    <m/>
    <n v="0"/>
  </r>
  <r>
    <x v="432"/>
    <x v="7"/>
    <x v="2"/>
    <x v="3"/>
    <x v="1"/>
    <n v="47"/>
    <x v="1"/>
    <x v="425"/>
    <n v="54635"/>
    <n v="0"/>
    <n v="54635"/>
    <x v="0"/>
    <x v="2"/>
    <m/>
    <n v="0"/>
  </r>
  <r>
    <x v="433"/>
    <x v="21"/>
    <x v="0"/>
    <x v="3"/>
    <x v="0"/>
    <n v="42"/>
    <x v="3"/>
    <x v="426"/>
    <n v="96636"/>
    <n v="0"/>
    <n v="96636"/>
    <x v="0"/>
    <x v="7"/>
    <m/>
    <n v="0"/>
  </r>
  <r>
    <x v="434"/>
    <x v="27"/>
    <x v="0"/>
    <x v="1"/>
    <x v="0"/>
    <n v="35"/>
    <x v="3"/>
    <x v="49"/>
    <n v="91592"/>
    <n v="0"/>
    <n v="91592"/>
    <x v="0"/>
    <x v="2"/>
    <m/>
    <n v="0"/>
  </r>
  <r>
    <x v="435"/>
    <x v="20"/>
    <x v="4"/>
    <x v="0"/>
    <x v="0"/>
    <n v="45"/>
    <x v="1"/>
    <x v="427"/>
    <n v="55563"/>
    <n v="0"/>
    <n v="55563"/>
    <x v="1"/>
    <x v="11"/>
    <m/>
    <n v="0"/>
  </r>
  <r>
    <x v="436"/>
    <x v="2"/>
    <x v="0"/>
    <x v="0"/>
    <x v="0"/>
    <n v="52"/>
    <x v="1"/>
    <x v="428"/>
    <n v="159724"/>
    <n v="0.23"/>
    <n v="196461"/>
    <x v="1"/>
    <x v="10"/>
    <m/>
    <n v="0"/>
  </r>
  <r>
    <x v="437"/>
    <x v="9"/>
    <x v="6"/>
    <x v="3"/>
    <x v="1"/>
    <n v="57"/>
    <x v="0"/>
    <x v="186"/>
    <n v="183190"/>
    <n v="0.36"/>
    <n v="249138"/>
    <x v="0"/>
    <x v="2"/>
    <m/>
    <n v="0"/>
  </r>
  <r>
    <x v="438"/>
    <x v="7"/>
    <x v="3"/>
    <x v="2"/>
    <x v="0"/>
    <n v="56"/>
    <x v="0"/>
    <x v="429"/>
    <n v="54829"/>
    <n v="0"/>
    <n v="54829"/>
    <x v="0"/>
    <x v="3"/>
    <m/>
    <n v="0"/>
  </r>
  <r>
    <x v="439"/>
    <x v="10"/>
    <x v="5"/>
    <x v="3"/>
    <x v="1"/>
    <n v="46"/>
    <x v="1"/>
    <x v="430"/>
    <n v="96639"/>
    <n v="0"/>
    <n v="96639"/>
    <x v="2"/>
    <x v="9"/>
    <m/>
    <n v="0"/>
  </r>
  <r>
    <x v="440"/>
    <x v="6"/>
    <x v="6"/>
    <x v="2"/>
    <x v="0"/>
    <n v="43"/>
    <x v="3"/>
    <x v="431"/>
    <n v="117278"/>
    <n v="0.09"/>
    <n v="127833"/>
    <x v="0"/>
    <x v="4"/>
    <m/>
    <n v="0"/>
  </r>
  <r>
    <x v="441"/>
    <x v="3"/>
    <x v="0"/>
    <x v="2"/>
    <x v="1"/>
    <n v="53"/>
    <x v="1"/>
    <x v="432"/>
    <n v="84193"/>
    <n v="0.09"/>
    <n v="91770"/>
    <x v="1"/>
    <x v="6"/>
    <m/>
    <n v="0"/>
  </r>
  <r>
    <x v="442"/>
    <x v="32"/>
    <x v="0"/>
    <x v="1"/>
    <x v="0"/>
    <n v="47"/>
    <x v="1"/>
    <x v="433"/>
    <n v="87806"/>
    <n v="0"/>
    <n v="87806"/>
    <x v="0"/>
    <x v="0"/>
    <m/>
    <n v="0"/>
  </r>
  <r>
    <x v="443"/>
    <x v="22"/>
    <x v="5"/>
    <x v="0"/>
    <x v="1"/>
    <n v="62"/>
    <x v="0"/>
    <x v="434"/>
    <n v="63959"/>
    <n v="0"/>
    <n v="63959"/>
    <x v="0"/>
    <x v="0"/>
    <m/>
    <n v="0"/>
  </r>
  <r>
    <x v="444"/>
    <x v="9"/>
    <x v="0"/>
    <x v="0"/>
    <x v="1"/>
    <n v="35"/>
    <x v="3"/>
    <x v="435"/>
    <n v="234723"/>
    <n v="0.36"/>
    <n v="319223"/>
    <x v="1"/>
    <x v="6"/>
    <m/>
    <n v="0"/>
  </r>
  <r>
    <x v="445"/>
    <x v="7"/>
    <x v="3"/>
    <x v="3"/>
    <x v="0"/>
    <n v="27"/>
    <x v="2"/>
    <x v="436"/>
    <n v="50809"/>
    <n v="0"/>
    <n v="50809"/>
    <x v="1"/>
    <x v="1"/>
    <m/>
    <n v="0"/>
  </r>
  <r>
    <x v="446"/>
    <x v="4"/>
    <x v="1"/>
    <x v="1"/>
    <x v="1"/>
    <n v="55"/>
    <x v="0"/>
    <x v="437"/>
    <n v="77396"/>
    <n v="0"/>
    <n v="77396"/>
    <x v="0"/>
    <x v="4"/>
    <m/>
    <n v="0"/>
  </r>
  <r>
    <x v="447"/>
    <x v="4"/>
    <x v="1"/>
    <x v="2"/>
    <x v="0"/>
    <n v="63"/>
    <x v="0"/>
    <x v="438"/>
    <n v="89523"/>
    <n v="0"/>
    <n v="89523"/>
    <x v="0"/>
    <x v="3"/>
    <m/>
    <n v="0"/>
  </r>
  <r>
    <x v="448"/>
    <x v="21"/>
    <x v="0"/>
    <x v="3"/>
    <x v="0"/>
    <n v="53"/>
    <x v="1"/>
    <x v="439"/>
    <n v="86173"/>
    <n v="0"/>
    <n v="86173"/>
    <x v="1"/>
    <x v="1"/>
    <m/>
    <n v="0"/>
  </r>
  <r>
    <x v="449"/>
    <x v="9"/>
    <x v="2"/>
    <x v="1"/>
    <x v="0"/>
    <n v="54"/>
    <x v="1"/>
    <x v="440"/>
    <n v="222224"/>
    <n v="0.38"/>
    <n v="306669"/>
    <x v="0"/>
    <x v="7"/>
    <m/>
    <n v="0"/>
  </r>
  <r>
    <x v="450"/>
    <x v="0"/>
    <x v="1"/>
    <x v="0"/>
    <x v="1"/>
    <n v="43"/>
    <x v="3"/>
    <x v="441"/>
    <n v="146140"/>
    <n v="0.15"/>
    <n v="168061"/>
    <x v="0"/>
    <x v="0"/>
    <m/>
    <n v="0"/>
  </r>
  <r>
    <x v="451"/>
    <x v="11"/>
    <x v="5"/>
    <x v="2"/>
    <x v="0"/>
    <n v="64"/>
    <x v="0"/>
    <x v="442"/>
    <n v="109456"/>
    <n v="0.1"/>
    <n v="120402"/>
    <x v="0"/>
    <x v="2"/>
    <m/>
    <n v="0"/>
  </r>
  <r>
    <x v="452"/>
    <x v="2"/>
    <x v="1"/>
    <x v="0"/>
    <x v="0"/>
    <n v="65"/>
    <x v="4"/>
    <x v="443"/>
    <n v="170221"/>
    <n v="0.15"/>
    <n v="195754"/>
    <x v="2"/>
    <x v="8"/>
    <m/>
    <n v="0"/>
  </r>
  <r>
    <x v="453"/>
    <x v="3"/>
    <x v="0"/>
    <x v="0"/>
    <x v="0"/>
    <n v="42"/>
    <x v="3"/>
    <x v="444"/>
    <n v="97433"/>
    <n v="0.05"/>
    <n v="102305"/>
    <x v="0"/>
    <x v="0"/>
    <d v="2015-08-08T00:00:00"/>
    <n v="1"/>
  </r>
  <r>
    <x v="454"/>
    <x v="5"/>
    <x v="2"/>
    <x v="1"/>
    <x v="1"/>
    <n v="35"/>
    <x v="3"/>
    <x v="445"/>
    <n v="59646"/>
    <n v="0"/>
    <n v="59646"/>
    <x v="1"/>
    <x v="6"/>
    <m/>
    <n v="0"/>
  </r>
  <r>
    <x v="455"/>
    <x v="2"/>
    <x v="5"/>
    <x v="2"/>
    <x v="1"/>
    <n v="64"/>
    <x v="0"/>
    <x v="446"/>
    <n v="158787"/>
    <n v="0.18"/>
    <n v="187369"/>
    <x v="1"/>
    <x v="11"/>
    <m/>
    <n v="0"/>
  </r>
  <r>
    <x v="456"/>
    <x v="8"/>
    <x v="5"/>
    <x v="0"/>
    <x v="1"/>
    <n v="55"/>
    <x v="0"/>
    <x v="447"/>
    <n v="83378"/>
    <n v="0"/>
    <n v="83378"/>
    <x v="1"/>
    <x v="10"/>
    <m/>
    <n v="0"/>
  </r>
  <r>
    <x v="457"/>
    <x v="4"/>
    <x v="6"/>
    <x v="3"/>
    <x v="0"/>
    <n v="32"/>
    <x v="2"/>
    <x v="448"/>
    <n v="88895"/>
    <n v="0"/>
    <n v="88895"/>
    <x v="0"/>
    <x v="2"/>
    <m/>
    <n v="0"/>
  </r>
  <r>
    <x v="458"/>
    <x v="2"/>
    <x v="6"/>
    <x v="3"/>
    <x v="1"/>
    <n v="45"/>
    <x v="1"/>
    <x v="449"/>
    <n v="168846"/>
    <n v="0.24"/>
    <n v="209369"/>
    <x v="1"/>
    <x v="1"/>
    <m/>
    <n v="0"/>
  </r>
  <r>
    <x v="459"/>
    <x v="20"/>
    <x v="4"/>
    <x v="0"/>
    <x v="1"/>
    <n v="35"/>
    <x v="3"/>
    <x v="450"/>
    <n v="43336"/>
    <n v="0"/>
    <n v="43336"/>
    <x v="0"/>
    <x v="5"/>
    <d v="2020-07-12T00:00:00"/>
    <n v="1"/>
  </r>
  <r>
    <x v="460"/>
    <x v="0"/>
    <x v="4"/>
    <x v="3"/>
    <x v="1"/>
    <n v="38"/>
    <x v="3"/>
    <x v="451"/>
    <n v="127801"/>
    <n v="0.15"/>
    <n v="146971"/>
    <x v="0"/>
    <x v="3"/>
    <m/>
    <n v="0"/>
  </r>
  <r>
    <x v="461"/>
    <x v="32"/>
    <x v="0"/>
    <x v="3"/>
    <x v="1"/>
    <n v="54"/>
    <x v="1"/>
    <x v="452"/>
    <n v="76352"/>
    <n v="0"/>
    <n v="76352"/>
    <x v="0"/>
    <x v="5"/>
    <m/>
    <n v="0"/>
  </r>
  <r>
    <x v="462"/>
    <x v="9"/>
    <x v="1"/>
    <x v="3"/>
    <x v="1"/>
    <n v="28"/>
    <x v="2"/>
    <x v="453"/>
    <n v="250767"/>
    <n v="0.38"/>
    <n v="346058"/>
    <x v="0"/>
    <x v="0"/>
    <m/>
    <n v="0"/>
  </r>
  <r>
    <x v="463"/>
    <x v="9"/>
    <x v="6"/>
    <x v="3"/>
    <x v="1"/>
    <n v="26"/>
    <x v="2"/>
    <x v="454"/>
    <n v="223055"/>
    <n v="0.3"/>
    <n v="289972"/>
    <x v="0"/>
    <x v="7"/>
    <m/>
    <n v="0"/>
  </r>
  <r>
    <x v="464"/>
    <x v="2"/>
    <x v="5"/>
    <x v="3"/>
    <x v="1"/>
    <n v="45"/>
    <x v="1"/>
    <x v="455"/>
    <n v="189680"/>
    <n v="0.23"/>
    <n v="233306"/>
    <x v="2"/>
    <x v="12"/>
    <m/>
    <n v="0"/>
  </r>
  <r>
    <x v="465"/>
    <x v="22"/>
    <x v="5"/>
    <x v="1"/>
    <x v="1"/>
    <n v="57"/>
    <x v="0"/>
    <x v="456"/>
    <n v="71167"/>
    <n v="0"/>
    <n v="71167"/>
    <x v="0"/>
    <x v="7"/>
    <m/>
    <n v="0"/>
  </r>
  <r>
    <x v="466"/>
    <x v="1"/>
    <x v="0"/>
    <x v="2"/>
    <x v="0"/>
    <n v="59"/>
    <x v="0"/>
    <x v="457"/>
    <n v="76027"/>
    <n v="0"/>
    <n v="76027"/>
    <x v="0"/>
    <x v="0"/>
    <m/>
    <n v="0"/>
  </r>
  <r>
    <x v="467"/>
    <x v="2"/>
    <x v="5"/>
    <x v="3"/>
    <x v="1"/>
    <n v="48"/>
    <x v="1"/>
    <x v="458"/>
    <n v="183113"/>
    <n v="0.24"/>
    <n v="227060"/>
    <x v="2"/>
    <x v="9"/>
    <m/>
    <n v="0"/>
  </r>
  <r>
    <x v="468"/>
    <x v="13"/>
    <x v="3"/>
    <x v="1"/>
    <x v="1"/>
    <n v="30"/>
    <x v="2"/>
    <x v="459"/>
    <n v="67753"/>
    <n v="0"/>
    <n v="67753"/>
    <x v="0"/>
    <x v="3"/>
    <m/>
    <n v="0"/>
  </r>
  <r>
    <x v="469"/>
    <x v="3"/>
    <x v="0"/>
    <x v="3"/>
    <x v="1"/>
    <n v="31"/>
    <x v="2"/>
    <x v="460"/>
    <n v="63744"/>
    <n v="0.08"/>
    <n v="68844"/>
    <x v="0"/>
    <x v="5"/>
    <m/>
    <n v="0"/>
  </r>
  <r>
    <x v="470"/>
    <x v="10"/>
    <x v="5"/>
    <x v="1"/>
    <x v="0"/>
    <n v="50"/>
    <x v="1"/>
    <x v="19"/>
    <n v="92209"/>
    <n v="0"/>
    <n v="92209"/>
    <x v="1"/>
    <x v="6"/>
    <m/>
    <n v="0"/>
  </r>
  <r>
    <x v="471"/>
    <x v="0"/>
    <x v="2"/>
    <x v="3"/>
    <x v="1"/>
    <n v="51"/>
    <x v="1"/>
    <x v="461"/>
    <n v="157487"/>
    <n v="0.12"/>
    <n v="176385"/>
    <x v="0"/>
    <x v="3"/>
    <m/>
    <n v="0"/>
  </r>
  <r>
    <x v="472"/>
    <x v="4"/>
    <x v="6"/>
    <x v="0"/>
    <x v="1"/>
    <n v="42"/>
    <x v="3"/>
    <x v="462"/>
    <n v="99697"/>
    <n v="0"/>
    <n v="99697"/>
    <x v="2"/>
    <x v="9"/>
    <m/>
    <n v="0"/>
  </r>
  <r>
    <x v="473"/>
    <x v="32"/>
    <x v="0"/>
    <x v="0"/>
    <x v="1"/>
    <n v="45"/>
    <x v="1"/>
    <x v="463"/>
    <n v="90770"/>
    <n v="0"/>
    <n v="90770"/>
    <x v="0"/>
    <x v="7"/>
    <m/>
    <n v="0"/>
  </r>
  <r>
    <x v="474"/>
    <x v="7"/>
    <x v="2"/>
    <x v="2"/>
    <x v="0"/>
    <n v="64"/>
    <x v="0"/>
    <x v="464"/>
    <n v="55369"/>
    <n v="0"/>
    <n v="55369"/>
    <x v="0"/>
    <x v="3"/>
    <m/>
    <n v="0"/>
  </r>
  <r>
    <x v="475"/>
    <x v="17"/>
    <x v="5"/>
    <x v="2"/>
    <x v="0"/>
    <n v="59"/>
    <x v="0"/>
    <x v="465"/>
    <n v="69578"/>
    <n v="0"/>
    <n v="69578"/>
    <x v="2"/>
    <x v="9"/>
    <m/>
    <n v="0"/>
  </r>
  <r>
    <x v="476"/>
    <x v="2"/>
    <x v="3"/>
    <x v="2"/>
    <x v="1"/>
    <n v="41"/>
    <x v="3"/>
    <x v="466"/>
    <n v="167526"/>
    <n v="0.26"/>
    <n v="211083"/>
    <x v="0"/>
    <x v="4"/>
    <m/>
    <n v="0"/>
  </r>
  <r>
    <x v="477"/>
    <x v="17"/>
    <x v="5"/>
    <x v="2"/>
    <x v="0"/>
    <n v="42"/>
    <x v="3"/>
    <x v="467"/>
    <n v="65507"/>
    <n v="0"/>
    <n v="65507"/>
    <x v="2"/>
    <x v="8"/>
    <m/>
    <n v="0"/>
  </r>
  <r>
    <x v="478"/>
    <x v="6"/>
    <x v="1"/>
    <x v="0"/>
    <x v="1"/>
    <n v="54"/>
    <x v="1"/>
    <x v="468"/>
    <n v="108268"/>
    <n v="0.09"/>
    <n v="118012"/>
    <x v="2"/>
    <x v="12"/>
    <d v="2004-05-15T00:00:00"/>
    <n v="1"/>
  </r>
  <r>
    <x v="479"/>
    <x v="1"/>
    <x v="0"/>
    <x v="0"/>
    <x v="1"/>
    <n v="37"/>
    <x v="3"/>
    <x v="469"/>
    <n v="80055"/>
    <n v="0"/>
    <n v="80055"/>
    <x v="1"/>
    <x v="10"/>
    <m/>
    <n v="0"/>
  </r>
  <r>
    <x v="480"/>
    <x v="4"/>
    <x v="2"/>
    <x v="0"/>
    <x v="1"/>
    <n v="58"/>
    <x v="0"/>
    <x v="470"/>
    <n v="76802"/>
    <n v="0"/>
    <n v="76802"/>
    <x v="2"/>
    <x v="8"/>
    <m/>
    <n v="0"/>
  </r>
  <r>
    <x v="481"/>
    <x v="9"/>
    <x v="2"/>
    <x v="2"/>
    <x v="1"/>
    <n v="47"/>
    <x v="1"/>
    <x v="471"/>
    <n v="253249"/>
    <n v="0.31"/>
    <n v="331756"/>
    <x v="0"/>
    <x v="5"/>
    <m/>
    <n v="0"/>
  </r>
  <r>
    <x v="482"/>
    <x v="15"/>
    <x v="4"/>
    <x v="0"/>
    <x v="0"/>
    <n v="60"/>
    <x v="0"/>
    <x v="472"/>
    <n v="78388"/>
    <n v="0"/>
    <n v="78388"/>
    <x v="1"/>
    <x v="1"/>
    <m/>
    <n v="0"/>
  </r>
  <r>
    <x v="483"/>
    <x v="9"/>
    <x v="0"/>
    <x v="3"/>
    <x v="1"/>
    <n v="38"/>
    <x v="3"/>
    <x v="473"/>
    <n v="249870"/>
    <n v="0.34"/>
    <n v="334826"/>
    <x v="0"/>
    <x v="2"/>
    <m/>
    <n v="0"/>
  </r>
  <r>
    <x v="484"/>
    <x v="0"/>
    <x v="6"/>
    <x v="1"/>
    <x v="1"/>
    <n v="63"/>
    <x v="0"/>
    <x v="474"/>
    <n v="148321"/>
    <n v="0.15"/>
    <n v="170569"/>
    <x v="1"/>
    <x v="10"/>
    <m/>
    <n v="0"/>
  </r>
  <r>
    <x v="485"/>
    <x v="31"/>
    <x v="0"/>
    <x v="3"/>
    <x v="0"/>
    <n v="60"/>
    <x v="0"/>
    <x v="475"/>
    <n v="90258"/>
    <n v="0"/>
    <n v="90258"/>
    <x v="1"/>
    <x v="1"/>
    <m/>
    <n v="0"/>
  </r>
  <r>
    <x v="486"/>
    <x v="27"/>
    <x v="0"/>
    <x v="1"/>
    <x v="0"/>
    <n v="42"/>
    <x v="3"/>
    <x v="476"/>
    <n v="72486"/>
    <n v="0"/>
    <n v="72486"/>
    <x v="0"/>
    <x v="0"/>
    <m/>
    <n v="0"/>
  </r>
  <r>
    <x v="487"/>
    <x v="4"/>
    <x v="1"/>
    <x v="3"/>
    <x v="1"/>
    <n v="34"/>
    <x v="2"/>
    <x v="477"/>
    <n v="95499"/>
    <n v="0"/>
    <n v="95499"/>
    <x v="2"/>
    <x v="12"/>
    <d v="2017-08-11T00:00:00"/>
    <n v="1"/>
  </r>
  <r>
    <x v="488"/>
    <x v="4"/>
    <x v="3"/>
    <x v="0"/>
    <x v="0"/>
    <n v="53"/>
    <x v="1"/>
    <x v="478"/>
    <n v="90212"/>
    <n v="0"/>
    <n v="90212"/>
    <x v="2"/>
    <x v="12"/>
    <m/>
    <n v="0"/>
  </r>
  <r>
    <x v="489"/>
    <x v="9"/>
    <x v="6"/>
    <x v="0"/>
    <x v="1"/>
    <n v="39"/>
    <x v="3"/>
    <x v="479"/>
    <n v="254057"/>
    <n v="0.39"/>
    <n v="353139"/>
    <x v="1"/>
    <x v="6"/>
    <m/>
    <n v="0"/>
  </r>
  <r>
    <x v="490"/>
    <x v="20"/>
    <x v="4"/>
    <x v="1"/>
    <x v="0"/>
    <n v="58"/>
    <x v="0"/>
    <x v="480"/>
    <n v="43001"/>
    <n v="0"/>
    <n v="43001"/>
    <x v="0"/>
    <x v="5"/>
    <m/>
    <n v="0"/>
  </r>
  <r>
    <x v="491"/>
    <x v="3"/>
    <x v="0"/>
    <x v="1"/>
    <x v="1"/>
    <n v="60"/>
    <x v="0"/>
    <x v="481"/>
    <n v="85120"/>
    <n v="0.09"/>
    <n v="92781"/>
    <x v="0"/>
    <x v="0"/>
    <m/>
    <n v="0"/>
  </r>
  <r>
    <x v="492"/>
    <x v="20"/>
    <x v="4"/>
    <x v="1"/>
    <x v="1"/>
    <n v="34"/>
    <x v="2"/>
    <x v="482"/>
    <n v="52200"/>
    <n v="0"/>
    <n v="52200"/>
    <x v="0"/>
    <x v="7"/>
    <m/>
    <n v="0"/>
  </r>
  <r>
    <x v="493"/>
    <x v="0"/>
    <x v="4"/>
    <x v="3"/>
    <x v="0"/>
    <n v="60"/>
    <x v="0"/>
    <x v="483"/>
    <n v="150855"/>
    <n v="0.11"/>
    <n v="167449"/>
    <x v="0"/>
    <x v="3"/>
    <m/>
    <n v="0"/>
  </r>
  <r>
    <x v="494"/>
    <x v="14"/>
    <x v="0"/>
    <x v="1"/>
    <x v="0"/>
    <n v="53"/>
    <x v="1"/>
    <x v="484"/>
    <n v="65702"/>
    <n v="0"/>
    <n v="65702"/>
    <x v="0"/>
    <x v="7"/>
    <m/>
    <n v="0"/>
  </r>
  <r>
    <x v="495"/>
    <x v="2"/>
    <x v="1"/>
    <x v="3"/>
    <x v="1"/>
    <n v="58"/>
    <x v="0"/>
    <x v="485"/>
    <n v="162038"/>
    <n v="0.24"/>
    <n v="200927"/>
    <x v="1"/>
    <x v="1"/>
    <m/>
    <n v="0"/>
  </r>
  <r>
    <x v="496"/>
    <x v="0"/>
    <x v="6"/>
    <x v="0"/>
    <x v="0"/>
    <n v="25"/>
    <x v="2"/>
    <x v="486"/>
    <n v="157057"/>
    <n v="0.1"/>
    <n v="172763"/>
    <x v="0"/>
    <x v="7"/>
    <m/>
    <n v="0"/>
  </r>
  <r>
    <x v="497"/>
    <x v="6"/>
    <x v="0"/>
    <x v="0"/>
    <x v="1"/>
    <n v="46"/>
    <x v="1"/>
    <x v="487"/>
    <n v="127559"/>
    <n v="0.1"/>
    <n v="140315"/>
    <x v="0"/>
    <x v="5"/>
    <m/>
    <n v="0"/>
  </r>
  <r>
    <x v="498"/>
    <x v="17"/>
    <x v="5"/>
    <x v="3"/>
    <x v="0"/>
    <n v="39"/>
    <x v="3"/>
    <x v="488"/>
    <n v="62644"/>
    <n v="0"/>
    <n v="62644"/>
    <x v="0"/>
    <x v="0"/>
    <m/>
    <n v="0"/>
  </r>
  <r>
    <x v="499"/>
    <x v="23"/>
    <x v="0"/>
    <x v="1"/>
    <x v="1"/>
    <n v="50"/>
    <x v="1"/>
    <x v="489"/>
    <n v="73907"/>
    <n v="0"/>
    <n v="73907"/>
    <x v="1"/>
    <x v="6"/>
    <m/>
    <n v="0"/>
  </r>
  <r>
    <x v="500"/>
    <x v="4"/>
    <x v="3"/>
    <x v="1"/>
    <x v="0"/>
    <n v="56"/>
    <x v="0"/>
    <x v="490"/>
    <n v="90040"/>
    <n v="0"/>
    <n v="90040"/>
    <x v="0"/>
    <x v="2"/>
    <m/>
    <n v="0"/>
  </r>
  <r>
    <x v="501"/>
    <x v="25"/>
    <x v="5"/>
    <x v="1"/>
    <x v="0"/>
    <n v="30"/>
    <x v="2"/>
    <x v="491"/>
    <n v="91134"/>
    <n v="0"/>
    <n v="91134"/>
    <x v="2"/>
    <x v="12"/>
    <m/>
    <n v="0"/>
  </r>
  <r>
    <x v="502"/>
    <x v="9"/>
    <x v="4"/>
    <x v="2"/>
    <x v="0"/>
    <n v="45"/>
    <x v="1"/>
    <x v="492"/>
    <n v="201396"/>
    <n v="0.32"/>
    <n v="265843"/>
    <x v="0"/>
    <x v="4"/>
    <m/>
    <n v="0"/>
  </r>
  <r>
    <x v="503"/>
    <x v="7"/>
    <x v="3"/>
    <x v="3"/>
    <x v="0"/>
    <n v="55"/>
    <x v="0"/>
    <x v="493"/>
    <n v="54733"/>
    <n v="0"/>
    <n v="54733"/>
    <x v="1"/>
    <x v="1"/>
    <m/>
    <n v="0"/>
  </r>
  <r>
    <x v="504"/>
    <x v="27"/>
    <x v="0"/>
    <x v="3"/>
    <x v="1"/>
    <n v="28"/>
    <x v="2"/>
    <x v="494"/>
    <n v="65341"/>
    <n v="0"/>
    <n v="65341"/>
    <x v="0"/>
    <x v="4"/>
    <d v="2022-04-11T00:00:00"/>
    <n v="1"/>
  </r>
  <r>
    <x v="505"/>
    <x v="0"/>
    <x v="1"/>
    <x v="3"/>
    <x v="0"/>
    <n v="59"/>
    <x v="0"/>
    <x v="495"/>
    <n v="139208"/>
    <n v="0.11"/>
    <n v="154521"/>
    <x v="0"/>
    <x v="5"/>
    <m/>
    <n v="0"/>
  </r>
  <r>
    <x v="506"/>
    <x v="4"/>
    <x v="2"/>
    <x v="2"/>
    <x v="1"/>
    <n v="63"/>
    <x v="0"/>
    <x v="496"/>
    <n v="73200"/>
    <n v="0"/>
    <n v="73200"/>
    <x v="1"/>
    <x v="6"/>
    <m/>
    <n v="0"/>
  </r>
  <r>
    <x v="507"/>
    <x v="6"/>
    <x v="3"/>
    <x v="2"/>
    <x v="0"/>
    <n v="46"/>
    <x v="1"/>
    <x v="497"/>
    <n v="102636"/>
    <n v="0.06"/>
    <n v="108794"/>
    <x v="0"/>
    <x v="0"/>
    <m/>
    <n v="0"/>
  </r>
  <r>
    <x v="508"/>
    <x v="26"/>
    <x v="2"/>
    <x v="2"/>
    <x v="0"/>
    <n v="26"/>
    <x v="2"/>
    <x v="498"/>
    <n v="87427"/>
    <n v="0"/>
    <n v="87427"/>
    <x v="2"/>
    <x v="12"/>
    <m/>
    <n v="0"/>
  </r>
  <r>
    <x v="509"/>
    <x v="12"/>
    <x v="0"/>
    <x v="0"/>
    <x v="1"/>
    <n v="45"/>
    <x v="1"/>
    <x v="499"/>
    <n v="49219"/>
    <n v="0"/>
    <n v="49219"/>
    <x v="0"/>
    <x v="7"/>
    <m/>
    <n v="0"/>
  </r>
  <r>
    <x v="510"/>
    <x v="6"/>
    <x v="1"/>
    <x v="1"/>
    <x v="1"/>
    <n v="50"/>
    <x v="1"/>
    <x v="342"/>
    <n v="106437"/>
    <n v="0.07"/>
    <n v="113888"/>
    <x v="1"/>
    <x v="1"/>
    <m/>
    <n v="0"/>
  </r>
  <r>
    <x v="511"/>
    <x v="13"/>
    <x v="1"/>
    <x v="1"/>
    <x v="1"/>
    <n v="46"/>
    <x v="1"/>
    <x v="500"/>
    <n v="64364"/>
    <n v="0"/>
    <n v="64364"/>
    <x v="2"/>
    <x v="12"/>
    <m/>
    <n v="0"/>
  </r>
  <r>
    <x v="512"/>
    <x v="2"/>
    <x v="4"/>
    <x v="1"/>
    <x v="1"/>
    <n v="50"/>
    <x v="1"/>
    <x v="501"/>
    <n v="172180"/>
    <n v="0.3"/>
    <n v="223834"/>
    <x v="0"/>
    <x v="7"/>
    <m/>
    <n v="0"/>
  </r>
  <r>
    <x v="513"/>
    <x v="4"/>
    <x v="2"/>
    <x v="1"/>
    <x v="0"/>
    <n v="33"/>
    <x v="2"/>
    <x v="502"/>
    <n v="88343"/>
    <n v="0"/>
    <n v="88343"/>
    <x v="2"/>
    <x v="9"/>
    <m/>
    <n v="0"/>
  </r>
  <r>
    <x v="514"/>
    <x v="29"/>
    <x v="0"/>
    <x v="2"/>
    <x v="1"/>
    <n v="57"/>
    <x v="0"/>
    <x v="503"/>
    <n v="66649"/>
    <n v="0"/>
    <n v="66649"/>
    <x v="2"/>
    <x v="9"/>
    <m/>
    <n v="0"/>
  </r>
  <r>
    <x v="515"/>
    <x v="6"/>
    <x v="1"/>
    <x v="3"/>
    <x v="0"/>
    <n v="48"/>
    <x v="1"/>
    <x v="504"/>
    <n v="102847"/>
    <n v="0.05"/>
    <n v="107989"/>
    <x v="0"/>
    <x v="2"/>
    <m/>
    <n v="0"/>
  </r>
  <r>
    <x v="516"/>
    <x v="0"/>
    <x v="1"/>
    <x v="1"/>
    <x v="1"/>
    <n v="46"/>
    <x v="1"/>
    <x v="505"/>
    <n v="134881"/>
    <n v="0.15"/>
    <n v="155113"/>
    <x v="2"/>
    <x v="8"/>
    <m/>
    <n v="0"/>
  </r>
  <r>
    <x v="517"/>
    <x v="13"/>
    <x v="6"/>
    <x v="1"/>
    <x v="1"/>
    <n v="52"/>
    <x v="1"/>
    <x v="506"/>
    <n v="68807"/>
    <n v="0"/>
    <n v="68807"/>
    <x v="1"/>
    <x v="11"/>
    <d v="2015-11-30T00:00:00"/>
    <n v="1"/>
  </r>
  <r>
    <x v="518"/>
    <x v="9"/>
    <x v="0"/>
    <x v="1"/>
    <x v="1"/>
    <n v="56"/>
    <x v="0"/>
    <x v="507"/>
    <n v="228822"/>
    <n v="0.36"/>
    <n v="311198"/>
    <x v="0"/>
    <x v="4"/>
    <m/>
    <n v="0"/>
  </r>
  <r>
    <x v="519"/>
    <x v="7"/>
    <x v="6"/>
    <x v="1"/>
    <x v="1"/>
    <n v="28"/>
    <x v="2"/>
    <x v="508"/>
    <n v="43391"/>
    <n v="0"/>
    <n v="43391"/>
    <x v="0"/>
    <x v="7"/>
    <m/>
    <n v="0"/>
  </r>
  <r>
    <x v="520"/>
    <x v="10"/>
    <x v="5"/>
    <x v="2"/>
    <x v="1"/>
    <n v="29"/>
    <x v="2"/>
    <x v="509"/>
    <n v="91782"/>
    <n v="0"/>
    <n v="91782"/>
    <x v="1"/>
    <x v="1"/>
    <m/>
    <n v="0"/>
  </r>
  <r>
    <x v="521"/>
    <x v="9"/>
    <x v="6"/>
    <x v="3"/>
    <x v="0"/>
    <n v="45"/>
    <x v="1"/>
    <x v="510"/>
    <n v="211637"/>
    <n v="0.31"/>
    <n v="277244"/>
    <x v="0"/>
    <x v="2"/>
    <m/>
    <n v="0"/>
  </r>
  <r>
    <x v="522"/>
    <x v="3"/>
    <x v="0"/>
    <x v="1"/>
    <x v="1"/>
    <n v="28"/>
    <x v="2"/>
    <x v="511"/>
    <n v="73255"/>
    <n v="0.09"/>
    <n v="79848"/>
    <x v="0"/>
    <x v="3"/>
    <m/>
    <n v="0"/>
  </r>
  <r>
    <x v="523"/>
    <x v="6"/>
    <x v="2"/>
    <x v="3"/>
    <x v="1"/>
    <n v="28"/>
    <x v="2"/>
    <x v="512"/>
    <n v="108826"/>
    <n v="0.1"/>
    <n v="119709"/>
    <x v="0"/>
    <x v="4"/>
    <m/>
    <n v="0"/>
  </r>
  <r>
    <x v="524"/>
    <x v="29"/>
    <x v="0"/>
    <x v="2"/>
    <x v="1"/>
    <n v="34"/>
    <x v="2"/>
    <x v="513"/>
    <n v="94352"/>
    <n v="0"/>
    <n v="94352"/>
    <x v="0"/>
    <x v="4"/>
    <m/>
    <n v="0"/>
  </r>
  <r>
    <x v="525"/>
    <x v="30"/>
    <x v="0"/>
    <x v="0"/>
    <x v="0"/>
    <n v="55"/>
    <x v="0"/>
    <x v="514"/>
    <n v="73955"/>
    <n v="0"/>
    <n v="73955"/>
    <x v="0"/>
    <x v="3"/>
    <m/>
    <n v="0"/>
  </r>
  <r>
    <x v="526"/>
    <x v="6"/>
    <x v="4"/>
    <x v="1"/>
    <x v="1"/>
    <n v="34"/>
    <x v="2"/>
    <x v="515"/>
    <n v="113909"/>
    <n v="0.06"/>
    <n v="120744"/>
    <x v="2"/>
    <x v="9"/>
    <m/>
    <n v="0"/>
  </r>
  <r>
    <x v="527"/>
    <x v="32"/>
    <x v="0"/>
    <x v="1"/>
    <x v="1"/>
    <n v="27"/>
    <x v="2"/>
    <x v="516"/>
    <n v="92321"/>
    <n v="0"/>
    <n v="92321"/>
    <x v="0"/>
    <x v="2"/>
    <m/>
    <n v="0"/>
  </r>
  <r>
    <x v="528"/>
    <x v="3"/>
    <x v="0"/>
    <x v="0"/>
    <x v="1"/>
    <n v="52"/>
    <x v="1"/>
    <x v="517"/>
    <n v="99557"/>
    <n v="0.09"/>
    <n v="108517"/>
    <x v="0"/>
    <x v="0"/>
    <m/>
    <n v="0"/>
  </r>
  <r>
    <x v="529"/>
    <x v="18"/>
    <x v="5"/>
    <x v="2"/>
    <x v="0"/>
    <n v="28"/>
    <x v="2"/>
    <x v="518"/>
    <n v="115854"/>
    <n v="0"/>
    <n v="115854"/>
    <x v="0"/>
    <x v="3"/>
    <m/>
    <n v="0"/>
  </r>
  <r>
    <x v="530"/>
    <x v="30"/>
    <x v="0"/>
    <x v="1"/>
    <x v="0"/>
    <n v="44"/>
    <x v="3"/>
    <x v="519"/>
    <n v="82462"/>
    <n v="0"/>
    <n v="82462"/>
    <x v="0"/>
    <x v="5"/>
    <m/>
    <n v="0"/>
  </r>
  <r>
    <x v="531"/>
    <x v="9"/>
    <x v="0"/>
    <x v="0"/>
    <x v="0"/>
    <n v="53"/>
    <x v="1"/>
    <x v="520"/>
    <n v="198473"/>
    <n v="0.32"/>
    <n v="261984"/>
    <x v="0"/>
    <x v="4"/>
    <m/>
    <n v="0"/>
  </r>
  <r>
    <x v="532"/>
    <x v="0"/>
    <x v="1"/>
    <x v="3"/>
    <x v="0"/>
    <n v="43"/>
    <x v="3"/>
    <x v="521"/>
    <n v="153492"/>
    <n v="0.11"/>
    <n v="170376"/>
    <x v="0"/>
    <x v="2"/>
    <m/>
    <n v="0"/>
  </r>
  <r>
    <x v="533"/>
    <x v="9"/>
    <x v="4"/>
    <x v="3"/>
    <x v="0"/>
    <n v="28"/>
    <x v="2"/>
    <x v="522"/>
    <n v="208210"/>
    <n v="0.3"/>
    <n v="270673"/>
    <x v="0"/>
    <x v="0"/>
    <m/>
    <n v="0"/>
  </r>
  <r>
    <x v="534"/>
    <x v="4"/>
    <x v="6"/>
    <x v="3"/>
    <x v="1"/>
    <n v="33"/>
    <x v="2"/>
    <x v="523"/>
    <n v="91632"/>
    <n v="0"/>
    <n v="91632"/>
    <x v="0"/>
    <x v="3"/>
    <m/>
    <n v="0"/>
  </r>
  <r>
    <x v="535"/>
    <x v="16"/>
    <x v="4"/>
    <x v="3"/>
    <x v="1"/>
    <n v="31"/>
    <x v="2"/>
    <x v="524"/>
    <n v="71755"/>
    <n v="0"/>
    <n v="71755"/>
    <x v="1"/>
    <x v="1"/>
    <m/>
    <n v="0"/>
  </r>
  <r>
    <x v="536"/>
    <x v="6"/>
    <x v="3"/>
    <x v="3"/>
    <x v="0"/>
    <n v="52"/>
    <x v="1"/>
    <x v="525"/>
    <n v="111006"/>
    <n v="0.08"/>
    <n v="119886"/>
    <x v="1"/>
    <x v="1"/>
    <m/>
    <n v="0"/>
  </r>
  <r>
    <x v="537"/>
    <x v="21"/>
    <x v="0"/>
    <x v="3"/>
    <x v="1"/>
    <n v="55"/>
    <x v="0"/>
    <x v="526"/>
    <n v="99774"/>
    <n v="0"/>
    <n v="99774"/>
    <x v="0"/>
    <x v="5"/>
    <m/>
    <n v="0"/>
  </r>
  <r>
    <x v="538"/>
    <x v="2"/>
    <x v="0"/>
    <x v="0"/>
    <x v="1"/>
    <n v="55"/>
    <x v="0"/>
    <x v="527"/>
    <n v="184648"/>
    <n v="0.24"/>
    <n v="228964"/>
    <x v="1"/>
    <x v="6"/>
    <m/>
    <n v="0"/>
  </r>
  <r>
    <x v="539"/>
    <x v="9"/>
    <x v="0"/>
    <x v="1"/>
    <x v="1"/>
    <n v="51"/>
    <x v="1"/>
    <x v="528"/>
    <n v="247874"/>
    <n v="0.33"/>
    <n v="329672"/>
    <x v="2"/>
    <x v="8"/>
    <m/>
    <n v="0"/>
  </r>
  <r>
    <x v="540"/>
    <x v="25"/>
    <x v="5"/>
    <x v="1"/>
    <x v="1"/>
    <n v="60"/>
    <x v="0"/>
    <x v="529"/>
    <n v="62239"/>
    <n v="0"/>
    <n v="62239"/>
    <x v="1"/>
    <x v="10"/>
    <m/>
    <n v="0"/>
  </r>
  <r>
    <x v="541"/>
    <x v="6"/>
    <x v="3"/>
    <x v="2"/>
    <x v="0"/>
    <n v="31"/>
    <x v="2"/>
    <x v="530"/>
    <n v="114911"/>
    <n v="0.07"/>
    <n v="122955"/>
    <x v="0"/>
    <x v="2"/>
    <m/>
    <n v="0"/>
  </r>
  <r>
    <x v="542"/>
    <x v="11"/>
    <x v="5"/>
    <x v="3"/>
    <x v="1"/>
    <n v="45"/>
    <x v="1"/>
    <x v="531"/>
    <n v="115490"/>
    <n v="0.12"/>
    <n v="129349"/>
    <x v="0"/>
    <x v="2"/>
    <m/>
    <n v="0"/>
  </r>
  <r>
    <x v="543"/>
    <x v="6"/>
    <x v="3"/>
    <x v="2"/>
    <x v="1"/>
    <n v="34"/>
    <x v="2"/>
    <x v="532"/>
    <n v="118708"/>
    <n v="0.07"/>
    <n v="127018"/>
    <x v="1"/>
    <x v="6"/>
    <m/>
    <n v="0"/>
  </r>
  <r>
    <x v="544"/>
    <x v="2"/>
    <x v="3"/>
    <x v="2"/>
    <x v="0"/>
    <n v="29"/>
    <x v="2"/>
    <x v="533"/>
    <n v="197649"/>
    <n v="0.2"/>
    <n v="237179"/>
    <x v="0"/>
    <x v="7"/>
    <m/>
    <n v="0"/>
  </r>
  <r>
    <x v="545"/>
    <x v="4"/>
    <x v="3"/>
    <x v="2"/>
    <x v="0"/>
    <n v="45"/>
    <x v="1"/>
    <x v="534"/>
    <n v="89841"/>
    <n v="0"/>
    <n v="89841"/>
    <x v="1"/>
    <x v="10"/>
    <m/>
    <n v="0"/>
  </r>
  <r>
    <x v="546"/>
    <x v="13"/>
    <x v="1"/>
    <x v="2"/>
    <x v="0"/>
    <n v="52"/>
    <x v="1"/>
    <x v="535"/>
    <n v="61026"/>
    <n v="0"/>
    <n v="61026"/>
    <x v="0"/>
    <x v="3"/>
    <m/>
    <n v="0"/>
  </r>
  <r>
    <x v="547"/>
    <x v="8"/>
    <x v="5"/>
    <x v="2"/>
    <x v="0"/>
    <n v="48"/>
    <x v="1"/>
    <x v="536"/>
    <n v="96693"/>
    <n v="0"/>
    <n v="96693"/>
    <x v="0"/>
    <x v="2"/>
    <m/>
    <n v="0"/>
  </r>
  <r>
    <x v="548"/>
    <x v="22"/>
    <x v="5"/>
    <x v="2"/>
    <x v="0"/>
    <n v="48"/>
    <x v="1"/>
    <x v="537"/>
    <n v="82907"/>
    <n v="0"/>
    <n v="82907"/>
    <x v="0"/>
    <x v="0"/>
    <m/>
    <n v="0"/>
  </r>
  <r>
    <x v="549"/>
    <x v="9"/>
    <x v="6"/>
    <x v="3"/>
    <x v="1"/>
    <n v="41"/>
    <x v="3"/>
    <x v="538"/>
    <n v="257194"/>
    <n v="0.35"/>
    <n v="347212"/>
    <x v="1"/>
    <x v="1"/>
    <m/>
    <n v="0"/>
  </r>
  <r>
    <x v="550"/>
    <x v="10"/>
    <x v="5"/>
    <x v="0"/>
    <x v="1"/>
    <n v="41"/>
    <x v="3"/>
    <x v="539"/>
    <n v="94658"/>
    <n v="0"/>
    <n v="94658"/>
    <x v="0"/>
    <x v="4"/>
    <m/>
    <n v="0"/>
  </r>
  <r>
    <x v="551"/>
    <x v="10"/>
    <x v="5"/>
    <x v="0"/>
    <x v="1"/>
    <n v="55"/>
    <x v="0"/>
    <x v="540"/>
    <n v="89419"/>
    <n v="0"/>
    <n v="89419"/>
    <x v="1"/>
    <x v="6"/>
    <m/>
    <n v="0"/>
  </r>
  <r>
    <x v="552"/>
    <x v="16"/>
    <x v="4"/>
    <x v="1"/>
    <x v="1"/>
    <n v="45"/>
    <x v="1"/>
    <x v="541"/>
    <n v="51983"/>
    <n v="0"/>
    <n v="51983"/>
    <x v="0"/>
    <x v="7"/>
    <m/>
    <n v="0"/>
  </r>
  <r>
    <x v="553"/>
    <x v="2"/>
    <x v="1"/>
    <x v="3"/>
    <x v="0"/>
    <n v="53"/>
    <x v="1"/>
    <x v="542"/>
    <n v="179494"/>
    <n v="0.2"/>
    <n v="215393"/>
    <x v="1"/>
    <x v="1"/>
    <m/>
    <n v="0"/>
  </r>
  <r>
    <x v="554"/>
    <x v="30"/>
    <x v="0"/>
    <x v="3"/>
    <x v="1"/>
    <n v="49"/>
    <x v="1"/>
    <x v="543"/>
    <n v="68426"/>
    <n v="0"/>
    <n v="68426"/>
    <x v="2"/>
    <x v="9"/>
    <m/>
    <n v="0"/>
  </r>
  <r>
    <x v="555"/>
    <x v="0"/>
    <x v="1"/>
    <x v="3"/>
    <x v="0"/>
    <n v="55"/>
    <x v="0"/>
    <x v="544"/>
    <n v="144986"/>
    <n v="0.12"/>
    <n v="162384"/>
    <x v="0"/>
    <x v="3"/>
    <m/>
    <n v="0"/>
  </r>
  <r>
    <x v="556"/>
    <x v="5"/>
    <x v="2"/>
    <x v="2"/>
    <x v="0"/>
    <n v="45"/>
    <x v="1"/>
    <x v="545"/>
    <n v="60113"/>
    <n v="0"/>
    <n v="60113"/>
    <x v="0"/>
    <x v="2"/>
    <m/>
    <n v="0"/>
  </r>
  <r>
    <x v="557"/>
    <x v="16"/>
    <x v="4"/>
    <x v="0"/>
    <x v="0"/>
    <n v="52"/>
    <x v="1"/>
    <x v="546"/>
    <n v="50548"/>
    <n v="0"/>
    <n v="50548"/>
    <x v="2"/>
    <x v="12"/>
    <m/>
    <n v="0"/>
  </r>
  <r>
    <x v="558"/>
    <x v="13"/>
    <x v="6"/>
    <x v="1"/>
    <x v="0"/>
    <n v="33"/>
    <x v="2"/>
    <x v="547"/>
    <n v="68846"/>
    <n v="0"/>
    <n v="68846"/>
    <x v="0"/>
    <x v="2"/>
    <m/>
    <n v="0"/>
  </r>
  <r>
    <x v="559"/>
    <x v="29"/>
    <x v="0"/>
    <x v="3"/>
    <x v="0"/>
    <n v="59"/>
    <x v="0"/>
    <x v="548"/>
    <n v="90901"/>
    <n v="0"/>
    <n v="90901"/>
    <x v="0"/>
    <x v="0"/>
    <m/>
    <n v="0"/>
  </r>
  <r>
    <x v="560"/>
    <x v="6"/>
    <x v="3"/>
    <x v="3"/>
    <x v="0"/>
    <n v="50"/>
    <x v="1"/>
    <x v="549"/>
    <n v="102033"/>
    <n v="0.08"/>
    <n v="110196"/>
    <x v="0"/>
    <x v="5"/>
    <m/>
    <n v="0"/>
  </r>
  <r>
    <x v="561"/>
    <x v="2"/>
    <x v="2"/>
    <x v="1"/>
    <x v="0"/>
    <n v="61"/>
    <x v="0"/>
    <x v="550"/>
    <n v="151783"/>
    <n v="0.26"/>
    <n v="191247"/>
    <x v="0"/>
    <x v="0"/>
    <m/>
    <n v="0"/>
  </r>
  <r>
    <x v="562"/>
    <x v="2"/>
    <x v="5"/>
    <x v="3"/>
    <x v="0"/>
    <n v="27"/>
    <x v="2"/>
    <x v="551"/>
    <n v="170164"/>
    <n v="0.17"/>
    <n v="199092"/>
    <x v="0"/>
    <x v="5"/>
    <m/>
    <n v="0"/>
  </r>
  <r>
    <x v="563"/>
    <x v="0"/>
    <x v="6"/>
    <x v="2"/>
    <x v="0"/>
    <n v="35"/>
    <x v="3"/>
    <x v="552"/>
    <n v="155905"/>
    <n v="0.14"/>
    <n v="177732"/>
    <x v="0"/>
    <x v="3"/>
    <m/>
    <n v="0"/>
  </r>
  <r>
    <x v="564"/>
    <x v="7"/>
    <x v="2"/>
    <x v="3"/>
    <x v="1"/>
    <n v="40"/>
    <x v="3"/>
    <x v="553"/>
    <n v="50733"/>
    <n v="0"/>
    <n v="50733"/>
    <x v="0"/>
    <x v="4"/>
    <m/>
    <n v="0"/>
  </r>
  <r>
    <x v="565"/>
    <x v="15"/>
    <x v="4"/>
    <x v="3"/>
    <x v="0"/>
    <n v="30"/>
    <x v="2"/>
    <x v="554"/>
    <n v="88663"/>
    <n v="0"/>
    <n v="88663"/>
    <x v="0"/>
    <x v="3"/>
    <m/>
    <n v="0"/>
  </r>
  <r>
    <x v="566"/>
    <x v="17"/>
    <x v="5"/>
    <x v="1"/>
    <x v="1"/>
    <n v="60"/>
    <x v="0"/>
    <x v="555"/>
    <n v="88213"/>
    <n v="0"/>
    <n v="88213"/>
    <x v="1"/>
    <x v="1"/>
    <m/>
    <n v="0"/>
  </r>
  <r>
    <x v="567"/>
    <x v="13"/>
    <x v="2"/>
    <x v="2"/>
    <x v="1"/>
    <n v="55"/>
    <x v="0"/>
    <x v="556"/>
    <n v="67130"/>
    <n v="0"/>
    <n v="67130"/>
    <x v="0"/>
    <x v="4"/>
    <m/>
    <n v="0"/>
  </r>
  <r>
    <x v="568"/>
    <x v="4"/>
    <x v="1"/>
    <x v="2"/>
    <x v="0"/>
    <n v="33"/>
    <x v="2"/>
    <x v="557"/>
    <n v="94876"/>
    <n v="0"/>
    <n v="94876"/>
    <x v="0"/>
    <x v="4"/>
    <m/>
    <n v="0"/>
  </r>
  <r>
    <x v="569"/>
    <x v="25"/>
    <x v="5"/>
    <x v="2"/>
    <x v="1"/>
    <n v="62"/>
    <x v="0"/>
    <x v="558"/>
    <n v="98230"/>
    <n v="0"/>
    <n v="98230"/>
    <x v="0"/>
    <x v="4"/>
    <m/>
    <n v="0"/>
  </r>
  <r>
    <x v="570"/>
    <x v="22"/>
    <x v="5"/>
    <x v="0"/>
    <x v="0"/>
    <n v="36"/>
    <x v="3"/>
    <x v="559"/>
    <n v="96757"/>
    <n v="0"/>
    <n v="96757"/>
    <x v="0"/>
    <x v="7"/>
    <m/>
    <n v="0"/>
  </r>
  <r>
    <x v="571"/>
    <x v="13"/>
    <x v="6"/>
    <x v="1"/>
    <x v="1"/>
    <n v="35"/>
    <x v="3"/>
    <x v="560"/>
    <n v="51513"/>
    <n v="0"/>
    <n v="51513"/>
    <x v="0"/>
    <x v="7"/>
    <m/>
    <n v="0"/>
  </r>
  <r>
    <x v="572"/>
    <x v="9"/>
    <x v="6"/>
    <x v="3"/>
    <x v="1"/>
    <n v="60"/>
    <x v="0"/>
    <x v="561"/>
    <n v="234311"/>
    <n v="0.37"/>
    <n v="321006"/>
    <x v="0"/>
    <x v="4"/>
    <m/>
    <n v="0"/>
  </r>
  <r>
    <x v="573"/>
    <x v="0"/>
    <x v="4"/>
    <x v="2"/>
    <x v="0"/>
    <n v="45"/>
    <x v="1"/>
    <x v="562"/>
    <n v="152353"/>
    <n v="0.14"/>
    <n v="173682"/>
    <x v="0"/>
    <x v="0"/>
    <m/>
    <n v="0"/>
  </r>
  <r>
    <x v="574"/>
    <x v="0"/>
    <x v="3"/>
    <x v="2"/>
    <x v="0"/>
    <n v="48"/>
    <x v="1"/>
    <x v="563"/>
    <n v="124774"/>
    <n v="0.12"/>
    <n v="139747"/>
    <x v="0"/>
    <x v="3"/>
    <m/>
    <n v="0"/>
  </r>
  <r>
    <x v="575"/>
    <x v="2"/>
    <x v="6"/>
    <x v="3"/>
    <x v="0"/>
    <n v="36"/>
    <x v="3"/>
    <x v="564"/>
    <n v="157070"/>
    <n v="0.28"/>
    <n v="201050"/>
    <x v="1"/>
    <x v="1"/>
    <m/>
    <n v="0"/>
  </r>
  <r>
    <x v="576"/>
    <x v="0"/>
    <x v="1"/>
    <x v="2"/>
    <x v="1"/>
    <n v="44"/>
    <x v="3"/>
    <x v="565"/>
    <n v="130133"/>
    <n v="0.15"/>
    <n v="149653"/>
    <x v="0"/>
    <x v="5"/>
    <d v="2022-05-18T00:00:00"/>
    <n v="1"/>
  </r>
  <r>
    <x v="577"/>
    <x v="6"/>
    <x v="6"/>
    <x v="1"/>
    <x v="0"/>
    <n v="64"/>
    <x v="0"/>
    <x v="566"/>
    <n v="108780"/>
    <n v="0.06"/>
    <n v="115307"/>
    <x v="1"/>
    <x v="6"/>
    <m/>
    <n v="0"/>
  </r>
  <r>
    <x v="578"/>
    <x v="2"/>
    <x v="5"/>
    <x v="2"/>
    <x v="0"/>
    <n v="46"/>
    <x v="1"/>
    <x v="567"/>
    <n v="151853"/>
    <n v="0.16"/>
    <n v="176149"/>
    <x v="1"/>
    <x v="11"/>
    <m/>
    <n v="0"/>
  </r>
  <r>
    <x v="579"/>
    <x v="5"/>
    <x v="2"/>
    <x v="1"/>
    <x v="0"/>
    <n v="62"/>
    <x v="0"/>
    <x v="568"/>
    <n v="64669"/>
    <n v="0"/>
    <n v="64669"/>
    <x v="1"/>
    <x v="1"/>
    <m/>
    <n v="0"/>
  </r>
  <r>
    <x v="580"/>
    <x v="13"/>
    <x v="6"/>
    <x v="0"/>
    <x v="1"/>
    <n v="61"/>
    <x v="0"/>
    <x v="240"/>
    <n v="69352"/>
    <n v="0"/>
    <n v="69352"/>
    <x v="2"/>
    <x v="9"/>
    <m/>
    <n v="0"/>
  </r>
  <r>
    <x v="581"/>
    <x v="13"/>
    <x v="6"/>
    <x v="0"/>
    <x v="1"/>
    <n v="65"/>
    <x v="4"/>
    <x v="569"/>
    <n v="74631"/>
    <n v="0"/>
    <n v="74631"/>
    <x v="1"/>
    <x v="1"/>
    <m/>
    <n v="0"/>
  </r>
  <r>
    <x v="582"/>
    <x v="10"/>
    <x v="5"/>
    <x v="2"/>
    <x v="1"/>
    <n v="54"/>
    <x v="1"/>
    <x v="570"/>
    <n v="96441"/>
    <n v="0"/>
    <n v="96441"/>
    <x v="2"/>
    <x v="12"/>
    <m/>
    <n v="0"/>
  </r>
  <r>
    <x v="583"/>
    <x v="11"/>
    <x v="5"/>
    <x v="2"/>
    <x v="1"/>
    <n v="46"/>
    <x v="1"/>
    <x v="571"/>
    <n v="114250"/>
    <n v="0.14"/>
    <n v="130245"/>
    <x v="1"/>
    <x v="11"/>
    <m/>
    <n v="0"/>
  </r>
  <r>
    <x v="584"/>
    <x v="3"/>
    <x v="0"/>
    <x v="3"/>
    <x v="1"/>
    <n v="36"/>
    <x v="3"/>
    <x v="572"/>
    <n v="70165"/>
    <n v="0.07"/>
    <n v="75077"/>
    <x v="2"/>
    <x v="8"/>
    <m/>
    <n v="0"/>
  </r>
  <r>
    <x v="585"/>
    <x v="6"/>
    <x v="0"/>
    <x v="3"/>
    <x v="1"/>
    <n v="60"/>
    <x v="0"/>
    <x v="573"/>
    <n v="109059"/>
    <n v="0.07"/>
    <n v="116693"/>
    <x v="1"/>
    <x v="11"/>
    <m/>
    <n v="0"/>
  </r>
  <r>
    <x v="586"/>
    <x v="19"/>
    <x v="5"/>
    <x v="0"/>
    <x v="0"/>
    <n v="30"/>
    <x v="2"/>
    <x v="574"/>
    <n v="77442"/>
    <n v="0"/>
    <n v="77442"/>
    <x v="0"/>
    <x v="7"/>
    <m/>
    <n v="0"/>
  </r>
  <r>
    <x v="587"/>
    <x v="13"/>
    <x v="2"/>
    <x v="3"/>
    <x v="0"/>
    <n v="34"/>
    <x v="2"/>
    <x v="575"/>
    <n v="72126"/>
    <n v="0"/>
    <n v="72126"/>
    <x v="2"/>
    <x v="8"/>
    <m/>
    <n v="0"/>
  </r>
  <r>
    <x v="588"/>
    <x v="31"/>
    <x v="0"/>
    <x v="1"/>
    <x v="1"/>
    <n v="55"/>
    <x v="0"/>
    <x v="576"/>
    <n v="70334"/>
    <n v="0"/>
    <n v="70334"/>
    <x v="0"/>
    <x v="4"/>
    <m/>
    <n v="0"/>
  </r>
  <r>
    <x v="589"/>
    <x v="10"/>
    <x v="5"/>
    <x v="0"/>
    <x v="1"/>
    <n v="59"/>
    <x v="0"/>
    <x v="577"/>
    <n v="78006"/>
    <n v="0"/>
    <n v="78006"/>
    <x v="0"/>
    <x v="4"/>
    <m/>
    <n v="0"/>
  </r>
  <r>
    <x v="590"/>
    <x v="2"/>
    <x v="0"/>
    <x v="1"/>
    <x v="0"/>
    <n v="28"/>
    <x v="2"/>
    <x v="578"/>
    <n v="160385"/>
    <n v="0.23"/>
    <n v="197274"/>
    <x v="0"/>
    <x v="4"/>
    <d v="2021-05-18T00:00:00"/>
    <n v="1"/>
  </r>
  <r>
    <x v="591"/>
    <x v="9"/>
    <x v="1"/>
    <x v="3"/>
    <x v="0"/>
    <n v="36"/>
    <x v="3"/>
    <x v="579"/>
    <n v="202323"/>
    <n v="0.39"/>
    <n v="281229"/>
    <x v="0"/>
    <x v="2"/>
    <m/>
    <n v="0"/>
  </r>
  <r>
    <x v="592"/>
    <x v="0"/>
    <x v="4"/>
    <x v="3"/>
    <x v="0"/>
    <n v="29"/>
    <x v="2"/>
    <x v="580"/>
    <n v="141555"/>
    <n v="0.11"/>
    <n v="157126"/>
    <x v="2"/>
    <x v="8"/>
    <m/>
    <n v="0"/>
  </r>
  <r>
    <x v="593"/>
    <x v="2"/>
    <x v="1"/>
    <x v="2"/>
    <x v="0"/>
    <n v="34"/>
    <x v="2"/>
    <x v="581"/>
    <n v="184960"/>
    <n v="0.18"/>
    <n v="218253"/>
    <x v="0"/>
    <x v="0"/>
    <m/>
    <n v="0"/>
  </r>
  <r>
    <x v="594"/>
    <x v="9"/>
    <x v="0"/>
    <x v="1"/>
    <x v="1"/>
    <n v="37"/>
    <x v="3"/>
    <x v="582"/>
    <n v="221592"/>
    <n v="0.31"/>
    <n v="290286"/>
    <x v="0"/>
    <x v="7"/>
    <m/>
    <n v="0"/>
  </r>
  <r>
    <x v="595"/>
    <x v="16"/>
    <x v="4"/>
    <x v="1"/>
    <x v="0"/>
    <n v="44"/>
    <x v="3"/>
    <x v="583"/>
    <n v="53301"/>
    <n v="0"/>
    <n v="53301"/>
    <x v="0"/>
    <x v="0"/>
    <m/>
    <n v="0"/>
  </r>
  <r>
    <x v="596"/>
    <x v="21"/>
    <x v="0"/>
    <x v="3"/>
    <x v="1"/>
    <n v="45"/>
    <x v="1"/>
    <x v="584"/>
    <n v="91276"/>
    <n v="0"/>
    <n v="91276"/>
    <x v="0"/>
    <x v="0"/>
    <m/>
    <n v="0"/>
  </r>
  <r>
    <x v="597"/>
    <x v="0"/>
    <x v="4"/>
    <x v="0"/>
    <x v="0"/>
    <n v="52"/>
    <x v="1"/>
    <x v="585"/>
    <n v="140042"/>
    <n v="0.13"/>
    <n v="158247"/>
    <x v="0"/>
    <x v="5"/>
    <m/>
    <n v="0"/>
  </r>
  <r>
    <x v="598"/>
    <x v="7"/>
    <x v="3"/>
    <x v="1"/>
    <x v="0"/>
    <n v="40"/>
    <x v="3"/>
    <x v="586"/>
    <n v="57225"/>
    <n v="0"/>
    <n v="57225"/>
    <x v="0"/>
    <x v="7"/>
    <m/>
    <n v="0"/>
  </r>
  <r>
    <x v="599"/>
    <x v="6"/>
    <x v="4"/>
    <x v="2"/>
    <x v="0"/>
    <n v="55"/>
    <x v="0"/>
    <x v="587"/>
    <n v="102839"/>
    <n v="0.05"/>
    <n v="107981"/>
    <x v="0"/>
    <x v="4"/>
    <m/>
    <n v="0"/>
  </r>
  <r>
    <x v="600"/>
    <x v="2"/>
    <x v="6"/>
    <x v="0"/>
    <x v="1"/>
    <n v="29"/>
    <x v="2"/>
    <x v="588"/>
    <n v="199783"/>
    <n v="0.21"/>
    <n v="241737"/>
    <x v="0"/>
    <x v="2"/>
    <d v="2022-04-10T00:00:00"/>
    <n v="1"/>
  </r>
  <r>
    <x v="601"/>
    <x v="15"/>
    <x v="4"/>
    <x v="0"/>
    <x v="1"/>
    <n v="32"/>
    <x v="2"/>
    <x v="589"/>
    <n v="70980"/>
    <n v="0"/>
    <n v="70980"/>
    <x v="2"/>
    <x v="9"/>
    <m/>
    <n v="0"/>
  </r>
  <r>
    <x v="602"/>
    <x v="6"/>
    <x v="6"/>
    <x v="3"/>
    <x v="1"/>
    <n v="51"/>
    <x v="1"/>
    <x v="590"/>
    <n v="104431"/>
    <n v="0.07"/>
    <n v="111741"/>
    <x v="0"/>
    <x v="3"/>
    <m/>
    <n v="0"/>
  </r>
  <r>
    <x v="603"/>
    <x v="20"/>
    <x v="4"/>
    <x v="2"/>
    <x v="1"/>
    <n v="28"/>
    <x v="2"/>
    <x v="591"/>
    <n v="48510"/>
    <n v="0"/>
    <n v="48510"/>
    <x v="0"/>
    <x v="2"/>
    <m/>
    <n v="0"/>
  </r>
  <r>
    <x v="604"/>
    <x v="10"/>
    <x v="5"/>
    <x v="2"/>
    <x v="1"/>
    <n v="27"/>
    <x v="2"/>
    <x v="592"/>
    <n v="70110"/>
    <n v="0"/>
    <n v="70110"/>
    <x v="0"/>
    <x v="4"/>
    <d v="2021-01-07T00:00:00"/>
    <n v="1"/>
  </r>
  <r>
    <x v="605"/>
    <x v="2"/>
    <x v="6"/>
    <x v="3"/>
    <x v="1"/>
    <n v="45"/>
    <x v="1"/>
    <x v="593"/>
    <n v="186138"/>
    <n v="0.28"/>
    <n v="238257"/>
    <x v="1"/>
    <x v="1"/>
    <m/>
    <n v="0"/>
  </r>
  <r>
    <x v="606"/>
    <x v="7"/>
    <x v="3"/>
    <x v="1"/>
    <x v="1"/>
    <n v="58"/>
    <x v="0"/>
    <x v="594"/>
    <n v="56350"/>
    <n v="0"/>
    <n v="56350"/>
    <x v="2"/>
    <x v="9"/>
    <m/>
    <n v="0"/>
  </r>
  <r>
    <x v="607"/>
    <x v="0"/>
    <x v="1"/>
    <x v="0"/>
    <x v="0"/>
    <n v="45"/>
    <x v="1"/>
    <x v="595"/>
    <n v="149761"/>
    <n v="0.12"/>
    <n v="167732"/>
    <x v="0"/>
    <x v="7"/>
    <m/>
    <n v="0"/>
  </r>
  <r>
    <x v="608"/>
    <x v="0"/>
    <x v="1"/>
    <x v="3"/>
    <x v="1"/>
    <n v="44"/>
    <x v="3"/>
    <x v="596"/>
    <n v="126277"/>
    <n v="0.13"/>
    <n v="142693"/>
    <x v="2"/>
    <x v="8"/>
    <m/>
    <n v="0"/>
  </r>
  <r>
    <x v="609"/>
    <x v="6"/>
    <x v="2"/>
    <x v="2"/>
    <x v="1"/>
    <n v="33"/>
    <x v="2"/>
    <x v="597"/>
    <n v="119631"/>
    <n v="0.06"/>
    <n v="126809"/>
    <x v="0"/>
    <x v="3"/>
    <m/>
    <n v="0"/>
  </r>
  <r>
    <x v="610"/>
    <x v="9"/>
    <x v="0"/>
    <x v="0"/>
    <x v="1"/>
    <n v="26"/>
    <x v="2"/>
    <x v="598"/>
    <n v="256561"/>
    <n v="0.39"/>
    <n v="356620"/>
    <x v="0"/>
    <x v="5"/>
    <m/>
    <n v="0"/>
  </r>
  <r>
    <x v="611"/>
    <x v="29"/>
    <x v="0"/>
    <x v="2"/>
    <x v="0"/>
    <n v="45"/>
    <x v="1"/>
    <x v="127"/>
    <n v="66958"/>
    <n v="0"/>
    <n v="66958"/>
    <x v="0"/>
    <x v="4"/>
    <m/>
    <n v="0"/>
  </r>
  <r>
    <x v="612"/>
    <x v="0"/>
    <x v="2"/>
    <x v="1"/>
    <x v="0"/>
    <n v="46"/>
    <x v="1"/>
    <x v="599"/>
    <n v="158897"/>
    <n v="0.1"/>
    <n v="174787"/>
    <x v="1"/>
    <x v="1"/>
    <m/>
    <n v="0"/>
  </r>
  <r>
    <x v="613"/>
    <x v="1"/>
    <x v="0"/>
    <x v="3"/>
    <x v="1"/>
    <n v="37"/>
    <x v="3"/>
    <x v="600"/>
    <n v="71695"/>
    <n v="0"/>
    <n v="71695"/>
    <x v="0"/>
    <x v="3"/>
    <m/>
    <n v="0"/>
  </r>
  <r>
    <x v="614"/>
    <x v="4"/>
    <x v="6"/>
    <x v="3"/>
    <x v="1"/>
    <n v="40"/>
    <x v="3"/>
    <x v="601"/>
    <n v="73779"/>
    <n v="0"/>
    <n v="73779"/>
    <x v="1"/>
    <x v="1"/>
    <d v="2019-05-09T00:00:00"/>
    <n v="1"/>
  </r>
  <r>
    <x v="615"/>
    <x v="6"/>
    <x v="2"/>
    <x v="2"/>
    <x v="0"/>
    <n v="45"/>
    <x v="1"/>
    <x v="571"/>
    <n v="123640"/>
    <n v="0.07"/>
    <n v="132295"/>
    <x v="1"/>
    <x v="6"/>
    <m/>
    <n v="0"/>
  </r>
  <r>
    <x v="616"/>
    <x v="7"/>
    <x v="2"/>
    <x v="2"/>
    <x v="0"/>
    <n v="33"/>
    <x v="2"/>
    <x v="602"/>
    <n v="46878"/>
    <n v="0"/>
    <n v="46878"/>
    <x v="0"/>
    <x v="4"/>
    <m/>
    <n v="0"/>
  </r>
  <r>
    <x v="617"/>
    <x v="7"/>
    <x v="6"/>
    <x v="2"/>
    <x v="0"/>
    <n v="64"/>
    <x v="0"/>
    <x v="603"/>
    <n v="57032"/>
    <n v="0"/>
    <n v="57032"/>
    <x v="0"/>
    <x v="4"/>
    <m/>
    <n v="0"/>
  </r>
  <r>
    <x v="618"/>
    <x v="4"/>
    <x v="2"/>
    <x v="1"/>
    <x v="0"/>
    <n v="57"/>
    <x v="0"/>
    <x v="604"/>
    <n v="98150"/>
    <n v="0"/>
    <n v="98150"/>
    <x v="2"/>
    <x v="9"/>
    <m/>
    <n v="0"/>
  </r>
  <r>
    <x v="619"/>
    <x v="2"/>
    <x v="6"/>
    <x v="1"/>
    <x v="0"/>
    <n v="35"/>
    <x v="3"/>
    <x v="605"/>
    <n v="171426"/>
    <n v="0.15"/>
    <n v="197140"/>
    <x v="1"/>
    <x v="10"/>
    <d v="2017-09-22T00:00:00"/>
    <n v="1"/>
  </r>
  <r>
    <x v="620"/>
    <x v="7"/>
    <x v="1"/>
    <x v="1"/>
    <x v="0"/>
    <n v="55"/>
    <x v="0"/>
    <x v="606"/>
    <n v="48266"/>
    <n v="0"/>
    <n v="48266"/>
    <x v="0"/>
    <x v="2"/>
    <m/>
    <n v="0"/>
  </r>
  <r>
    <x v="621"/>
    <x v="9"/>
    <x v="1"/>
    <x v="0"/>
    <x v="1"/>
    <n v="36"/>
    <x v="3"/>
    <x v="607"/>
    <n v="223404"/>
    <n v="0.32"/>
    <n v="294893"/>
    <x v="0"/>
    <x v="7"/>
    <m/>
    <n v="0"/>
  </r>
  <r>
    <x v="622"/>
    <x v="27"/>
    <x v="0"/>
    <x v="2"/>
    <x v="0"/>
    <n v="57"/>
    <x v="0"/>
    <x v="608"/>
    <n v="74854"/>
    <n v="0"/>
    <n v="74854"/>
    <x v="0"/>
    <x v="0"/>
    <m/>
    <n v="0"/>
  </r>
  <r>
    <x v="623"/>
    <x v="9"/>
    <x v="3"/>
    <x v="2"/>
    <x v="0"/>
    <n v="48"/>
    <x v="1"/>
    <x v="172"/>
    <n v="217783"/>
    <n v="0.36"/>
    <n v="296185"/>
    <x v="0"/>
    <x v="0"/>
    <m/>
    <n v="0"/>
  </r>
  <r>
    <x v="624"/>
    <x v="28"/>
    <x v="0"/>
    <x v="1"/>
    <x v="0"/>
    <n v="53"/>
    <x v="1"/>
    <x v="609"/>
    <n v="44735"/>
    <n v="0"/>
    <n v="44735"/>
    <x v="2"/>
    <x v="8"/>
    <m/>
    <n v="0"/>
  </r>
  <r>
    <x v="625"/>
    <x v="13"/>
    <x v="1"/>
    <x v="1"/>
    <x v="0"/>
    <n v="41"/>
    <x v="3"/>
    <x v="100"/>
    <n v="50685"/>
    <n v="0"/>
    <n v="50685"/>
    <x v="0"/>
    <x v="7"/>
    <m/>
    <n v="0"/>
  </r>
  <r>
    <x v="626"/>
    <x v="13"/>
    <x v="2"/>
    <x v="0"/>
    <x v="1"/>
    <n v="34"/>
    <x v="2"/>
    <x v="490"/>
    <n v="58993"/>
    <n v="0"/>
    <n v="58993"/>
    <x v="0"/>
    <x v="5"/>
    <m/>
    <n v="0"/>
  </r>
  <r>
    <x v="627"/>
    <x v="19"/>
    <x v="5"/>
    <x v="3"/>
    <x v="1"/>
    <n v="47"/>
    <x v="1"/>
    <x v="610"/>
    <n v="115765"/>
    <n v="0"/>
    <n v="115765"/>
    <x v="0"/>
    <x v="4"/>
    <d v="2021-02-02T00:00:00"/>
    <n v="1"/>
  </r>
  <r>
    <x v="628"/>
    <x v="2"/>
    <x v="3"/>
    <x v="1"/>
    <x v="0"/>
    <n v="63"/>
    <x v="0"/>
    <x v="611"/>
    <n v="193044"/>
    <n v="0.15"/>
    <n v="222001"/>
    <x v="0"/>
    <x v="4"/>
    <m/>
    <n v="0"/>
  </r>
  <r>
    <x v="629"/>
    <x v="7"/>
    <x v="6"/>
    <x v="0"/>
    <x v="0"/>
    <n v="65"/>
    <x v="4"/>
    <x v="612"/>
    <n v="56686"/>
    <n v="0"/>
    <n v="56686"/>
    <x v="0"/>
    <x v="0"/>
    <d v="2015-06-09T00:00:00"/>
    <n v="1"/>
  </r>
  <r>
    <x v="630"/>
    <x v="0"/>
    <x v="1"/>
    <x v="1"/>
    <x v="0"/>
    <n v="33"/>
    <x v="2"/>
    <x v="325"/>
    <n v="131652"/>
    <n v="0.11"/>
    <n v="146134"/>
    <x v="0"/>
    <x v="0"/>
    <m/>
    <n v="0"/>
  </r>
  <r>
    <x v="631"/>
    <x v="2"/>
    <x v="6"/>
    <x v="1"/>
    <x v="0"/>
    <n v="45"/>
    <x v="1"/>
    <x v="613"/>
    <n v="150577"/>
    <n v="0.25"/>
    <n v="188221"/>
    <x v="0"/>
    <x v="4"/>
    <m/>
    <n v="0"/>
  </r>
  <r>
    <x v="632"/>
    <x v="11"/>
    <x v="5"/>
    <x v="0"/>
    <x v="0"/>
    <n v="37"/>
    <x v="3"/>
    <x v="614"/>
    <n v="87359"/>
    <n v="0.11"/>
    <n v="96968"/>
    <x v="2"/>
    <x v="9"/>
    <m/>
    <n v="0"/>
  </r>
  <r>
    <x v="633"/>
    <x v="13"/>
    <x v="2"/>
    <x v="2"/>
    <x v="0"/>
    <n v="60"/>
    <x v="0"/>
    <x v="615"/>
    <n v="51877"/>
    <n v="0"/>
    <n v="51877"/>
    <x v="1"/>
    <x v="10"/>
    <m/>
    <n v="0"/>
  </r>
  <r>
    <x v="634"/>
    <x v="29"/>
    <x v="0"/>
    <x v="1"/>
    <x v="1"/>
    <n v="43"/>
    <x v="3"/>
    <x v="219"/>
    <n v="86417"/>
    <n v="0"/>
    <n v="86417"/>
    <x v="0"/>
    <x v="2"/>
    <m/>
    <n v="0"/>
  </r>
  <r>
    <x v="635"/>
    <x v="27"/>
    <x v="0"/>
    <x v="0"/>
    <x v="0"/>
    <n v="65"/>
    <x v="4"/>
    <x v="616"/>
    <n v="96548"/>
    <n v="0"/>
    <n v="96548"/>
    <x v="0"/>
    <x v="5"/>
    <m/>
    <n v="0"/>
  </r>
  <r>
    <x v="636"/>
    <x v="4"/>
    <x v="3"/>
    <x v="1"/>
    <x v="0"/>
    <n v="43"/>
    <x v="3"/>
    <x v="617"/>
    <n v="92940"/>
    <n v="0"/>
    <n v="92940"/>
    <x v="1"/>
    <x v="11"/>
    <m/>
    <n v="0"/>
  </r>
  <r>
    <x v="637"/>
    <x v="13"/>
    <x v="3"/>
    <x v="2"/>
    <x v="1"/>
    <n v="28"/>
    <x v="2"/>
    <x v="618"/>
    <n v="61410"/>
    <n v="0"/>
    <n v="61410"/>
    <x v="0"/>
    <x v="3"/>
    <m/>
    <n v="0"/>
  </r>
  <r>
    <x v="638"/>
    <x v="6"/>
    <x v="1"/>
    <x v="2"/>
    <x v="0"/>
    <n v="61"/>
    <x v="0"/>
    <x v="619"/>
    <n v="110302"/>
    <n v="0.06"/>
    <n v="116920"/>
    <x v="0"/>
    <x v="4"/>
    <m/>
    <n v="0"/>
  </r>
  <r>
    <x v="639"/>
    <x v="2"/>
    <x v="5"/>
    <x v="2"/>
    <x v="0"/>
    <n v="45"/>
    <x v="1"/>
    <x v="620"/>
    <n v="187205"/>
    <n v="0.24"/>
    <n v="232134"/>
    <x v="0"/>
    <x v="7"/>
    <d v="2022-06-20T00:00:00"/>
    <n v="1"/>
  </r>
  <r>
    <x v="640"/>
    <x v="4"/>
    <x v="2"/>
    <x v="3"/>
    <x v="1"/>
    <n v="45"/>
    <x v="1"/>
    <x v="621"/>
    <n v="81687"/>
    <n v="0"/>
    <n v="81687"/>
    <x v="0"/>
    <x v="3"/>
    <m/>
    <n v="0"/>
  </r>
  <r>
    <x v="641"/>
    <x v="9"/>
    <x v="0"/>
    <x v="2"/>
    <x v="1"/>
    <n v="54"/>
    <x v="1"/>
    <x v="622"/>
    <n v="241083"/>
    <n v="0.39"/>
    <n v="335105"/>
    <x v="0"/>
    <x v="7"/>
    <m/>
    <n v="0"/>
  </r>
  <r>
    <x v="642"/>
    <x v="9"/>
    <x v="1"/>
    <x v="2"/>
    <x v="0"/>
    <n v="38"/>
    <x v="3"/>
    <x v="623"/>
    <n v="223805"/>
    <n v="0.36"/>
    <n v="304375"/>
    <x v="0"/>
    <x v="2"/>
    <m/>
    <n v="0"/>
  </r>
  <r>
    <x v="643"/>
    <x v="2"/>
    <x v="3"/>
    <x v="3"/>
    <x v="0"/>
    <n v="27"/>
    <x v="2"/>
    <x v="624"/>
    <n v="161759"/>
    <n v="0.16"/>
    <n v="187640"/>
    <x v="0"/>
    <x v="4"/>
    <m/>
    <n v="0"/>
  </r>
  <r>
    <x v="644"/>
    <x v="3"/>
    <x v="0"/>
    <x v="0"/>
    <x v="1"/>
    <n v="40"/>
    <x v="3"/>
    <x v="625"/>
    <n v="95899"/>
    <n v="0.1"/>
    <n v="105489"/>
    <x v="0"/>
    <x v="7"/>
    <d v="2021-03-08T00:00:00"/>
    <n v="1"/>
  </r>
  <r>
    <x v="645"/>
    <x v="4"/>
    <x v="1"/>
    <x v="3"/>
    <x v="1"/>
    <n v="49"/>
    <x v="1"/>
    <x v="626"/>
    <n v="80700"/>
    <n v="0"/>
    <n v="80700"/>
    <x v="0"/>
    <x v="7"/>
    <m/>
    <n v="0"/>
  </r>
  <r>
    <x v="646"/>
    <x v="6"/>
    <x v="4"/>
    <x v="2"/>
    <x v="1"/>
    <n v="54"/>
    <x v="1"/>
    <x v="627"/>
    <n v="128136"/>
    <n v="0.05"/>
    <n v="134543"/>
    <x v="1"/>
    <x v="10"/>
    <m/>
    <n v="0"/>
  </r>
  <r>
    <x v="647"/>
    <x v="13"/>
    <x v="6"/>
    <x v="3"/>
    <x v="0"/>
    <n v="39"/>
    <x v="3"/>
    <x v="628"/>
    <n v="58745"/>
    <n v="0"/>
    <n v="58745"/>
    <x v="0"/>
    <x v="5"/>
    <m/>
    <n v="0"/>
  </r>
  <r>
    <x v="648"/>
    <x v="1"/>
    <x v="0"/>
    <x v="3"/>
    <x v="0"/>
    <n v="57"/>
    <x v="0"/>
    <x v="629"/>
    <n v="76202"/>
    <n v="0"/>
    <n v="76202"/>
    <x v="0"/>
    <x v="5"/>
    <d v="1994-12-18T00:00:00"/>
    <n v="1"/>
  </r>
  <r>
    <x v="649"/>
    <x v="9"/>
    <x v="2"/>
    <x v="2"/>
    <x v="1"/>
    <n v="36"/>
    <x v="3"/>
    <x v="630"/>
    <n v="195200"/>
    <n v="0.36"/>
    <n v="265472"/>
    <x v="0"/>
    <x v="5"/>
    <m/>
    <n v="0"/>
  </r>
  <r>
    <x v="650"/>
    <x v="13"/>
    <x v="1"/>
    <x v="1"/>
    <x v="0"/>
    <n v="45"/>
    <x v="1"/>
    <x v="631"/>
    <n v="71454"/>
    <n v="0"/>
    <n v="71454"/>
    <x v="1"/>
    <x v="6"/>
    <m/>
    <n v="0"/>
  </r>
  <r>
    <x v="651"/>
    <x v="21"/>
    <x v="0"/>
    <x v="1"/>
    <x v="0"/>
    <n v="30"/>
    <x v="2"/>
    <x v="632"/>
    <n v="94652"/>
    <n v="0"/>
    <n v="94652"/>
    <x v="0"/>
    <x v="0"/>
    <m/>
    <n v="0"/>
  </r>
  <r>
    <x v="652"/>
    <x v="1"/>
    <x v="0"/>
    <x v="1"/>
    <x v="1"/>
    <n v="34"/>
    <x v="2"/>
    <x v="633"/>
    <n v="63411"/>
    <n v="0"/>
    <n v="63411"/>
    <x v="0"/>
    <x v="4"/>
    <m/>
    <n v="0"/>
  </r>
  <r>
    <x v="653"/>
    <x v="13"/>
    <x v="2"/>
    <x v="2"/>
    <x v="1"/>
    <n v="31"/>
    <x v="2"/>
    <x v="634"/>
    <n v="67171"/>
    <n v="0"/>
    <n v="67171"/>
    <x v="1"/>
    <x v="1"/>
    <d v="2021-05-01T00:00:00"/>
    <n v="1"/>
  </r>
  <r>
    <x v="654"/>
    <x v="0"/>
    <x v="3"/>
    <x v="2"/>
    <x v="0"/>
    <n v="28"/>
    <x v="2"/>
    <x v="635"/>
    <n v="152036"/>
    <n v="0.15"/>
    <n v="174841"/>
    <x v="2"/>
    <x v="9"/>
    <m/>
    <n v="0"/>
  </r>
  <r>
    <x v="655"/>
    <x v="8"/>
    <x v="5"/>
    <x v="1"/>
    <x v="0"/>
    <n v="55"/>
    <x v="0"/>
    <x v="636"/>
    <n v="95562"/>
    <n v="0"/>
    <n v="95562"/>
    <x v="0"/>
    <x v="2"/>
    <m/>
    <n v="0"/>
  </r>
  <r>
    <x v="656"/>
    <x v="4"/>
    <x v="2"/>
    <x v="0"/>
    <x v="1"/>
    <n v="30"/>
    <x v="2"/>
    <x v="637"/>
    <n v="96092"/>
    <n v="0"/>
    <n v="96092"/>
    <x v="0"/>
    <x v="5"/>
    <m/>
    <n v="0"/>
  </r>
  <r>
    <x v="657"/>
    <x v="9"/>
    <x v="5"/>
    <x v="1"/>
    <x v="1"/>
    <n v="63"/>
    <x v="0"/>
    <x v="638"/>
    <n v="254289"/>
    <n v="0.39"/>
    <n v="353462"/>
    <x v="0"/>
    <x v="2"/>
    <m/>
    <n v="0"/>
  </r>
  <r>
    <x v="658"/>
    <x v="3"/>
    <x v="0"/>
    <x v="0"/>
    <x v="1"/>
    <n v="26"/>
    <x v="2"/>
    <x v="639"/>
    <n v="69110"/>
    <n v="0.05"/>
    <n v="72566"/>
    <x v="0"/>
    <x v="2"/>
    <m/>
    <n v="0"/>
  </r>
  <r>
    <x v="659"/>
    <x v="9"/>
    <x v="6"/>
    <x v="2"/>
    <x v="1"/>
    <n v="52"/>
    <x v="1"/>
    <x v="640"/>
    <n v="236314"/>
    <n v="0.34"/>
    <n v="316661"/>
    <x v="0"/>
    <x v="4"/>
    <m/>
    <n v="0"/>
  </r>
  <r>
    <x v="660"/>
    <x v="7"/>
    <x v="6"/>
    <x v="3"/>
    <x v="1"/>
    <n v="51"/>
    <x v="1"/>
    <x v="641"/>
    <n v="45206"/>
    <n v="0"/>
    <n v="45206"/>
    <x v="0"/>
    <x v="7"/>
    <m/>
    <n v="0"/>
  </r>
  <r>
    <x v="661"/>
    <x v="9"/>
    <x v="1"/>
    <x v="0"/>
    <x v="0"/>
    <n v="25"/>
    <x v="2"/>
    <x v="509"/>
    <n v="210708"/>
    <n v="0.33"/>
    <n v="280242"/>
    <x v="0"/>
    <x v="2"/>
    <m/>
    <n v="0"/>
  </r>
  <r>
    <x v="662"/>
    <x v="27"/>
    <x v="0"/>
    <x v="3"/>
    <x v="1"/>
    <n v="40"/>
    <x v="3"/>
    <x v="642"/>
    <n v="87770"/>
    <n v="0"/>
    <n v="87770"/>
    <x v="0"/>
    <x v="5"/>
    <m/>
    <n v="0"/>
  </r>
  <r>
    <x v="663"/>
    <x v="6"/>
    <x v="3"/>
    <x v="3"/>
    <x v="0"/>
    <n v="38"/>
    <x v="3"/>
    <x v="643"/>
    <n v="106858"/>
    <n v="0.05"/>
    <n v="112201"/>
    <x v="0"/>
    <x v="0"/>
    <m/>
    <n v="0"/>
  </r>
  <r>
    <x v="664"/>
    <x v="2"/>
    <x v="4"/>
    <x v="3"/>
    <x v="1"/>
    <n v="60"/>
    <x v="0"/>
    <x v="644"/>
    <n v="155788"/>
    <n v="0.17"/>
    <n v="182272"/>
    <x v="0"/>
    <x v="0"/>
    <m/>
    <n v="0"/>
  </r>
  <r>
    <x v="665"/>
    <x v="15"/>
    <x v="4"/>
    <x v="2"/>
    <x v="0"/>
    <n v="45"/>
    <x v="1"/>
    <x v="645"/>
    <n v="74891"/>
    <n v="0"/>
    <n v="74891"/>
    <x v="2"/>
    <x v="9"/>
    <m/>
    <n v="0"/>
  </r>
  <r>
    <x v="666"/>
    <x v="8"/>
    <x v="5"/>
    <x v="3"/>
    <x v="1"/>
    <n v="28"/>
    <x v="2"/>
    <x v="646"/>
    <n v="95670"/>
    <n v="0"/>
    <n v="95670"/>
    <x v="0"/>
    <x v="3"/>
    <m/>
    <n v="0"/>
  </r>
  <r>
    <x v="667"/>
    <x v="5"/>
    <x v="2"/>
    <x v="0"/>
    <x v="0"/>
    <n v="65"/>
    <x v="4"/>
    <x v="647"/>
    <n v="67837"/>
    <n v="0"/>
    <n v="67837"/>
    <x v="0"/>
    <x v="5"/>
    <m/>
    <n v="0"/>
  </r>
  <r>
    <x v="668"/>
    <x v="13"/>
    <x v="2"/>
    <x v="0"/>
    <x v="1"/>
    <n v="41"/>
    <x v="3"/>
    <x v="648"/>
    <n v="72425"/>
    <n v="0"/>
    <n v="72425"/>
    <x v="1"/>
    <x v="10"/>
    <m/>
    <n v="0"/>
  </r>
  <r>
    <x v="669"/>
    <x v="4"/>
    <x v="2"/>
    <x v="3"/>
    <x v="0"/>
    <n v="52"/>
    <x v="1"/>
    <x v="649"/>
    <n v="93103"/>
    <n v="0"/>
    <n v="93103"/>
    <x v="0"/>
    <x v="3"/>
    <m/>
    <n v="0"/>
  </r>
  <r>
    <x v="670"/>
    <x v="8"/>
    <x v="5"/>
    <x v="3"/>
    <x v="0"/>
    <n v="56"/>
    <x v="0"/>
    <x v="650"/>
    <n v="76272"/>
    <n v="0"/>
    <n v="76272"/>
    <x v="0"/>
    <x v="4"/>
    <d v="2021-10-22T00:00:00"/>
    <n v="1"/>
  </r>
  <r>
    <x v="671"/>
    <x v="13"/>
    <x v="1"/>
    <x v="1"/>
    <x v="0"/>
    <n v="48"/>
    <x v="1"/>
    <x v="651"/>
    <n v="55760"/>
    <n v="0"/>
    <n v="55760"/>
    <x v="0"/>
    <x v="5"/>
    <m/>
    <n v="0"/>
  </r>
  <r>
    <x v="672"/>
    <x v="9"/>
    <x v="3"/>
    <x v="3"/>
    <x v="0"/>
    <n v="36"/>
    <x v="3"/>
    <x v="652"/>
    <n v="253294"/>
    <n v="0.4"/>
    <n v="354612"/>
    <x v="0"/>
    <x v="4"/>
    <m/>
    <n v="0"/>
  </r>
  <r>
    <x v="673"/>
    <x v="13"/>
    <x v="1"/>
    <x v="3"/>
    <x v="1"/>
    <n v="60"/>
    <x v="0"/>
    <x v="653"/>
    <n v="58671"/>
    <n v="0"/>
    <n v="58671"/>
    <x v="0"/>
    <x v="7"/>
    <m/>
    <n v="0"/>
  </r>
  <r>
    <x v="674"/>
    <x v="5"/>
    <x v="2"/>
    <x v="0"/>
    <x v="0"/>
    <n v="40"/>
    <x v="3"/>
    <x v="654"/>
    <n v="55457"/>
    <n v="0"/>
    <n v="55457"/>
    <x v="0"/>
    <x v="7"/>
    <m/>
    <n v="0"/>
  </r>
  <r>
    <x v="675"/>
    <x v="5"/>
    <x v="2"/>
    <x v="1"/>
    <x v="0"/>
    <n v="63"/>
    <x v="0"/>
    <x v="655"/>
    <n v="72340"/>
    <n v="0"/>
    <n v="72340"/>
    <x v="0"/>
    <x v="3"/>
    <d v="2019-04-03T00:00:00"/>
    <n v="1"/>
  </r>
  <r>
    <x v="676"/>
    <x v="6"/>
    <x v="6"/>
    <x v="3"/>
    <x v="0"/>
    <n v="29"/>
    <x v="2"/>
    <x v="656"/>
    <n v="122054"/>
    <n v="0.06"/>
    <n v="129377"/>
    <x v="0"/>
    <x v="3"/>
    <m/>
    <n v="0"/>
  </r>
  <r>
    <x v="677"/>
    <x v="2"/>
    <x v="0"/>
    <x v="1"/>
    <x v="0"/>
    <n v="27"/>
    <x v="2"/>
    <x v="657"/>
    <n v="167100"/>
    <n v="0.2"/>
    <n v="200520"/>
    <x v="1"/>
    <x v="11"/>
    <m/>
    <n v="0"/>
  </r>
  <r>
    <x v="678"/>
    <x v="1"/>
    <x v="0"/>
    <x v="3"/>
    <x v="0"/>
    <n v="53"/>
    <x v="1"/>
    <x v="658"/>
    <n v="78153"/>
    <n v="0"/>
    <n v="78153"/>
    <x v="0"/>
    <x v="4"/>
    <m/>
    <n v="0"/>
  </r>
  <r>
    <x v="679"/>
    <x v="6"/>
    <x v="1"/>
    <x v="1"/>
    <x v="0"/>
    <n v="37"/>
    <x v="3"/>
    <x v="659"/>
    <n v="103524"/>
    <n v="0.09"/>
    <n v="112841"/>
    <x v="0"/>
    <x v="3"/>
    <m/>
    <n v="0"/>
  </r>
  <r>
    <x v="680"/>
    <x v="6"/>
    <x v="0"/>
    <x v="3"/>
    <x v="1"/>
    <n v="30"/>
    <x v="2"/>
    <x v="660"/>
    <n v="119906"/>
    <n v="0.05"/>
    <n v="125901"/>
    <x v="0"/>
    <x v="7"/>
    <m/>
    <n v="0"/>
  </r>
  <r>
    <x v="681"/>
    <x v="7"/>
    <x v="6"/>
    <x v="2"/>
    <x v="0"/>
    <n v="28"/>
    <x v="2"/>
    <x v="661"/>
    <n v="45061"/>
    <n v="0"/>
    <n v="45061"/>
    <x v="0"/>
    <x v="4"/>
    <m/>
    <n v="0"/>
  </r>
  <r>
    <x v="682"/>
    <x v="30"/>
    <x v="0"/>
    <x v="3"/>
    <x v="1"/>
    <n v="51"/>
    <x v="1"/>
    <x v="662"/>
    <n v="91399"/>
    <n v="0"/>
    <n v="91399"/>
    <x v="0"/>
    <x v="0"/>
    <m/>
    <n v="0"/>
  </r>
  <r>
    <x v="683"/>
    <x v="14"/>
    <x v="0"/>
    <x v="0"/>
    <x v="1"/>
    <n v="28"/>
    <x v="2"/>
    <x v="663"/>
    <n v="97336"/>
    <n v="0"/>
    <n v="97336"/>
    <x v="0"/>
    <x v="5"/>
    <m/>
    <n v="0"/>
  </r>
  <r>
    <x v="684"/>
    <x v="0"/>
    <x v="3"/>
    <x v="3"/>
    <x v="0"/>
    <n v="31"/>
    <x v="2"/>
    <x v="664"/>
    <n v="124629"/>
    <n v="0.1"/>
    <n v="137092"/>
    <x v="0"/>
    <x v="7"/>
    <m/>
    <n v="0"/>
  </r>
  <r>
    <x v="685"/>
    <x v="9"/>
    <x v="4"/>
    <x v="2"/>
    <x v="0"/>
    <n v="28"/>
    <x v="2"/>
    <x v="665"/>
    <n v="231850"/>
    <n v="0.39"/>
    <n v="322272"/>
    <x v="0"/>
    <x v="4"/>
    <m/>
    <n v="0"/>
  </r>
  <r>
    <x v="686"/>
    <x v="6"/>
    <x v="3"/>
    <x v="0"/>
    <x v="1"/>
    <n v="34"/>
    <x v="2"/>
    <x v="666"/>
    <n v="128329"/>
    <n v="0.08"/>
    <n v="138595"/>
    <x v="0"/>
    <x v="3"/>
    <m/>
    <n v="0"/>
  </r>
  <r>
    <x v="687"/>
    <x v="9"/>
    <x v="6"/>
    <x v="2"/>
    <x v="1"/>
    <n v="44"/>
    <x v="3"/>
    <x v="223"/>
    <n v="186033"/>
    <n v="0.34"/>
    <n v="249284"/>
    <x v="2"/>
    <x v="12"/>
    <m/>
    <n v="0"/>
  </r>
  <r>
    <x v="688"/>
    <x v="0"/>
    <x v="6"/>
    <x v="1"/>
    <x v="1"/>
    <n v="60"/>
    <x v="0"/>
    <x v="332"/>
    <n v="121480"/>
    <n v="0.14"/>
    <n v="138487"/>
    <x v="0"/>
    <x v="3"/>
    <m/>
    <n v="0"/>
  </r>
  <r>
    <x v="689"/>
    <x v="2"/>
    <x v="4"/>
    <x v="2"/>
    <x v="0"/>
    <n v="41"/>
    <x v="3"/>
    <x v="667"/>
    <n v="153275"/>
    <n v="0.24"/>
    <n v="190061"/>
    <x v="0"/>
    <x v="7"/>
    <m/>
    <n v="0"/>
  </r>
  <r>
    <x v="690"/>
    <x v="4"/>
    <x v="2"/>
    <x v="0"/>
    <x v="0"/>
    <n v="62"/>
    <x v="0"/>
    <x v="668"/>
    <n v="97830"/>
    <n v="0"/>
    <n v="97830"/>
    <x v="0"/>
    <x v="5"/>
    <m/>
    <n v="0"/>
  </r>
  <r>
    <x v="691"/>
    <x v="9"/>
    <x v="6"/>
    <x v="3"/>
    <x v="0"/>
    <n v="47"/>
    <x v="1"/>
    <x v="669"/>
    <n v="239394"/>
    <n v="0.32"/>
    <n v="316000"/>
    <x v="0"/>
    <x v="5"/>
    <m/>
    <n v="0"/>
  </r>
  <r>
    <x v="692"/>
    <x v="7"/>
    <x v="1"/>
    <x v="2"/>
    <x v="0"/>
    <n v="62"/>
    <x v="0"/>
    <x v="670"/>
    <n v="49738"/>
    <n v="0"/>
    <n v="49738"/>
    <x v="1"/>
    <x v="10"/>
    <m/>
    <n v="0"/>
  </r>
  <r>
    <x v="693"/>
    <x v="7"/>
    <x v="3"/>
    <x v="1"/>
    <x v="0"/>
    <n v="33"/>
    <x v="2"/>
    <x v="671"/>
    <n v="45049"/>
    <n v="0"/>
    <n v="45049"/>
    <x v="0"/>
    <x v="0"/>
    <m/>
    <n v="0"/>
  </r>
  <r>
    <x v="694"/>
    <x v="2"/>
    <x v="1"/>
    <x v="0"/>
    <x v="0"/>
    <n v="27"/>
    <x v="2"/>
    <x v="97"/>
    <n v="153628"/>
    <n v="0.29"/>
    <n v="198180"/>
    <x v="1"/>
    <x v="1"/>
    <d v="2020-12-12T00:00:00"/>
    <n v="1"/>
  </r>
  <r>
    <x v="695"/>
    <x v="0"/>
    <x v="2"/>
    <x v="1"/>
    <x v="1"/>
    <n v="25"/>
    <x v="2"/>
    <x v="672"/>
    <n v="142731"/>
    <n v="0.11"/>
    <n v="158431"/>
    <x v="1"/>
    <x v="6"/>
    <d v="2022-06-03T00:00:00"/>
    <n v="1"/>
  </r>
  <r>
    <x v="696"/>
    <x v="0"/>
    <x v="6"/>
    <x v="2"/>
    <x v="0"/>
    <n v="29"/>
    <x v="2"/>
    <x v="673"/>
    <n v="137106"/>
    <n v="0.12"/>
    <n v="153559"/>
    <x v="2"/>
    <x v="12"/>
    <m/>
    <n v="0"/>
  </r>
  <r>
    <x v="697"/>
    <x v="9"/>
    <x v="1"/>
    <x v="3"/>
    <x v="0"/>
    <n v="54"/>
    <x v="1"/>
    <x v="674"/>
    <n v="183239"/>
    <n v="0.32"/>
    <n v="241875"/>
    <x v="0"/>
    <x v="0"/>
    <m/>
    <n v="0"/>
  </r>
  <r>
    <x v="698"/>
    <x v="7"/>
    <x v="3"/>
    <x v="1"/>
    <x v="0"/>
    <n v="28"/>
    <x v="2"/>
    <x v="675"/>
    <n v="45819"/>
    <n v="0"/>
    <n v="45819"/>
    <x v="0"/>
    <x v="4"/>
    <m/>
    <n v="0"/>
  </r>
  <r>
    <x v="699"/>
    <x v="7"/>
    <x v="3"/>
    <x v="0"/>
    <x v="0"/>
    <n v="54"/>
    <x v="1"/>
    <x v="676"/>
    <n v="55518"/>
    <n v="0"/>
    <n v="55518"/>
    <x v="0"/>
    <x v="7"/>
    <m/>
    <n v="0"/>
  </r>
  <r>
    <x v="700"/>
    <x v="6"/>
    <x v="6"/>
    <x v="1"/>
    <x v="0"/>
    <n v="50"/>
    <x v="1"/>
    <x v="677"/>
    <n v="108134"/>
    <n v="0.1"/>
    <n v="118947"/>
    <x v="1"/>
    <x v="6"/>
    <m/>
    <n v="0"/>
  </r>
  <r>
    <x v="701"/>
    <x v="6"/>
    <x v="6"/>
    <x v="0"/>
    <x v="0"/>
    <n v="55"/>
    <x v="0"/>
    <x v="678"/>
    <n v="113950"/>
    <n v="0.09"/>
    <n v="124206"/>
    <x v="0"/>
    <x v="4"/>
    <m/>
    <n v="0"/>
  </r>
  <r>
    <x v="702"/>
    <x v="9"/>
    <x v="6"/>
    <x v="2"/>
    <x v="0"/>
    <n v="52"/>
    <x v="1"/>
    <x v="679"/>
    <n v="182035"/>
    <n v="0.3"/>
    <n v="236646"/>
    <x v="0"/>
    <x v="2"/>
    <m/>
    <n v="0"/>
  </r>
  <r>
    <x v="703"/>
    <x v="2"/>
    <x v="3"/>
    <x v="2"/>
    <x v="1"/>
    <n v="35"/>
    <x v="3"/>
    <x v="680"/>
    <n v="181356"/>
    <n v="0.23"/>
    <n v="223068"/>
    <x v="1"/>
    <x v="10"/>
    <m/>
    <n v="0"/>
  </r>
  <r>
    <x v="704"/>
    <x v="5"/>
    <x v="2"/>
    <x v="3"/>
    <x v="0"/>
    <n v="26"/>
    <x v="2"/>
    <x v="681"/>
    <n v="66084"/>
    <n v="0"/>
    <n v="66084"/>
    <x v="0"/>
    <x v="0"/>
    <m/>
    <n v="0"/>
  </r>
  <r>
    <x v="705"/>
    <x v="29"/>
    <x v="0"/>
    <x v="2"/>
    <x v="0"/>
    <n v="43"/>
    <x v="3"/>
    <x v="682"/>
    <n v="76912"/>
    <n v="0"/>
    <n v="76912"/>
    <x v="2"/>
    <x v="12"/>
    <m/>
    <n v="0"/>
  </r>
  <r>
    <x v="706"/>
    <x v="22"/>
    <x v="5"/>
    <x v="0"/>
    <x v="0"/>
    <n v="63"/>
    <x v="0"/>
    <x v="683"/>
    <n v="67987"/>
    <n v="0"/>
    <n v="67987"/>
    <x v="0"/>
    <x v="4"/>
    <m/>
    <n v="0"/>
  </r>
  <r>
    <x v="707"/>
    <x v="13"/>
    <x v="6"/>
    <x v="1"/>
    <x v="1"/>
    <n v="65"/>
    <x v="4"/>
    <x v="684"/>
    <n v="59833"/>
    <n v="0"/>
    <n v="59833"/>
    <x v="0"/>
    <x v="7"/>
    <m/>
    <n v="0"/>
  </r>
  <r>
    <x v="708"/>
    <x v="0"/>
    <x v="6"/>
    <x v="2"/>
    <x v="1"/>
    <n v="45"/>
    <x v="1"/>
    <x v="685"/>
    <n v="128468"/>
    <n v="0.11"/>
    <n v="142599"/>
    <x v="0"/>
    <x v="2"/>
    <m/>
    <n v="0"/>
  </r>
  <r>
    <x v="709"/>
    <x v="6"/>
    <x v="2"/>
    <x v="3"/>
    <x v="1"/>
    <n v="42"/>
    <x v="3"/>
    <x v="686"/>
    <n v="102440"/>
    <n v="0.06"/>
    <n v="108586"/>
    <x v="0"/>
    <x v="2"/>
    <m/>
    <n v="0"/>
  </r>
  <r>
    <x v="710"/>
    <x v="9"/>
    <x v="0"/>
    <x v="2"/>
    <x v="1"/>
    <n v="59"/>
    <x v="0"/>
    <x v="687"/>
    <n v="246619"/>
    <n v="0.36"/>
    <n v="335402"/>
    <x v="0"/>
    <x v="4"/>
    <m/>
    <n v="0"/>
  </r>
  <r>
    <x v="711"/>
    <x v="6"/>
    <x v="4"/>
    <x v="3"/>
    <x v="0"/>
    <n v="42"/>
    <x v="3"/>
    <x v="688"/>
    <n v="101143"/>
    <n v="0.06"/>
    <n v="107212"/>
    <x v="0"/>
    <x v="4"/>
    <m/>
    <n v="0"/>
  </r>
  <r>
    <x v="712"/>
    <x v="20"/>
    <x v="4"/>
    <x v="1"/>
    <x v="0"/>
    <n v="45"/>
    <x v="1"/>
    <x v="689"/>
    <n v="51404"/>
    <n v="0"/>
    <n v="51404"/>
    <x v="2"/>
    <x v="8"/>
    <d v="2009-12-06T00:00:00"/>
    <n v="1"/>
  </r>
  <r>
    <x v="713"/>
    <x v="17"/>
    <x v="5"/>
    <x v="2"/>
    <x v="1"/>
    <n v="45"/>
    <x v="1"/>
    <x v="690"/>
    <n v="87292"/>
    <n v="0"/>
    <n v="87292"/>
    <x v="0"/>
    <x v="7"/>
    <m/>
    <n v="0"/>
  </r>
  <r>
    <x v="714"/>
    <x v="2"/>
    <x v="6"/>
    <x v="2"/>
    <x v="0"/>
    <n v="28"/>
    <x v="2"/>
    <x v="691"/>
    <n v="182321"/>
    <n v="0.28"/>
    <n v="233371"/>
    <x v="1"/>
    <x v="10"/>
    <m/>
    <n v="0"/>
  </r>
  <r>
    <x v="715"/>
    <x v="28"/>
    <x v="0"/>
    <x v="3"/>
    <x v="1"/>
    <n v="51"/>
    <x v="1"/>
    <x v="692"/>
    <n v="53929"/>
    <n v="0"/>
    <n v="53929"/>
    <x v="0"/>
    <x v="4"/>
    <d v="2017-12-22T00:00:00"/>
    <n v="1"/>
  </r>
  <r>
    <x v="716"/>
    <x v="9"/>
    <x v="3"/>
    <x v="1"/>
    <x v="0"/>
    <n v="38"/>
    <x v="3"/>
    <x v="693"/>
    <n v="191571"/>
    <n v="0.32"/>
    <n v="252874"/>
    <x v="0"/>
    <x v="5"/>
    <m/>
    <n v="0"/>
  </r>
  <r>
    <x v="717"/>
    <x v="0"/>
    <x v="3"/>
    <x v="3"/>
    <x v="0"/>
    <n v="62"/>
    <x v="0"/>
    <x v="694"/>
    <n v="150555"/>
    <n v="0.13"/>
    <n v="170127"/>
    <x v="0"/>
    <x v="3"/>
    <m/>
    <n v="0"/>
  </r>
  <r>
    <x v="718"/>
    <x v="6"/>
    <x v="1"/>
    <x v="3"/>
    <x v="1"/>
    <n v="52"/>
    <x v="1"/>
    <x v="695"/>
    <n v="122890"/>
    <n v="0.07"/>
    <n v="131492"/>
    <x v="1"/>
    <x v="6"/>
    <m/>
    <n v="0"/>
  </r>
  <r>
    <x v="719"/>
    <x v="9"/>
    <x v="1"/>
    <x v="0"/>
    <x v="1"/>
    <n v="52"/>
    <x v="1"/>
    <x v="696"/>
    <n v="216999"/>
    <n v="0.37"/>
    <n v="297289"/>
    <x v="0"/>
    <x v="4"/>
    <m/>
    <n v="0"/>
  </r>
  <r>
    <x v="720"/>
    <x v="6"/>
    <x v="4"/>
    <x v="3"/>
    <x v="1"/>
    <n v="48"/>
    <x v="1"/>
    <x v="697"/>
    <n v="110565"/>
    <n v="0.09"/>
    <n v="120516"/>
    <x v="1"/>
    <x v="10"/>
    <m/>
    <n v="0"/>
  </r>
  <r>
    <x v="721"/>
    <x v="12"/>
    <x v="0"/>
    <x v="2"/>
    <x v="1"/>
    <n v="38"/>
    <x v="3"/>
    <x v="698"/>
    <n v="48762"/>
    <n v="0"/>
    <n v="48762"/>
    <x v="0"/>
    <x v="0"/>
    <m/>
    <n v="0"/>
  </r>
  <r>
    <x v="722"/>
    <x v="25"/>
    <x v="5"/>
    <x v="2"/>
    <x v="0"/>
    <n v="51"/>
    <x v="1"/>
    <x v="699"/>
    <n v="87036"/>
    <n v="0"/>
    <n v="87036"/>
    <x v="1"/>
    <x v="1"/>
    <m/>
    <n v="0"/>
  </r>
  <r>
    <x v="723"/>
    <x v="2"/>
    <x v="6"/>
    <x v="2"/>
    <x v="1"/>
    <n v="32"/>
    <x v="2"/>
    <x v="700"/>
    <n v="177443"/>
    <n v="0.16"/>
    <n v="205834"/>
    <x v="0"/>
    <x v="0"/>
    <m/>
    <n v="0"/>
  </r>
  <r>
    <x v="724"/>
    <x v="14"/>
    <x v="0"/>
    <x v="0"/>
    <x v="0"/>
    <n v="36"/>
    <x v="3"/>
    <x v="701"/>
    <n v="75862"/>
    <n v="0"/>
    <n v="75862"/>
    <x v="0"/>
    <x v="5"/>
    <m/>
    <n v="0"/>
  </r>
  <r>
    <x v="725"/>
    <x v="15"/>
    <x v="4"/>
    <x v="0"/>
    <x v="0"/>
    <n v="45"/>
    <x v="1"/>
    <x v="645"/>
    <n v="90870"/>
    <n v="0"/>
    <n v="90870"/>
    <x v="0"/>
    <x v="2"/>
    <m/>
    <n v="0"/>
  </r>
  <r>
    <x v="726"/>
    <x v="11"/>
    <x v="5"/>
    <x v="3"/>
    <x v="0"/>
    <n v="32"/>
    <x v="2"/>
    <x v="702"/>
    <n v="99202"/>
    <n v="0.11"/>
    <n v="110114"/>
    <x v="0"/>
    <x v="3"/>
    <m/>
    <n v="0"/>
  </r>
  <r>
    <x v="727"/>
    <x v="4"/>
    <x v="6"/>
    <x v="3"/>
    <x v="1"/>
    <n v="45"/>
    <x v="1"/>
    <x v="703"/>
    <n v="92293"/>
    <n v="0"/>
    <n v="92293"/>
    <x v="1"/>
    <x v="11"/>
    <m/>
    <n v="0"/>
  </r>
  <r>
    <x v="728"/>
    <x v="29"/>
    <x v="0"/>
    <x v="3"/>
    <x v="1"/>
    <n v="54"/>
    <x v="1"/>
    <x v="704"/>
    <n v="63196"/>
    <n v="0"/>
    <n v="63196"/>
    <x v="0"/>
    <x v="2"/>
    <d v="2014-10-26T00:00:00"/>
    <n v="1"/>
  </r>
  <r>
    <x v="729"/>
    <x v="25"/>
    <x v="5"/>
    <x v="2"/>
    <x v="0"/>
    <n v="48"/>
    <x v="1"/>
    <x v="705"/>
    <n v="65340"/>
    <n v="0"/>
    <n v="65340"/>
    <x v="1"/>
    <x v="6"/>
    <d v="2018-05-09T00:00:00"/>
    <n v="1"/>
  </r>
  <r>
    <x v="730"/>
    <x v="9"/>
    <x v="6"/>
    <x v="3"/>
    <x v="1"/>
    <n v="45"/>
    <x v="1"/>
    <x v="706"/>
    <n v="202680"/>
    <n v="0.32"/>
    <n v="267538"/>
    <x v="0"/>
    <x v="3"/>
    <d v="2022-08-17T00:00:00"/>
    <n v="1"/>
  </r>
  <r>
    <x v="731"/>
    <x v="3"/>
    <x v="0"/>
    <x v="1"/>
    <x v="0"/>
    <n v="46"/>
    <x v="1"/>
    <x v="707"/>
    <n v="77461"/>
    <n v="0.09"/>
    <n v="84432"/>
    <x v="2"/>
    <x v="12"/>
    <m/>
    <n v="0"/>
  </r>
  <r>
    <x v="732"/>
    <x v="19"/>
    <x v="5"/>
    <x v="0"/>
    <x v="0"/>
    <n v="40"/>
    <x v="3"/>
    <x v="708"/>
    <n v="109680"/>
    <n v="0"/>
    <n v="109680"/>
    <x v="1"/>
    <x v="11"/>
    <m/>
    <n v="0"/>
  </r>
  <r>
    <x v="733"/>
    <x v="2"/>
    <x v="2"/>
    <x v="1"/>
    <x v="0"/>
    <n v="61"/>
    <x v="0"/>
    <x v="709"/>
    <n v="159567"/>
    <n v="0.28"/>
    <n v="204246"/>
    <x v="0"/>
    <x v="3"/>
    <m/>
    <n v="0"/>
  </r>
  <r>
    <x v="734"/>
    <x v="25"/>
    <x v="5"/>
    <x v="2"/>
    <x v="1"/>
    <n v="54"/>
    <x v="1"/>
    <x v="710"/>
    <n v="94407"/>
    <n v="0"/>
    <n v="94407"/>
    <x v="2"/>
    <x v="12"/>
    <m/>
    <n v="0"/>
  </r>
  <r>
    <x v="735"/>
    <x v="9"/>
    <x v="4"/>
    <x v="3"/>
    <x v="1"/>
    <n v="62"/>
    <x v="0"/>
    <x v="711"/>
    <n v="234594"/>
    <n v="0.33"/>
    <n v="312010"/>
    <x v="0"/>
    <x v="0"/>
    <m/>
    <n v="0"/>
  </r>
  <r>
    <x v="736"/>
    <x v="28"/>
    <x v="0"/>
    <x v="2"/>
    <x v="1"/>
    <n v="48"/>
    <x v="1"/>
    <x v="712"/>
    <n v="43080"/>
    <n v="0"/>
    <n v="43080"/>
    <x v="0"/>
    <x v="5"/>
    <m/>
    <n v="0"/>
  </r>
  <r>
    <x v="737"/>
    <x v="6"/>
    <x v="6"/>
    <x v="1"/>
    <x v="0"/>
    <n v="29"/>
    <x v="2"/>
    <x v="713"/>
    <n v="129541"/>
    <n v="0.08"/>
    <n v="139904"/>
    <x v="0"/>
    <x v="3"/>
    <d v="2021-05-24T00:00:00"/>
    <n v="1"/>
  </r>
  <r>
    <x v="738"/>
    <x v="2"/>
    <x v="2"/>
    <x v="0"/>
    <x v="1"/>
    <n v="39"/>
    <x v="3"/>
    <x v="714"/>
    <n v="165756"/>
    <n v="0.28"/>
    <n v="212168"/>
    <x v="0"/>
    <x v="7"/>
    <d v="2020-06-09T00:00:00"/>
    <n v="1"/>
  </r>
  <r>
    <x v="739"/>
    <x v="0"/>
    <x v="1"/>
    <x v="2"/>
    <x v="1"/>
    <n v="44"/>
    <x v="3"/>
    <x v="715"/>
    <n v="142878"/>
    <n v="0.12"/>
    <n v="160023"/>
    <x v="0"/>
    <x v="7"/>
    <m/>
    <n v="0"/>
  </r>
  <r>
    <x v="740"/>
    <x v="2"/>
    <x v="5"/>
    <x v="1"/>
    <x v="1"/>
    <n v="52"/>
    <x v="1"/>
    <x v="716"/>
    <n v="187992"/>
    <n v="0.28"/>
    <n v="240630"/>
    <x v="0"/>
    <x v="4"/>
    <m/>
    <n v="0"/>
  </r>
  <r>
    <x v="741"/>
    <x v="9"/>
    <x v="4"/>
    <x v="2"/>
    <x v="0"/>
    <n v="45"/>
    <x v="1"/>
    <x v="717"/>
    <n v="249801"/>
    <n v="0.39"/>
    <n v="347223"/>
    <x v="2"/>
    <x v="12"/>
    <m/>
    <n v="0"/>
  </r>
  <r>
    <x v="742"/>
    <x v="32"/>
    <x v="0"/>
    <x v="0"/>
    <x v="1"/>
    <n v="48"/>
    <x v="1"/>
    <x v="718"/>
    <n v="76505"/>
    <n v="0"/>
    <n v="76505"/>
    <x v="0"/>
    <x v="0"/>
    <d v="2007-04-08T00:00:00"/>
    <n v="1"/>
  </r>
  <r>
    <x v="743"/>
    <x v="31"/>
    <x v="0"/>
    <x v="3"/>
    <x v="1"/>
    <n v="39"/>
    <x v="3"/>
    <x v="324"/>
    <n v="84297"/>
    <n v="0"/>
    <n v="84297"/>
    <x v="2"/>
    <x v="8"/>
    <m/>
    <n v="0"/>
  </r>
  <r>
    <x v="744"/>
    <x v="4"/>
    <x v="2"/>
    <x v="2"/>
    <x v="0"/>
    <n v="53"/>
    <x v="1"/>
    <x v="719"/>
    <n v="75769"/>
    <n v="0"/>
    <n v="75769"/>
    <x v="2"/>
    <x v="8"/>
    <d v="2020-07-17T00:00:00"/>
    <n v="1"/>
  </r>
  <r>
    <x v="745"/>
    <x v="9"/>
    <x v="3"/>
    <x v="2"/>
    <x v="1"/>
    <n v="41"/>
    <x v="3"/>
    <x v="720"/>
    <n v="235619"/>
    <n v="0.3"/>
    <n v="306305"/>
    <x v="0"/>
    <x v="0"/>
    <m/>
    <n v="0"/>
  </r>
  <r>
    <x v="746"/>
    <x v="2"/>
    <x v="5"/>
    <x v="2"/>
    <x v="1"/>
    <n v="40"/>
    <x v="3"/>
    <x v="721"/>
    <n v="187187"/>
    <n v="0.18"/>
    <n v="220881"/>
    <x v="2"/>
    <x v="8"/>
    <m/>
    <n v="0"/>
  </r>
  <r>
    <x v="747"/>
    <x v="24"/>
    <x v="0"/>
    <x v="0"/>
    <x v="1"/>
    <n v="48"/>
    <x v="1"/>
    <x v="722"/>
    <n v="68987"/>
    <n v="0"/>
    <n v="68987"/>
    <x v="0"/>
    <x v="2"/>
    <d v="2006-04-22T00:00:00"/>
    <n v="1"/>
  </r>
  <r>
    <x v="748"/>
    <x v="2"/>
    <x v="5"/>
    <x v="2"/>
    <x v="1"/>
    <n v="41"/>
    <x v="3"/>
    <x v="723"/>
    <n v="155926"/>
    <n v="0.24"/>
    <n v="193348"/>
    <x v="0"/>
    <x v="7"/>
    <d v="2008-05-30T00:00:00"/>
    <n v="1"/>
  </r>
  <r>
    <x v="749"/>
    <x v="4"/>
    <x v="3"/>
    <x v="2"/>
    <x v="1"/>
    <n v="54"/>
    <x v="1"/>
    <x v="724"/>
    <n v="93668"/>
    <n v="0"/>
    <n v="93668"/>
    <x v="0"/>
    <x v="2"/>
    <m/>
    <n v="0"/>
  </r>
  <r>
    <x v="750"/>
    <x v="16"/>
    <x v="4"/>
    <x v="0"/>
    <x v="1"/>
    <n v="38"/>
    <x v="3"/>
    <x v="725"/>
    <n v="69647"/>
    <n v="0"/>
    <n v="69647"/>
    <x v="0"/>
    <x v="4"/>
    <d v="2022-04-20T00:00:00"/>
    <n v="1"/>
  </r>
  <r>
    <x v="751"/>
    <x v="27"/>
    <x v="0"/>
    <x v="3"/>
    <x v="1"/>
    <n v="57"/>
    <x v="0"/>
    <x v="726"/>
    <n v="63318"/>
    <n v="0"/>
    <n v="63318"/>
    <x v="0"/>
    <x v="7"/>
    <m/>
    <n v="0"/>
  </r>
  <r>
    <x v="752"/>
    <x v="4"/>
    <x v="6"/>
    <x v="1"/>
    <x v="1"/>
    <n v="63"/>
    <x v="0"/>
    <x v="727"/>
    <n v="77629"/>
    <n v="0"/>
    <n v="77629"/>
    <x v="1"/>
    <x v="10"/>
    <m/>
    <n v="0"/>
  </r>
  <r>
    <x v="753"/>
    <x v="0"/>
    <x v="4"/>
    <x v="1"/>
    <x v="1"/>
    <n v="62"/>
    <x v="0"/>
    <x v="728"/>
    <n v="138808"/>
    <n v="0.15"/>
    <n v="159629"/>
    <x v="1"/>
    <x v="1"/>
    <m/>
    <n v="0"/>
  </r>
  <r>
    <x v="754"/>
    <x v="14"/>
    <x v="0"/>
    <x v="0"/>
    <x v="0"/>
    <n v="49"/>
    <x v="1"/>
    <x v="729"/>
    <n v="88777"/>
    <n v="0"/>
    <n v="88777"/>
    <x v="0"/>
    <x v="2"/>
    <m/>
    <n v="0"/>
  </r>
  <r>
    <x v="755"/>
    <x v="2"/>
    <x v="3"/>
    <x v="3"/>
    <x v="0"/>
    <n v="60"/>
    <x v="0"/>
    <x v="730"/>
    <n v="186378"/>
    <n v="0.26"/>
    <n v="234836"/>
    <x v="1"/>
    <x v="1"/>
    <m/>
    <n v="0"/>
  </r>
  <r>
    <x v="756"/>
    <x v="10"/>
    <x v="5"/>
    <x v="0"/>
    <x v="0"/>
    <n v="45"/>
    <x v="1"/>
    <x v="731"/>
    <n v="60017"/>
    <n v="0"/>
    <n v="60017"/>
    <x v="0"/>
    <x v="2"/>
    <m/>
    <n v="0"/>
  </r>
  <r>
    <x v="757"/>
    <x v="0"/>
    <x v="2"/>
    <x v="2"/>
    <x v="0"/>
    <n v="45"/>
    <x v="1"/>
    <x v="732"/>
    <n v="148991"/>
    <n v="0.12"/>
    <n v="166870"/>
    <x v="2"/>
    <x v="12"/>
    <m/>
    <n v="0"/>
  </r>
  <r>
    <x v="758"/>
    <x v="17"/>
    <x v="5"/>
    <x v="2"/>
    <x v="0"/>
    <n v="52"/>
    <x v="1"/>
    <x v="733"/>
    <n v="97398"/>
    <n v="0"/>
    <n v="97398"/>
    <x v="2"/>
    <x v="8"/>
    <m/>
    <n v="0"/>
  </r>
  <r>
    <x v="759"/>
    <x v="15"/>
    <x v="4"/>
    <x v="1"/>
    <x v="0"/>
    <n v="63"/>
    <x v="0"/>
    <x v="734"/>
    <n v="72805"/>
    <n v="0"/>
    <n v="72805"/>
    <x v="1"/>
    <x v="6"/>
    <m/>
    <n v="0"/>
  </r>
  <r>
    <x v="760"/>
    <x v="26"/>
    <x v="2"/>
    <x v="0"/>
    <x v="0"/>
    <n v="46"/>
    <x v="1"/>
    <x v="735"/>
    <n v="72131"/>
    <n v="0"/>
    <n v="72131"/>
    <x v="1"/>
    <x v="6"/>
    <m/>
    <n v="0"/>
  </r>
  <r>
    <x v="761"/>
    <x v="6"/>
    <x v="4"/>
    <x v="1"/>
    <x v="1"/>
    <n v="64"/>
    <x v="0"/>
    <x v="736"/>
    <n v="104668"/>
    <n v="0.08"/>
    <n v="113041"/>
    <x v="0"/>
    <x v="7"/>
    <m/>
    <n v="0"/>
  </r>
  <r>
    <x v="762"/>
    <x v="4"/>
    <x v="2"/>
    <x v="1"/>
    <x v="0"/>
    <n v="53"/>
    <x v="1"/>
    <x v="660"/>
    <n v="89769"/>
    <n v="0"/>
    <n v="89769"/>
    <x v="0"/>
    <x v="0"/>
    <m/>
    <n v="0"/>
  </r>
  <r>
    <x v="763"/>
    <x v="6"/>
    <x v="2"/>
    <x v="3"/>
    <x v="0"/>
    <n v="27"/>
    <x v="2"/>
    <x v="737"/>
    <n v="127616"/>
    <n v="0.07"/>
    <n v="136549"/>
    <x v="0"/>
    <x v="7"/>
    <m/>
    <n v="0"/>
  </r>
  <r>
    <x v="764"/>
    <x v="6"/>
    <x v="4"/>
    <x v="3"/>
    <x v="1"/>
    <n v="45"/>
    <x v="1"/>
    <x v="738"/>
    <n v="109883"/>
    <n v="0.07"/>
    <n v="117575"/>
    <x v="0"/>
    <x v="7"/>
    <m/>
    <n v="0"/>
  </r>
  <r>
    <x v="765"/>
    <x v="20"/>
    <x v="4"/>
    <x v="1"/>
    <x v="0"/>
    <n v="25"/>
    <x v="2"/>
    <x v="739"/>
    <n v="47974"/>
    <n v="0"/>
    <n v="47974"/>
    <x v="1"/>
    <x v="1"/>
    <m/>
    <n v="0"/>
  </r>
  <r>
    <x v="766"/>
    <x v="0"/>
    <x v="0"/>
    <x v="2"/>
    <x v="0"/>
    <n v="43"/>
    <x v="3"/>
    <x v="740"/>
    <n v="120321"/>
    <n v="0.12"/>
    <n v="134760"/>
    <x v="0"/>
    <x v="5"/>
    <m/>
    <n v="0"/>
  </r>
  <r>
    <x v="767"/>
    <x v="12"/>
    <x v="0"/>
    <x v="1"/>
    <x v="0"/>
    <n v="61"/>
    <x v="0"/>
    <x v="741"/>
    <n v="57446"/>
    <n v="0"/>
    <n v="57446"/>
    <x v="0"/>
    <x v="3"/>
    <m/>
    <n v="0"/>
  </r>
  <r>
    <x v="768"/>
    <x v="2"/>
    <x v="3"/>
    <x v="0"/>
    <x v="0"/>
    <n v="42"/>
    <x v="3"/>
    <x v="742"/>
    <n v="174099"/>
    <n v="0.26"/>
    <n v="219365"/>
    <x v="0"/>
    <x v="5"/>
    <m/>
    <n v="0"/>
  </r>
  <r>
    <x v="769"/>
    <x v="0"/>
    <x v="1"/>
    <x v="1"/>
    <x v="1"/>
    <n v="63"/>
    <x v="0"/>
    <x v="743"/>
    <n v="128703"/>
    <n v="0.13"/>
    <n v="145434"/>
    <x v="0"/>
    <x v="5"/>
    <m/>
    <n v="0"/>
  </r>
  <r>
    <x v="770"/>
    <x v="17"/>
    <x v="5"/>
    <x v="3"/>
    <x v="0"/>
    <n v="32"/>
    <x v="2"/>
    <x v="744"/>
    <n v="65247"/>
    <n v="0"/>
    <n v="65247"/>
    <x v="0"/>
    <x v="3"/>
    <m/>
    <n v="0"/>
  </r>
  <r>
    <x v="771"/>
    <x v="10"/>
    <x v="5"/>
    <x v="0"/>
    <x v="1"/>
    <n v="27"/>
    <x v="2"/>
    <x v="745"/>
    <n v="64247"/>
    <n v="0"/>
    <n v="64247"/>
    <x v="2"/>
    <x v="9"/>
    <m/>
    <n v="0"/>
  </r>
  <r>
    <x v="772"/>
    <x v="6"/>
    <x v="4"/>
    <x v="0"/>
    <x v="0"/>
    <n v="33"/>
    <x v="2"/>
    <x v="280"/>
    <n v="118253"/>
    <n v="0.08"/>
    <n v="127713"/>
    <x v="0"/>
    <x v="5"/>
    <m/>
    <n v="0"/>
  </r>
  <r>
    <x v="773"/>
    <x v="19"/>
    <x v="5"/>
    <x v="1"/>
    <x v="0"/>
    <n v="45"/>
    <x v="1"/>
    <x v="746"/>
    <n v="109422"/>
    <n v="0"/>
    <n v="109422"/>
    <x v="1"/>
    <x v="1"/>
    <m/>
    <n v="0"/>
  </r>
  <r>
    <x v="774"/>
    <x v="6"/>
    <x v="4"/>
    <x v="3"/>
    <x v="1"/>
    <n v="41"/>
    <x v="3"/>
    <x v="747"/>
    <n v="126950"/>
    <n v="0.1"/>
    <n v="139645"/>
    <x v="0"/>
    <x v="2"/>
    <m/>
    <n v="0"/>
  </r>
  <r>
    <x v="775"/>
    <x v="14"/>
    <x v="0"/>
    <x v="1"/>
    <x v="0"/>
    <n v="36"/>
    <x v="3"/>
    <x v="748"/>
    <n v="97500"/>
    <n v="0"/>
    <n v="97500"/>
    <x v="0"/>
    <x v="4"/>
    <m/>
    <n v="0"/>
  </r>
  <r>
    <x v="776"/>
    <x v="12"/>
    <x v="0"/>
    <x v="1"/>
    <x v="1"/>
    <n v="25"/>
    <x v="2"/>
    <x v="735"/>
    <n v="41844"/>
    <n v="0"/>
    <n v="41844"/>
    <x v="1"/>
    <x v="1"/>
    <m/>
    <n v="0"/>
  </r>
  <r>
    <x v="777"/>
    <x v="13"/>
    <x v="3"/>
    <x v="0"/>
    <x v="1"/>
    <n v="43"/>
    <x v="3"/>
    <x v="749"/>
    <n v="58875"/>
    <n v="0"/>
    <n v="58875"/>
    <x v="1"/>
    <x v="11"/>
    <m/>
    <n v="0"/>
  </r>
  <r>
    <x v="778"/>
    <x v="5"/>
    <x v="2"/>
    <x v="1"/>
    <x v="0"/>
    <n v="37"/>
    <x v="3"/>
    <x v="750"/>
    <n v="64204"/>
    <n v="0"/>
    <n v="64204"/>
    <x v="0"/>
    <x v="7"/>
    <d v="2021-04-20T00:00:00"/>
    <n v="1"/>
  </r>
  <r>
    <x v="779"/>
    <x v="13"/>
    <x v="2"/>
    <x v="3"/>
    <x v="0"/>
    <n v="42"/>
    <x v="3"/>
    <x v="751"/>
    <n v="67743"/>
    <n v="0"/>
    <n v="67743"/>
    <x v="1"/>
    <x v="10"/>
    <d v="2014-12-25T00:00:00"/>
    <n v="1"/>
  </r>
  <r>
    <x v="780"/>
    <x v="26"/>
    <x v="2"/>
    <x v="2"/>
    <x v="0"/>
    <n v="60"/>
    <x v="0"/>
    <x v="752"/>
    <n v="71677"/>
    <n v="0"/>
    <n v="71677"/>
    <x v="0"/>
    <x v="7"/>
    <m/>
    <n v="0"/>
  </r>
  <r>
    <x v="781"/>
    <x v="12"/>
    <x v="0"/>
    <x v="2"/>
    <x v="1"/>
    <n v="61"/>
    <x v="0"/>
    <x v="753"/>
    <n v="40063"/>
    <n v="0"/>
    <n v="40063"/>
    <x v="0"/>
    <x v="4"/>
    <m/>
    <n v="0"/>
  </r>
  <r>
    <x v="782"/>
    <x v="12"/>
    <x v="0"/>
    <x v="1"/>
    <x v="0"/>
    <n v="55"/>
    <x v="0"/>
    <x v="754"/>
    <n v="40124"/>
    <n v="0"/>
    <n v="40124"/>
    <x v="0"/>
    <x v="5"/>
    <m/>
    <n v="0"/>
  </r>
  <r>
    <x v="783"/>
    <x v="18"/>
    <x v="5"/>
    <x v="1"/>
    <x v="1"/>
    <n v="57"/>
    <x v="0"/>
    <x v="755"/>
    <n v="103183"/>
    <n v="0"/>
    <n v="103183"/>
    <x v="0"/>
    <x v="5"/>
    <d v="2021-07-09T00:00:00"/>
    <n v="1"/>
  </r>
  <r>
    <x v="784"/>
    <x v="27"/>
    <x v="0"/>
    <x v="3"/>
    <x v="1"/>
    <n v="54"/>
    <x v="1"/>
    <x v="756"/>
    <n v="95239"/>
    <n v="0"/>
    <n v="95239"/>
    <x v="0"/>
    <x v="3"/>
    <m/>
    <n v="0"/>
  </r>
  <r>
    <x v="785"/>
    <x v="25"/>
    <x v="5"/>
    <x v="1"/>
    <x v="0"/>
    <n v="29"/>
    <x v="2"/>
    <x v="757"/>
    <n v="75012"/>
    <n v="0"/>
    <n v="75012"/>
    <x v="0"/>
    <x v="2"/>
    <m/>
    <n v="0"/>
  </r>
  <r>
    <x v="786"/>
    <x v="23"/>
    <x v="0"/>
    <x v="1"/>
    <x v="0"/>
    <n v="33"/>
    <x v="2"/>
    <x v="758"/>
    <n v="96366"/>
    <n v="0"/>
    <n v="96366"/>
    <x v="1"/>
    <x v="11"/>
    <m/>
    <n v="0"/>
  </r>
  <r>
    <x v="787"/>
    <x v="7"/>
    <x v="6"/>
    <x v="3"/>
    <x v="0"/>
    <n v="39"/>
    <x v="3"/>
    <x v="759"/>
    <n v="40897"/>
    <n v="0"/>
    <n v="40897"/>
    <x v="0"/>
    <x v="0"/>
    <m/>
    <n v="0"/>
  </r>
  <r>
    <x v="788"/>
    <x v="6"/>
    <x v="1"/>
    <x v="0"/>
    <x v="0"/>
    <n v="37"/>
    <x v="3"/>
    <x v="760"/>
    <n v="124928"/>
    <n v="0.06"/>
    <n v="132424"/>
    <x v="1"/>
    <x v="1"/>
    <m/>
    <n v="0"/>
  </r>
  <r>
    <x v="789"/>
    <x v="6"/>
    <x v="1"/>
    <x v="2"/>
    <x v="0"/>
    <n v="51"/>
    <x v="1"/>
    <x v="761"/>
    <n v="108221"/>
    <n v="0.05"/>
    <n v="113632"/>
    <x v="2"/>
    <x v="8"/>
    <m/>
    <n v="0"/>
  </r>
  <r>
    <x v="790"/>
    <x v="15"/>
    <x v="4"/>
    <x v="3"/>
    <x v="1"/>
    <n v="46"/>
    <x v="1"/>
    <x v="762"/>
    <n v="75579"/>
    <n v="0"/>
    <n v="75579"/>
    <x v="0"/>
    <x v="0"/>
    <m/>
    <n v="0"/>
  </r>
  <r>
    <x v="791"/>
    <x v="0"/>
    <x v="4"/>
    <x v="1"/>
    <x v="1"/>
    <n v="41"/>
    <x v="3"/>
    <x v="763"/>
    <n v="129903"/>
    <n v="0.13"/>
    <n v="146790"/>
    <x v="2"/>
    <x v="12"/>
    <m/>
    <n v="0"/>
  </r>
  <r>
    <x v="792"/>
    <x v="2"/>
    <x v="1"/>
    <x v="0"/>
    <x v="0"/>
    <n v="25"/>
    <x v="2"/>
    <x v="441"/>
    <n v="186870"/>
    <n v="0.2"/>
    <n v="224244"/>
    <x v="1"/>
    <x v="6"/>
    <m/>
    <n v="0"/>
  </r>
  <r>
    <x v="793"/>
    <x v="13"/>
    <x v="2"/>
    <x v="0"/>
    <x v="1"/>
    <n v="37"/>
    <x v="3"/>
    <x v="764"/>
    <n v="57531"/>
    <n v="0"/>
    <n v="57531"/>
    <x v="0"/>
    <x v="2"/>
    <m/>
    <n v="0"/>
  </r>
  <r>
    <x v="794"/>
    <x v="7"/>
    <x v="1"/>
    <x v="0"/>
    <x v="1"/>
    <n v="46"/>
    <x v="1"/>
    <x v="765"/>
    <n v="55894"/>
    <n v="0"/>
    <n v="55894"/>
    <x v="0"/>
    <x v="0"/>
    <m/>
    <n v="0"/>
  </r>
  <r>
    <x v="795"/>
    <x v="17"/>
    <x v="5"/>
    <x v="1"/>
    <x v="0"/>
    <n v="42"/>
    <x v="3"/>
    <x v="766"/>
    <n v="72903"/>
    <n v="0"/>
    <n v="72903"/>
    <x v="0"/>
    <x v="3"/>
    <m/>
    <n v="0"/>
  </r>
  <r>
    <x v="796"/>
    <x v="7"/>
    <x v="1"/>
    <x v="3"/>
    <x v="1"/>
    <n v="37"/>
    <x v="3"/>
    <x v="744"/>
    <n v="45369"/>
    <n v="0"/>
    <n v="45369"/>
    <x v="1"/>
    <x v="10"/>
    <m/>
    <n v="0"/>
  </r>
  <r>
    <x v="797"/>
    <x v="6"/>
    <x v="1"/>
    <x v="2"/>
    <x v="1"/>
    <n v="60"/>
    <x v="0"/>
    <x v="767"/>
    <n v="106578"/>
    <n v="0.09"/>
    <n v="116170"/>
    <x v="0"/>
    <x v="4"/>
    <m/>
    <n v="0"/>
  </r>
  <r>
    <x v="798"/>
    <x v="15"/>
    <x v="4"/>
    <x v="0"/>
    <x v="0"/>
    <n v="52"/>
    <x v="1"/>
    <x v="768"/>
    <n v="92994"/>
    <n v="0"/>
    <n v="92994"/>
    <x v="0"/>
    <x v="2"/>
    <m/>
    <n v="0"/>
  </r>
  <r>
    <x v="799"/>
    <x v="4"/>
    <x v="2"/>
    <x v="2"/>
    <x v="1"/>
    <n v="59"/>
    <x v="0"/>
    <x v="769"/>
    <n v="83685"/>
    <n v="0"/>
    <n v="83685"/>
    <x v="1"/>
    <x v="10"/>
    <m/>
    <n v="0"/>
  </r>
  <r>
    <x v="800"/>
    <x v="21"/>
    <x v="0"/>
    <x v="0"/>
    <x v="1"/>
    <n v="48"/>
    <x v="1"/>
    <x v="770"/>
    <n v="99335"/>
    <n v="0"/>
    <n v="99335"/>
    <x v="0"/>
    <x v="3"/>
    <m/>
    <n v="0"/>
  </r>
  <r>
    <x v="801"/>
    <x v="0"/>
    <x v="4"/>
    <x v="1"/>
    <x v="1"/>
    <n v="42"/>
    <x v="3"/>
    <x v="771"/>
    <n v="131179"/>
    <n v="0.15"/>
    <n v="150856"/>
    <x v="0"/>
    <x v="7"/>
    <m/>
    <n v="0"/>
  </r>
  <r>
    <x v="802"/>
    <x v="3"/>
    <x v="0"/>
    <x v="2"/>
    <x v="1"/>
    <n v="35"/>
    <x v="3"/>
    <x v="772"/>
    <n v="73899"/>
    <n v="0.05"/>
    <n v="77594"/>
    <x v="1"/>
    <x v="11"/>
    <m/>
    <n v="0"/>
  </r>
  <r>
    <x v="803"/>
    <x v="9"/>
    <x v="3"/>
    <x v="1"/>
    <x v="1"/>
    <n v="64"/>
    <x v="0"/>
    <x v="773"/>
    <n v="252325"/>
    <n v="0.4"/>
    <n v="353255"/>
    <x v="0"/>
    <x v="7"/>
    <m/>
    <n v="0"/>
  </r>
  <r>
    <x v="804"/>
    <x v="13"/>
    <x v="1"/>
    <x v="0"/>
    <x v="0"/>
    <n v="30"/>
    <x v="2"/>
    <x v="774"/>
    <n v="52697"/>
    <n v="0"/>
    <n v="52697"/>
    <x v="0"/>
    <x v="0"/>
    <m/>
    <n v="0"/>
  </r>
  <r>
    <x v="805"/>
    <x v="19"/>
    <x v="5"/>
    <x v="2"/>
    <x v="0"/>
    <n v="29"/>
    <x v="2"/>
    <x v="775"/>
    <n v="123588"/>
    <n v="0"/>
    <n v="123588"/>
    <x v="2"/>
    <x v="12"/>
    <m/>
    <n v="0"/>
  </r>
  <r>
    <x v="806"/>
    <x v="9"/>
    <x v="3"/>
    <x v="3"/>
    <x v="0"/>
    <n v="47"/>
    <x v="1"/>
    <x v="205"/>
    <n v="243568"/>
    <n v="0.33"/>
    <n v="323945"/>
    <x v="0"/>
    <x v="5"/>
    <m/>
    <n v="0"/>
  </r>
  <r>
    <x v="807"/>
    <x v="2"/>
    <x v="2"/>
    <x v="0"/>
    <x v="1"/>
    <n v="49"/>
    <x v="1"/>
    <x v="776"/>
    <n v="199176"/>
    <n v="0.24"/>
    <n v="246978"/>
    <x v="0"/>
    <x v="3"/>
    <m/>
    <n v="0"/>
  </r>
  <r>
    <x v="808"/>
    <x v="1"/>
    <x v="0"/>
    <x v="2"/>
    <x v="0"/>
    <n v="56"/>
    <x v="0"/>
    <x v="777"/>
    <n v="82806"/>
    <n v="0"/>
    <n v="82806"/>
    <x v="0"/>
    <x v="0"/>
    <m/>
    <n v="0"/>
  </r>
  <r>
    <x v="809"/>
    <x v="2"/>
    <x v="6"/>
    <x v="2"/>
    <x v="0"/>
    <n v="53"/>
    <x v="1"/>
    <x v="778"/>
    <n v="164399"/>
    <n v="0.25"/>
    <n v="205499"/>
    <x v="0"/>
    <x v="0"/>
    <m/>
    <n v="0"/>
  </r>
  <r>
    <x v="810"/>
    <x v="0"/>
    <x v="4"/>
    <x v="1"/>
    <x v="0"/>
    <n v="32"/>
    <x v="2"/>
    <x v="779"/>
    <n v="154956"/>
    <n v="0.13"/>
    <n v="175100"/>
    <x v="0"/>
    <x v="3"/>
    <m/>
    <n v="0"/>
  </r>
  <r>
    <x v="811"/>
    <x v="0"/>
    <x v="6"/>
    <x v="1"/>
    <x v="1"/>
    <n v="32"/>
    <x v="2"/>
    <x v="780"/>
    <n v="143970"/>
    <n v="0.12"/>
    <n v="161246"/>
    <x v="0"/>
    <x v="0"/>
    <d v="2017-12-09T00:00:00"/>
    <n v="1"/>
  </r>
  <r>
    <x v="812"/>
    <x v="2"/>
    <x v="2"/>
    <x v="3"/>
    <x v="1"/>
    <n v="52"/>
    <x v="1"/>
    <x v="775"/>
    <n v="163143"/>
    <n v="0.28"/>
    <n v="208823"/>
    <x v="2"/>
    <x v="12"/>
    <m/>
    <n v="0"/>
  </r>
  <r>
    <x v="813"/>
    <x v="4"/>
    <x v="3"/>
    <x v="2"/>
    <x v="0"/>
    <n v="38"/>
    <x v="3"/>
    <x v="154"/>
    <n v="89390"/>
    <n v="0"/>
    <n v="89390"/>
    <x v="0"/>
    <x v="0"/>
    <m/>
    <n v="0"/>
  </r>
  <r>
    <x v="814"/>
    <x v="23"/>
    <x v="0"/>
    <x v="1"/>
    <x v="1"/>
    <n v="41"/>
    <x v="3"/>
    <x v="781"/>
    <n v="67468"/>
    <n v="0"/>
    <n v="67468"/>
    <x v="0"/>
    <x v="4"/>
    <m/>
    <n v="0"/>
  </r>
  <r>
    <x v="815"/>
    <x v="11"/>
    <x v="5"/>
    <x v="1"/>
    <x v="0"/>
    <n v="49"/>
    <x v="1"/>
    <x v="782"/>
    <n v="100810"/>
    <n v="0.12"/>
    <n v="112907"/>
    <x v="2"/>
    <x v="9"/>
    <m/>
    <n v="0"/>
  </r>
  <r>
    <x v="816"/>
    <x v="4"/>
    <x v="1"/>
    <x v="1"/>
    <x v="0"/>
    <n v="35"/>
    <x v="3"/>
    <x v="363"/>
    <n v="74779"/>
    <n v="0"/>
    <n v="74779"/>
    <x v="0"/>
    <x v="3"/>
    <m/>
    <n v="0"/>
  </r>
  <r>
    <x v="817"/>
    <x v="24"/>
    <x v="0"/>
    <x v="3"/>
    <x v="0"/>
    <n v="29"/>
    <x v="2"/>
    <x v="783"/>
    <n v="63985"/>
    <n v="0"/>
    <n v="63985"/>
    <x v="0"/>
    <x v="4"/>
    <m/>
    <n v="0"/>
  </r>
  <r>
    <x v="818"/>
    <x v="29"/>
    <x v="0"/>
    <x v="1"/>
    <x v="0"/>
    <n v="64"/>
    <x v="0"/>
    <x v="784"/>
    <n v="77903"/>
    <n v="0"/>
    <n v="77903"/>
    <x v="0"/>
    <x v="0"/>
    <m/>
    <n v="0"/>
  </r>
  <r>
    <x v="819"/>
    <x v="2"/>
    <x v="6"/>
    <x v="3"/>
    <x v="1"/>
    <n v="33"/>
    <x v="2"/>
    <x v="785"/>
    <n v="164396"/>
    <n v="0.29"/>
    <n v="212071"/>
    <x v="0"/>
    <x v="7"/>
    <m/>
    <n v="0"/>
  </r>
  <r>
    <x v="820"/>
    <x v="30"/>
    <x v="0"/>
    <x v="3"/>
    <x v="1"/>
    <n v="29"/>
    <x v="2"/>
    <x v="786"/>
    <n v="71234"/>
    <n v="0"/>
    <n v="71234"/>
    <x v="0"/>
    <x v="0"/>
    <m/>
    <n v="0"/>
  </r>
  <r>
    <x v="821"/>
    <x v="6"/>
    <x v="1"/>
    <x v="3"/>
    <x v="1"/>
    <n v="63"/>
    <x v="0"/>
    <x v="787"/>
    <n v="122487"/>
    <n v="0.08"/>
    <n v="132286"/>
    <x v="1"/>
    <x v="6"/>
    <m/>
    <n v="0"/>
  </r>
  <r>
    <x v="822"/>
    <x v="6"/>
    <x v="4"/>
    <x v="2"/>
    <x v="0"/>
    <n v="32"/>
    <x v="2"/>
    <x v="788"/>
    <n v="101870"/>
    <n v="0.1"/>
    <n v="112057"/>
    <x v="0"/>
    <x v="3"/>
    <m/>
    <n v="0"/>
  </r>
  <r>
    <x v="823"/>
    <x v="28"/>
    <x v="0"/>
    <x v="0"/>
    <x v="1"/>
    <n v="64"/>
    <x v="0"/>
    <x v="789"/>
    <n v="40316"/>
    <n v="0"/>
    <n v="40316"/>
    <x v="2"/>
    <x v="8"/>
    <m/>
    <n v="0"/>
  </r>
  <r>
    <x v="824"/>
    <x v="6"/>
    <x v="0"/>
    <x v="0"/>
    <x v="0"/>
    <n v="55"/>
    <x v="0"/>
    <x v="790"/>
    <n v="115145"/>
    <n v="0.05"/>
    <n v="120902"/>
    <x v="1"/>
    <x v="1"/>
    <m/>
    <n v="0"/>
  </r>
  <r>
    <x v="825"/>
    <x v="21"/>
    <x v="0"/>
    <x v="1"/>
    <x v="0"/>
    <n v="43"/>
    <x v="3"/>
    <x v="791"/>
    <n v="62335"/>
    <n v="0"/>
    <n v="62335"/>
    <x v="2"/>
    <x v="8"/>
    <m/>
    <n v="0"/>
  </r>
  <r>
    <x v="826"/>
    <x v="7"/>
    <x v="1"/>
    <x v="1"/>
    <x v="1"/>
    <n v="56"/>
    <x v="0"/>
    <x v="792"/>
    <n v="41561"/>
    <n v="0"/>
    <n v="41561"/>
    <x v="0"/>
    <x v="5"/>
    <m/>
    <n v="0"/>
  </r>
  <r>
    <x v="827"/>
    <x v="0"/>
    <x v="1"/>
    <x v="2"/>
    <x v="0"/>
    <n v="37"/>
    <x v="3"/>
    <x v="765"/>
    <n v="131183"/>
    <n v="0.14"/>
    <n v="149549"/>
    <x v="1"/>
    <x v="6"/>
    <d v="2016-03-16T00:00:00"/>
    <n v="1"/>
  </r>
  <r>
    <x v="828"/>
    <x v="1"/>
    <x v="0"/>
    <x v="1"/>
    <x v="0"/>
    <n v="45"/>
    <x v="1"/>
    <x v="793"/>
    <n v="92655"/>
    <n v="0"/>
    <n v="92655"/>
    <x v="1"/>
    <x v="11"/>
    <m/>
    <n v="0"/>
  </r>
  <r>
    <x v="829"/>
    <x v="0"/>
    <x v="2"/>
    <x v="1"/>
    <x v="0"/>
    <n v="49"/>
    <x v="1"/>
    <x v="794"/>
    <n v="157057"/>
    <n v="0.12"/>
    <n v="175904"/>
    <x v="0"/>
    <x v="4"/>
    <m/>
    <n v="0"/>
  </r>
  <r>
    <x v="830"/>
    <x v="14"/>
    <x v="0"/>
    <x v="2"/>
    <x v="0"/>
    <n v="61"/>
    <x v="0"/>
    <x v="795"/>
    <n v="64462"/>
    <n v="0"/>
    <n v="64462"/>
    <x v="0"/>
    <x v="2"/>
    <m/>
    <n v="0"/>
  </r>
  <r>
    <x v="831"/>
    <x v="10"/>
    <x v="5"/>
    <x v="3"/>
    <x v="0"/>
    <n v="41"/>
    <x v="3"/>
    <x v="796"/>
    <n v="79352"/>
    <n v="0"/>
    <n v="79352"/>
    <x v="0"/>
    <x v="0"/>
    <m/>
    <n v="0"/>
  </r>
  <r>
    <x v="832"/>
    <x v="0"/>
    <x v="6"/>
    <x v="2"/>
    <x v="0"/>
    <n v="55"/>
    <x v="0"/>
    <x v="797"/>
    <n v="157812"/>
    <n v="0.11"/>
    <n v="175171"/>
    <x v="0"/>
    <x v="4"/>
    <m/>
    <n v="0"/>
  </r>
  <r>
    <x v="833"/>
    <x v="10"/>
    <x v="5"/>
    <x v="3"/>
    <x v="1"/>
    <n v="27"/>
    <x v="2"/>
    <x v="798"/>
    <n v="80745"/>
    <n v="0"/>
    <n v="80745"/>
    <x v="0"/>
    <x v="2"/>
    <m/>
    <n v="0"/>
  </r>
  <r>
    <x v="834"/>
    <x v="27"/>
    <x v="0"/>
    <x v="1"/>
    <x v="0"/>
    <n v="57"/>
    <x v="0"/>
    <x v="799"/>
    <n v="75354"/>
    <n v="0"/>
    <n v="75354"/>
    <x v="0"/>
    <x v="5"/>
    <d v="1996-12-14T00:00:00"/>
    <n v="1"/>
  </r>
  <r>
    <x v="835"/>
    <x v="11"/>
    <x v="5"/>
    <x v="0"/>
    <x v="1"/>
    <n v="56"/>
    <x v="0"/>
    <x v="800"/>
    <n v="78938"/>
    <n v="0.14"/>
    <n v="89989"/>
    <x v="0"/>
    <x v="3"/>
    <m/>
    <n v="0"/>
  </r>
  <r>
    <x v="836"/>
    <x v="19"/>
    <x v="5"/>
    <x v="3"/>
    <x v="1"/>
    <n v="59"/>
    <x v="0"/>
    <x v="801"/>
    <n v="96313"/>
    <n v="0"/>
    <n v="96313"/>
    <x v="0"/>
    <x v="5"/>
    <m/>
    <n v="0"/>
  </r>
  <r>
    <x v="837"/>
    <x v="2"/>
    <x v="5"/>
    <x v="2"/>
    <x v="1"/>
    <n v="45"/>
    <x v="1"/>
    <x v="802"/>
    <n v="153767"/>
    <n v="0.27"/>
    <n v="195284"/>
    <x v="0"/>
    <x v="3"/>
    <m/>
    <n v="0"/>
  </r>
  <r>
    <x v="838"/>
    <x v="6"/>
    <x v="6"/>
    <x v="0"/>
    <x v="0"/>
    <n v="42"/>
    <x v="3"/>
    <x v="301"/>
    <n v="103423"/>
    <n v="0.06"/>
    <n v="109628"/>
    <x v="0"/>
    <x v="7"/>
    <m/>
    <n v="0"/>
  </r>
  <r>
    <x v="839"/>
    <x v="8"/>
    <x v="5"/>
    <x v="3"/>
    <x v="0"/>
    <n v="25"/>
    <x v="2"/>
    <x v="803"/>
    <n v="86464"/>
    <n v="0"/>
    <n v="86464"/>
    <x v="1"/>
    <x v="6"/>
    <m/>
    <n v="0"/>
  </r>
  <r>
    <x v="840"/>
    <x v="8"/>
    <x v="5"/>
    <x v="3"/>
    <x v="0"/>
    <n v="29"/>
    <x v="2"/>
    <x v="804"/>
    <n v="80516"/>
    <n v="0"/>
    <n v="80516"/>
    <x v="2"/>
    <x v="12"/>
    <m/>
    <n v="0"/>
  </r>
  <r>
    <x v="841"/>
    <x v="6"/>
    <x v="4"/>
    <x v="2"/>
    <x v="0"/>
    <n v="33"/>
    <x v="2"/>
    <x v="805"/>
    <n v="105390"/>
    <n v="0.06"/>
    <n v="111713"/>
    <x v="0"/>
    <x v="7"/>
    <m/>
    <n v="0"/>
  </r>
  <r>
    <x v="842"/>
    <x v="21"/>
    <x v="0"/>
    <x v="1"/>
    <x v="0"/>
    <n v="50"/>
    <x v="1"/>
    <x v="806"/>
    <n v="83418"/>
    <n v="0"/>
    <n v="83418"/>
    <x v="1"/>
    <x v="6"/>
    <m/>
    <n v="0"/>
  </r>
  <r>
    <x v="843"/>
    <x v="29"/>
    <x v="0"/>
    <x v="2"/>
    <x v="0"/>
    <n v="45"/>
    <x v="1"/>
    <x v="807"/>
    <n v="66660"/>
    <n v="0"/>
    <n v="66660"/>
    <x v="0"/>
    <x v="5"/>
    <m/>
    <n v="0"/>
  </r>
  <r>
    <x v="844"/>
    <x v="6"/>
    <x v="4"/>
    <x v="2"/>
    <x v="1"/>
    <n v="59"/>
    <x v="0"/>
    <x v="808"/>
    <n v="101985"/>
    <n v="0.07"/>
    <n v="109124"/>
    <x v="0"/>
    <x v="4"/>
    <m/>
    <n v="0"/>
  </r>
  <r>
    <x v="845"/>
    <x v="9"/>
    <x v="1"/>
    <x v="3"/>
    <x v="1"/>
    <n v="29"/>
    <x v="2"/>
    <x v="809"/>
    <n v="199504"/>
    <n v="0.3"/>
    <n v="259355"/>
    <x v="0"/>
    <x v="5"/>
    <m/>
    <n v="0"/>
  </r>
  <r>
    <x v="846"/>
    <x v="0"/>
    <x v="2"/>
    <x v="3"/>
    <x v="0"/>
    <n v="52"/>
    <x v="1"/>
    <x v="810"/>
    <n v="147966"/>
    <n v="0.11"/>
    <n v="164242"/>
    <x v="2"/>
    <x v="9"/>
    <d v="2019-05-23T00:00:00"/>
    <n v="1"/>
  </r>
  <r>
    <x v="847"/>
    <x v="20"/>
    <x v="4"/>
    <x v="2"/>
    <x v="1"/>
    <n v="58"/>
    <x v="0"/>
    <x v="811"/>
    <n v="41728"/>
    <n v="0"/>
    <n v="41728"/>
    <x v="1"/>
    <x v="1"/>
    <m/>
    <n v="0"/>
  </r>
  <r>
    <x v="848"/>
    <x v="4"/>
    <x v="3"/>
    <x v="2"/>
    <x v="1"/>
    <n v="62"/>
    <x v="0"/>
    <x v="812"/>
    <n v="94422"/>
    <n v="0"/>
    <n v="94422"/>
    <x v="0"/>
    <x v="3"/>
    <m/>
    <n v="0"/>
  </r>
  <r>
    <x v="849"/>
    <x v="2"/>
    <x v="2"/>
    <x v="3"/>
    <x v="1"/>
    <n v="31"/>
    <x v="2"/>
    <x v="813"/>
    <n v="191026"/>
    <n v="0.16"/>
    <n v="221590"/>
    <x v="0"/>
    <x v="7"/>
    <m/>
    <n v="0"/>
  </r>
  <r>
    <x v="850"/>
    <x v="9"/>
    <x v="0"/>
    <x v="0"/>
    <x v="1"/>
    <n v="42"/>
    <x v="3"/>
    <x v="802"/>
    <n v="186725"/>
    <n v="0.32"/>
    <n v="246477"/>
    <x v="2"/>
    <x v="8"/>
    <m/>
    <n v="0"/>
  </r>
  <r>
    <x v="851"/>
    <x v="20"/>
    <x v="4"/>
    <x v="0"/>
    <x v="0"/>
    <n v="56"/>
    <x v="0"/>
    <x v="814"/>
    <n v="52800"/>
    <n v="0"/>
    <n v="52800"/>
    <x v="0"/>
    <x v="3"/>
    <m/>
    <n v="0"/>
  </r>
  <r>
    <x v="852"/>
    <x v="19"/>
    <x v="5"/>
    <x v="2"/>
    <x v="1"/>
    <n v="54"/>
    <x v="1"/>
    <x v="815"/>
    <n v="113982"/>
    <n v="0"/>
    <n v="113982"/>
    <x v="0"/>
    <x v="0"/>
    <m/>
    <n v="0"/>
  </r>
  <r>
    <x v="853"/>
    <x v="5"/>
    <x v="2"/>
    <x v="0"/>
    <x v="0"/>
    <n v="54"/>
    <x v="1"/>
    <x v="816"/>
    <n v="56239"/>
    <n v="0"/>
    <n v="56239"/>
    <x v="1"/>
    <x v="1"/>
    <m/>
    <n v="0"/>
  </r>
  <r>
    <x v="854"/>
    <x v="7"/>
    <x v="2"/>
    <x v="1"/>
    <x v="1"/>
    <n v="26"/>
    <x v="2"/>
    <x v="817"/>
    <n v="44732"/>
    <n v="0"/>
    <n v="44732"/>
    <x v="2"/>
    <x v="9"/>
    <m/>
    <n v="0"/>
  </r>
  <r>
    <x v="855"/>
    <x v="2"/>
    <x v="6"/>
    <x v="3"/>
    <x v="1"/>
    <n v="49"/>
    <x v="1"/>
    <x v="818"/>
    <n v="153961"/>
    <n v="0.25"/>
    <n v="192451"/>
    <x v="1"/>
    <x v="6"/>
    <m/>
    <n v="0"/>
  </r>
  <r>
    <x v="856"/>
    <x v="23"/>
    <x v="0"/>
    <x v="2"/>
    <x v="0"/>
    <n v="45"/>
    <x v="1"/>
    <x v="819"/>
    <n v="68337"/>
    <n v="0"/>
    <n v="68337"/>
    <x v="1"/>
    <x v="1"/>
    <m/>
    <n v="0"/>
  </r>
  <r>
    <x v="857"/>
    <x v="0"/>
    <x v="4"/>
    <x v="3"/>
    <x v="1"/>
    <n v="45"/>
    <x v="1"/>
    <x v="820"/>
    <n v="145093"/>
    <n v="0.12"/>
    <n v="162504"/>
    <x v="0"/>
    <x v="2"/>
    <m/>
    <n v="0"/>
  </r>
  <r>
    <x v="858"/>
    <x v="30"/>
    <x v="0"/>
    <x v="2"/>
    <x v="0"/>
    <n v="26"/>
    <x v="2"/>
    <x v="59"/>
    <n v="74170"/>
    <n v="0"/>
    <n v="74170"/>
    <x v="0"/>
    <x v="5"/>
    <m/>
    <n v="0"/>
  </r>
  <r>
    <x v="859"/>
    <x v="17"/>
    <x v="5"/>
    <x v="0"/>
    <x v="1"/>
    <n v="59"/>
    <x v="0"/>
    <x v="821"/>
    <n v="62605"/>
    <n v="0"/>
    <n v="62605"/>
    <x v="0"/>
    <x v="5"/>
    <m/>
    <n v="0"/>
  </r>
  <r>
    <x v="860"/>
    <x v="6"/>
    <x v="0"/>
    <x v="2"/>
    <x v="0"/>
    <n v="51"/>
    <x v="1"/>
    <x v="822"/>
    <n v="107195"/>
    <n v="0.09"/>
    <n v="116843"/>
    <x v="0"/>
    <x v="5"/>
    <m/>
    <n v="0"/>
  </r>
  <r>
    <x v="861"/>
    <x v="0"/>
    <x v="6"/>
    <x v="2"/>
    <x v="1"/>
    <n v="45"/>
    <x v="1"/>
    <x v="823"/>
    <n v="127422"/>
    <n v="0.15"/>
    <n v="146535"/>
    <x v="0"/>
    <x v="7"/>
    <m/>
    <n v="0"/>
  </r>
  <r>
    <x v="862"/>
    <x v="2"/>
    <x v="3"/>
    <x v="0"/>
    <x v="0"/>
    <n v="35"/>
    <x v="3"/>
    <x v="824"/>
    <n v="161269"/>
    <n v="0.27"/>
    <n v="204812"/>
    <x v="0"/>
    <x v="4"/>
    <m/>
    <n v="0"/>
  </r>
  <r>
    <x v="863"/>
    <x v="9"/>
    <x v="6"/>
    <x v="3"/>
    <x v="0"/>
    <n v="32"/>
    <x v="2"/>
    <x v="825"/>
    <n v="203445"/>
    <n v="0.34"/>
    <n v="272616"/>
    <x v="2"/>
    <x v="8"/>
    <m/>
    <n v="0"/>
  </r>
  <r>
    <x v="864"/>
    <x v="0"/>
    <x v="4"/>
    <x v="0"/>
    <x v="0"/>
    <n v="37"/>
    <x v="3"/>
    <x v="826"/>
    <n v="131353"/>
    <n v="0.11"/>
    <n v="145802"/>
    <x v="1"/>
    <x v="6"/>
    <m/>
    <n v="0"/>
  </r>
  <r>
    <x v="865"/>
    <x v="31"/>
    <x v="0"/>
    <x v="1"/>
    <x v="1"/>
    <n v="45"/>
    <x v="1"/>
    <x v="827"/>
    <n v="88182"/>
    <n v="0"/>
    <n v="88182"/>
    <x v="1"/>
    <x v="11"/>
    <m/>
    <n v="0"/>
  </r>
  <r>
    <x v="866"/>
    <x v="14"/>
    <x v="0"/>
    <x v="2"/>
    <x v="1"/>
    <n v="61"/>
    <x v="0"/>
    <x v="828"/>
    <n v="75780"/>
    <n v="0"/>
    <n v="75780"/>
    <x v="0"/>
    <x v="0"/>
    <m/>
    <n v="0"/>
  </r>
  <r>
    <x v="867"/>
    <x v="13"/>
    <x v="2"/>
    <x v="0"/>
    <x v="0"/>
    <n v="45"/>
    <x v="1"/>
    <x v="829"/>
    <n v="52621"/>
    <n v="0"/>
    <n v="52621"/>
    <x v="1"/>
    <x v="10"/>
    <m/>
    <n v="0"/>
  </r>
  <r>
    <x v="868"/>
    <x v="11"/>
    <x v="5"/>
    <x v="0"/>
    <x v="1"/>
    <n v="60"/>
    <x v="0"/>
    <x v="830"/>
    <n v="106079"/>
    <n v="0.14"/>
    <n v="120930"/>
    <x v="0"/>
    <x v="5"/>
    <d v="2021-04-09T00:00:00"/>
    <n v="1"/>
  </r>
  <r>
    <x v="869"/>
    <x v="21"/>
    <x v="0"/>
    <x v="3"/>
    <x v="1"/>
    <n v="30"/>
    <x v="2"/>
    <x v="699"/>
    <n v="92058"/>
    <n v="0"/>
    <n v="92058"/>
    <x v="0"/>
    <x v="5"/>
    <m/>
    <n v="0"/>
  </r>
  <r>
    <x v="870"/>
    <x v="17"/>
    <x v="5"/>
    <x v="1"/>
    <x v="1"/>
    <n v="64"/>
    <x v="0"/>
    <x v="831"/>
    <n v="67114"/>
    <n v="0"/>
    <n v="67114"/>
    <x v="0"/>
    <x v="3"/>
    <m/>
    <n v="0"/>
  </r>
  <r>
    <x v="871"/>
    <x v="13"/>
    <x v="1"/>
    <x v="0"/>
    <x v="0"/>
    <n v="25"/>
    <x v="2"/>
    <x v="832"/>
    <n v="56565"/>
    <n v="0"/>
    <n v="56565"/>
    <x v="2"/>
    <x v="12"/>
    <m/>
    <n v="0"/>
  </r>
  <r>
    <x v="872"/>
    <x v="16"/>
    <x v="4"/>
    <x v="1"/>
    <x v="0"/>
    <n v="61"/>
    <x v="0"/>
    <x v="833"/>
    <n v="64937"/>
    <n v="0"/>
    <n v="64937"/>
    <x v="0"/>
    <x v="3"/>
    <m/>
    <n v="0"/>
  </r>
  <r>
    <x v="873"/>
    <x v="6"/>
    <x v="6"/>
    <x v="1"/>
    <x v="0"/>
    <n v="65"/>
    <x v="4"/>
    <x v="834"/>
    <n v="127626"/>
    <n v="0.1"/>
    <n v="140389"/>
    <x v="0"/>
    <x v="4"/>
    <m/>
    <n v="0"/>
  </r>
  <r>
    <x v="874"/>
    <x v="23"/>
    <x v="0"/>
    <x v="3"/>
    <x v="1"/>
    <n v="61"/>
    <x v="0"/>
    <x v="835"/>
    <n v="88478"/>
    <n v="0"/>
    <n v="88478"/>
    <x v="0"/>
    <x v="5"/>
    <m/>
    <n v="0"/>
  </r>
  <r>
    <x v="875"/>
    <x v="3"/>
    <x v="0"/>
    <x v="2"/>
    <x v="0"/>
    <n v="48"/>
    <x v="1"/>
    <x v="836"/>
    <n v="91679"/>
    <n v="0.07"/>
    <n v="98097"/>
    <x v="1"/>
    <x v="1"/>
    <m/>
    <n v="0"/>
  </r>
  <r>
    <x v="876"/>
    <x v="2"/>
    <x v="2"/>
    <x v="3"/>
    <x v="1"/>
    <n v="58"/>
    <x v="0"/>
    <x v="837"/>
    <n v="199848"/>
    <n v="0.16"/>
    <n v="231824"/>
    <x v="1"/>
    <x v="1"/>
    <m/>
    <n v="0"/>
  </r>
  <r>
    <x v="877"/>
    <x v="24"/>
    <x v="0"/>
    <x v="1"/>
    <x v="1"/>
    <n v="34"/>
    <x v="2"/>
    <x v="838"/>
    <n v="61944"/>
    <n v="0"/>
    <n v="61944"/>
    <x v="1"/>
    <x v="6"/>
    <m/>
    <n v="0"/>
  </r>
  <r>
    <x v="878"/>
    <x v="0"/>
    <x v="2"/>
    <x v="2"/>
    <x v="0"/>
    <n v="30"/>
    <x v="2"/>
    <x v="839"/>
    <n v="154624"/>
    <n v="0.15"/>
    <n v="177818"/>
    <x v="0"/>
    <x v="5"/>
    <m/>
    <n v="0"/>
  </r>
  <r>
    <x v="879"/>
    <x v="4"/>
    <x v="3"/>
    <x v="0"/>
    <x v="1"/>
    <n v="50"/>
    <x v="1"/>
    <x v="66"/>
    <n v="79447"/>
    <n v="0"/>
    <n v="79447"/>
    <x v="1"/>
    <x v="6"/>
    <m/>
    <n v="0"/>
  </r>
  <r>
    <x v="880"/>
    <x v="4"/>
    <x v="2"/>
    <x v="1"/>
    <x v="1"/>
    <n v="51"/>
    <x v="1"/>
    <x v="840"/>
    <n v="71111"/>
    <n v="0"/>
    <n v="71111"/>
    <x v="2"/>
    <x v="9"/>
    <m/>
    <n v="0"/>
  </r>
  <r>
    <x v="881"/>
    <x v="0"/>
    <x v="2"/>
    <x v="0"/>
    <x v="1"/>
    <n v="53"/>
    <x v="1"/>
    <x v="841"/>
    <n v="159538"/>
    <n v="0.11"/>
    <n v="177087"/>
    <x v="0"/>
    <x v="4"/>
    <m/>
    <n v="0"/>
  </r>
  <r>
    <x v="882"/>
    <x v="8"/>
    <x v="5"/>
    <x v="3"/>
    <x v="0"/>
    <n v="47"/>
    <x v="1"/>
    <x v="842"/>
    <n v="111404"/>
    <n v="0"/>
    <n v="111404"/>
    <x v="2"/>
    <x v="9"/>
    <m/>
    <n v="0"/>
  </r>
  <r>
    <x v="883"/>
    <x v="2"/>
    <x v="6"/>
    <x v="2"/>
    <x v="1"/>
    <n v="25"/>
    <x v="2"/>
    <x v="843"/>
    <n v="172007"/>
    <n v="0.26"/>
    <n v="216729"/>
    <x v="0"/>
    <x v="4"/>
    <m/>
    <n v="0"/>
  </r>
  <r>
    <x v="884"/>
    <x v="9"/>
    <x v="6"/>
    <x v="1"/>
    <x v="0"/>
    <n v="37"/>
    <x v="3"/>
    <x v="844"/>
    <n v="219474"/>
    <n v="0.36"/>
    <n v="298485"/>
    <x v="2"/>
    <x v="8"/>
    <m/>
    <n v="0"/>
  </r>
  <r>
    <x v="885"/>
    <x v="2"/>
    <x v="1"/>
    <x v="3"/>
    <x v="1"/>
    <n v="41"/>
    <x v="3"/>
    <x v="845"/>
    <n v="174415"/>
    <n v="0.23"/>
    <n v="214530"/>
    <x v="0"/>
    <x v="4"/>
    <m/>
    <n v="0"/>
  </r>
  <r>
    <x v="886"/>
    <x v="23"/>
    <x v="0"/>
    <x v="2"/>
    <x v="0"/>
    <n v="36"/>
    <x v="3"/>
    <x v="846"/>
    <n v="90333"/>
    <n v="0"/>
    <n v="90333"/>
    <x v="2"/>
    <x v="9"/>
    <m/>
    <n v="0"/>
  </r>
  <r>
    <x v="887"/>
    <x v="16"/>
    <x v="4"/>
    <x v="2"/>
    <x v="1"/>
    <n v="25"/>
    <x v="2"/>
    <x v="846"/>
    <n v="67299"/>
    <n v="0"/>
    <n v="67299"/>
    <x v="0"/>
    <x v="3"/>
    <m/>
    <n v="0"/>
  </r>
  <r>
    <x v="888"/>
    <x v="28"/>
    <x v="0"/>
    <x v="0"/>
    <x v="0"/>
    <n v="52"/>
    <x v="1"/>
    <x v="847"/>
    <n v="45286"/>
    <n v="0"/>
    <n v="45286"/>
    <x v="0"/>
    <x v="2"/>
    <m/>
    <n v="0"/>
  </r>
  <r>
    <x v="889"/>
    <x v="2"/>
    <x v="6"/>
    <x v="0"/>
    <x v="1"/>
    <n v="48"/>
    <x v="1"/>
    <x v="848"/>
    <n v="194723"/>
    <n v="0.25"/>
    <n v="243404"/>
    <x v="0"/>
    <x v="3"/>
    <m/>
    <n v="0"/>
  </r>
  <r>
    <x v="890"/>
    <x v="6"/>
    <x v="2"/>
    <x v="0"/>
    <x v="1"/>
    <n v="49"/>
    <x v="1"/>
    <x v="849"/>
    <n v="109850"/>
    <n v="0.07"/>
    <n v="117540"/>
    <x v="1"/>
    <x v="10"/>
    <d v="2020-02-04T00:00:00"/>
    <n v="1"/>
  </r>
  <r>
    <x v="891"/>
    <x v="20"/>
    <x v="4"/>
    <x v="0"/>
    <x v="0"/>
    <n v="62"/>
    <x v="0"/>
    <x v="850"/>
    <n v="45295"/>
    <n v="0"/>
    <n v="45295"/>
    <x v="2"/>
    <x v="12"/>
    <m/>
    <n v="0"/>
  </r>
  <r>
    <x v="892"/>
    <x v="32"/>
    <x v="0"/>
    <x v="1"/>
    <x v="0"/>
    <n v="36"/>
    <x v="3"/>
    <x v="851"/>
    <n v="61310"/>
    <n v="0"/>
    <n v="61310"/>
    <x v="0"/>
    <x v="3"/>
    <m/>
    <n v="0"/>
  </r>
  <r>
    <x v="893"/>
    <x v="27"/>
    <x v="0"/>
    <x v="0"/>
    <x v="1"/>
    <n v="55"/>
    <x v="0"/>
    <x v="852"/>
    <n v="87851"/>
    <n v="0"/>
    <n v="87851"/>
    <x v="1"/>
    <x v="1"/>
    <m/>
    <n v="0"/>
  </r>
  <r>
    <x v="894"/>
    <x v="20"/>
    <x v="4"/>
    <x v="2"/>
    <x v="0"/>
    <n v="31"/>
    <x v="2"/>
    <x v="496"/>
    <n v="47913"/>
    <n v="0"/>
    <n v="47913"/>
    <x v="0"/>
    <x v="0"/>
    <m/>
    <n v="0"/>
  </r>
  <r>
    <x v="895"/>
    <x v="20"/>
    <x v="4"/>
    <x v="2"/>
    <x v="0"/>
    <n v="53"/>
    <x v="1"/>
    <x v="853"/>
    <n v="46727"/>
    <n v="0"/>
    <n v="46727"/>
    <x v="0"/>
    <x v="7"/>
    <d v="2018-05-31T00:00:00"/>
    <n v="1"/>
  </r>
  <r>
    <x v="896"/>
    <x v="0"/>
    <x v="4"/>
    <x v="2"/>
    <x v="1"/>
    <n v="27"/>
    <x v="2"/>
    <x v="606"/>
    <n v="133400"/>
    <n v="0.11"/>
    <n v="148074"/>
    <x v="0"/>
    <x v="3"/>
    <m/>
    <n v="0"/>
  </r>
  <r>
    <x v="897"/>
    <x v="29"/>
    <x v="0"/>
    <x v="2"/>
    <x v="0"/>
    <n v="39"/>
    <x v="3"/>
    <x v="854"/>
    <n v="90535"/>
    <n v="0"/>
    <n v="90535"/>
    <x v="0"/>
    <x v="4"/>
    <m/>
    <n v="0"/>
  </r>
  <r>
    <x v="898"/>
    <x v="4"/>
    <x v="6"/>
    <x v="2"/>
    <x v="1"/>
    <n v="55"/>
    <x v="0"/>
    <x v="855"/>
    <n v="93343"/>
    <n v="0"/>
    <n v="93343"/>
    <x v="1"/>
    <x v="1"/>
    <m/>
    <n v="0"/>
  </r>
  <r>
    <x v="899"/>
    <x v="16"/>
    <x v="4"/>
    <x v="3"/>
    <x v="0"/>
    <n v="44"/>
    <x v="3"/>
    <x v="856"/>
    <n v="63705"/>
    <n v="0"/>
    <n v="63705"/>
    <x v="0"/>
    <x v="4"/>
    <m/>
    <n v="0"/>
  </r>
  <r>
    <x v="900"/>
    <x v="9"/>
    <x v="2"/>
    <x v="3"/>
    <x v="1"/>
    <n v="48"/>
    <x v="1"/>
    <x v="857"/>
    <n v="258081"/>
    <n v="0.3"/>
    <n v="335505"/>
    <x v="0"/>
    <x v="2"/>
    <m/>
    <n v="0"/>
  </r>
  <r>
    <x v="901"/>
    <x v="20"/>
    <x v="4"/>
    <x v="0"/>
    <x v="1"/>
    <n v="48"/>
    <x v="1"/>
    <x v="858"/>
    <n v="54654"/>
    <n v="0"/>
    <n v="54654"/>
    <x v="0"/>
    <x v="3"/>
    <m/>
    <n v="0"/>
  </r>
  <r>
    <x v="902"/>
    <x v="7"/>
    <x v="2"/>
    <x v="1"/>
    <x v="1"/>
    <n v="54"/>
    <x v="1"/>
    <x v="859"/>
    <n v="58006"/>
    <n v="0"/>
    <n v="58006"/>
    <x v="0"/>
    <x v="0"/>
    <m/>
    <n v="0"/>
  </r>
  <r>
    <x v="903"/>
    <x v="0"/>
    <x v="1"/>
    <x v="1"/>
    <x v="0"/>
    <n v="42"/>
    <x v="3"/>
    <x v="860"/>
    <n v="150034"/>
    <n v="0.12"/>
    <n v="168038"/>
    <x v="1"/>
    <x v="10"/>
    <m/>
    <n v="0"/>
  </r>
  <r>
    <x v="904"/>
    <x v="2"/>
    <x v="4"/>
    <x v="2"/>
    <x v="0"/>
    <n v="38"/>
    <x v="3"/>
    <x v="861"/>
    <n v="198562"/>
    <n v="0.22"/>
    <n v="242246"/>
    <x v="0"/>
    <x v="0"/>
    <m/>
    <n v="0"/>
  </r>
  <r>
    <x v="905"/>
    <x v="5"/>
    <x v="2"/>
    <x v="0"/>
    <x v="0"/>
    <n v="40"/>
    <x v="3"/>
    <x v="862"/>
    <n v="62411"/>
    <n v="0"/>
    <n v="62411"/>
    <x v="0"/>
    <x v="4"/>
    <d v="2021-08-14T00:00:00"/>
    <n v="1"/>
  </r>
  <r>
    <x v="906"/>
    <x v="11"/>
    <x v="5"/>
    <x v="0"/>
    <x v="1"/>
    <n v="57"/>
    <x v="0"/>
    <x v="863"/>
    <n v="111299"/>
    <n v="0.12"/>
    <n v="124655"/>
    <x v="0"/>
    <x v="4"/>
    <m/>
    <n v="0"/>
  </r>
  <r>
    <x v="907"/>
    <x v="7"/>
    <x v="6"/>
    <x v="0"/>
    <x v="0"/>
    <n v="43"/>
    <x v="3"/>
    <x v="864"/>
    <n v="41545"/>
    <n v="0"/>
    <n v="41545"/>
    <x v="0"/>
    <x v="4"/>
    <m/>
    <n v="0"/>
  </r>
  <r>
    <x v="908"/>
    <x v="24"/>
    <x v="0"/>
    <x v="1"/>
    <x v="1"/>
    <n v="26"/>
    <x v="2"/>
    <x v="865"/>
    <n v="74467"/>
    <n v="0"/>
    <n v="74467"/>
    <x v="0"/>
    <x v="7"/>
    <d v="2021-01-15T00:00:00"/>
    <n v="1"/>
  </r>
  <r>
    <x v="909"/>
    <x v="6"/>
    <x v="3"/>
    <x v="0"/>
    <x v="1"/>
    <n v="44"/>
    <x v="3"/>
    <x v="358"/>
    <n v="117545"/>
    <n v="0.06"/>
    <n v="124598"/>
    <x v="0"/>
    <x v="3"/>
    <m/>
    <n v="0"/>
  </r>
  <r>
    <x v="910"/>
    <x v="6"/>
    <x v="4"/>
    <x v="2"/>
    <x v="1"/>
    <n v="50"/>
    <x v="1"/>
    <x v="866"/>
    <n v="117226"/>
    <n v="0.08"/>
    <n v="126604"/>
    <x v="0"/>
    <x v="3"/>
    <m/>
    <n v="0"/>
  </r>
  <r>
    <x v="911"/>
    <x v="7"/>
    <x v="3"/>
    <x v="3"/>
    <x v="0"/>
    <n v="26"/>
    <x v="2"/>
    <x v="867"/>
    <n v="55767"/>
    <n v="0"/>
    <n v="55767"/>
    <x v="0"/>
    <x v="3"/>
    <m/>
    <n v="0"/>
  </r>
  <r>
    <x v="912"/>
    <x v="13"/>
    <x v="2"/>
    <x v="1"/>
    <x v="0"/>
    <n v="29"/>
    <x v="2"/>
    <x v="868"/>
    <n v="60930"/>
    <n v="0"/>
    <n v="60930"/>
    <x v="0"/>
    <x v="5"/>
    <m/>
    <n v="0"/>
  </r>
  <r>
    <x v="913"/>
    <x v="2"/>
    <x v="2"/>
    <x v="2"/>
    <x v="0"/>
    <n v="27"/>
    <x v="2"/>
    <x v="869"/>
    <n v="154973"/>
    <n v="0.29"/>
    <n v="199915"/>
    <x v="2"/>
    <x v="12"/>
    <m/>
    <n v="0"/>
  </r>
  <r>
    <x v="914"/>
    <x v="21"/>
    <x v="0"/>
    <x v="1"/>
    <x v="0"/>
    <n v="33"/>
    <x v="2"/>
    <x v="870"/>
    <n v="69332"/>
    <n v="0"/>
    <n v="69332"/>
    <x v="0"/>
    <x v="7"/>
    <m/>
    <n v="0"/>
  </r>
  <r>
    <x v="915"/>
    <x v="8"/>
    <x v="5"/>
    <x v="0"/>
    <x v="0"/>
    <n v="59"/>
    <x v="0"/>
    <x v="871"/>
    <n v="119699"/>
    <n v="0"/>
    <n v="119699"/>
    <x v="1"/>
    <x v="6"/>
    <m/>
    <n v="0"/>
  </r>
  <r>
    <x v="916"/>
    <x v="2"/>
    <x v="4"/>
    <x v="2"/>
    <x v="0"/>
    <n v="40"/>
    <x v="3"/>
    <x v="872"/>
    <n v="198176"/>
    <n v="0.17"/>
    <n v="231866"/>
    <x v="2"/>
    <x v="8"/>
    <m/>
    <n v="0"/>
  </r>
  <r>
    <x v="917"/>
    <x v="13"/>
    <x v="1"/>
    <x v="0"/>
    <x v="0"/>
    <n v="45"/>
    <x v="1"/>
    <x v="873"/>
    <n v="58586"/>
    <n v="0"/>
    <n v="58586"/>
    <x v="2"/>
    <x v="12"/>
    <m/>
    <n v="0"/>
  </r>
  <r>
    <x v="918"/>
    <x v="26"/>
    <x v="2"/>
    <x v="3"/>
    <x v="1"/>
    <n v="38"/>
    <x v="3"/>
    <x v="874"/>
    <n v="74010"/>
    <n v="0"/>
    <n v="74010"/>
    <x v="0"/>
    <x v="2"/>
    <m/>
    <n v="0"/>
  </r>
  <r>
    <x v="919"/>
    <x v="26"/>
    <x v="2"/>
    <x v="2"/>
    <x v="1"/>
    <n v="32"/>
    <x v="2"/>
    <x v="632"/>
    <n v="96598"/>
    <n v="0"/>
    <n v="96598"/>
    <x v="0"/>
    <x v="3"/>
    <m/>
    <n v="0"/>
  </r>
  <r>
    <x v="920"/>
    <x v="6"/>
    <x v="2"/>
    <x v="2"/>
    <x v="0"/>
    <n v="64"/>
    <x v="0"/>
    <x v="875"/>
    <n v="106444"/>
    <n v="0.05"/>
    <n v="111766"/>
    <x v="0"/>
    <x v="3"/>
    <m/>
    <n v="0"/>
  </r>
  <r>
    <x v="921"/>
    <x v="2"/>
    <x v="1"/>
    <x v="3"/>
    <x v="1"/>
    <n v="31"/>
    <x v="2"/>
    <x v="876"/>
    <n v="156931"/>
    <n v="0.28"/>
    <n v="200872"/>
    <x v="0"/>
    <x v="0"/>
    <m/>
    <n v="0"/>
  </r>
  <r>
    <x v="922"/>
    <x v="2"/>
    <x v="6"/>
    <x v="0"/>
    <x v="0"/>
    <n v="43"/>
    <x v="3"/>
    <x v="877"/>
    <n v="171360"/>
    <n v="0.23"/>
    <n v="210773"/>
    <x v="2"/>
    <x v="8"/>
    <m/>
    <n v="0"/>
  </r>
  <r>
    <x v="923"/>
    <x v="14"/>
    <x v="0"/>
    <x v="0"/>
    <x v="0"/>
    <n v="45"/>
    <x v="1"/>
    <x v="878"/>
    <n v="64505"/>
    <n v="0"/>
    <n v="64505"/>
    <x v="0"/>
    <x v="4"/>
    <m/>
    <n v="0"/>
  </r>
  <r>
    <x v="924"/>
    <x v="11"/>
    <x v="5"/>
    <x v="2"/>
    <x v="1"/>
    <n v="32"/>
    <x v="2"/>
    <x v="879"/>
    <n v="102298"/>
    <n v="0.13"/>
    <n v="115597"/>
    <x v="2"/>
    <x v="9"/>
    <m/>
    <n v="0"/>
  </r>
  <r>
    <x v="925"/>
    <x v="0"/>
    <x v="2"/>
    <x v="3"/>
    <x v="0"/>
    <n v="27"/>
    <x v="2"/>
    <x v="880"/>
    <n v="133297"/>
    <n v="0.13"/>
    <n v="150626"/>
    <x v="2"/>
    <x v="9"/>
    <m/>
    <n v="0"/>
  </r>
  <r>
    <x v="926"/>
    <x v="0"/>
    <x v="4"/>
    <x v="2"/>
    <x v="0"/>
    <n v="25"/>
    <x v="2"/>
    <x v="881"/>
    <n v="155080"/>
    <n v="0.1"/>
    <n v="170588"/>
    <x v="0"/>
    <x v="5"/>
    <m/>
    <n v="0"/>
  </r>
  <r>
    <x v="927"/>
    <x v="4"/>
    <x v="2"/>
    <x v="2"/>
    <x v="1"/>
    <n v="31"/>
    <x v="2"/>
    <x v="882"/>
    <n v="81828"/>
    <n v="0"/>
    <n v="81828"/>
    <x v="0"/>
    <x v="4"/>
    <m/>
    <n v="0"/>
  </r>
  <r>
    <x v="928"/>
    <x v="0"/>
    <x v="6"/>
    <x v="3"/>
    <x v="0"/>
    <n v="65"/>
    <x v="4"/>
    <x v="883"/>
    <n v="149417"/>
    <n v="0.13"/>
    <n v="168841"/>
    <x v="1"/>
    <x v="11"/>
    <m/>
    <n v="0"/>
  </r>
  <r>
    <x v="929"/>
    <x v="6"/>
    <x v="2"/>
    <x v="3"/>
    <x v="1"/>
    <n v="50"/>
    <x v="1"/>
    <x v="884"/>
    <n v="113269"/>
    <n v="0.09"/>
    <n v="123463"/>
    <x v="2"/>
    <x v="12"/>
    <m/>
    <n v="0"/>
  </r>
  <r>
    <x v="930"/>
    <x v="0"/>
    <x v="0"/>
    <x v="1"/>
    <x v="1"/>
    <n v="46"/>
    <x v="1"/>
    <x v="885"/>
    <n v="136716"/>
    <n v="0.12"/>
    <n v="153122"/>
    <x v="0"/>
    <x v="5"/>
    <m/>
    <n v="0"/>
  </r>
  <r>
    <x v="931"/>
    <x v="0"/>
    <x v="2"/>
    <x v="2"/>
    <x v="1"/>
    <n v="54"/>
    <x v="1"/>
    <x v="571"/>
    <n v="122644"/>
    <n v="0.12"/>
    <n v="137361"/>
    <x v="0"/>
    <x v="5"/>
    <m/>
    <n v="0"/>
  </r>
  <r>
    <x v="932"/>
    <x v="6"/>
    <x v="2"/>
    <x v="0"/>
    <x v="0"/>
    <n v="50"/>
    <x v="1"/>
    <x v="886"/>
    <n v="106428"/>
    <n v="0.07"/>
    <n v="113878"/>
    <x v="0"/>
    <x v="2"/>
    <m/>
    <n v="0"/>
  </r>
  <r>
    <x v="933"/>
    <x v="9"/>
    <x v="1"/>
    <x v="3"/>
    <x v="1"/>
    <n v="36"/>
    <x v="3"/>
    <x v="887"/>
    <n v="238236"/>
    <n v="0.31"/>
    <n v="312089"/>
    <x v="0"/>
    <x v="0"/>
    <m/>
    <n v="0"/>
  </r>
  <r>
    <x v="934"/>
    <x v="2"/>
    <x v="1"/>
    <x v="3"/>
    <x v="0"/>
    <n v="64"/>
    <x v="0"/>
    <x v="888"/>
    <n v="153253"/>
    <n v="0.24"/>
    <n v="190034"/>
    <x v="0"/>
    <x v="5"/>
    <m/>
    <n v="0"/>
  </r>
  <r>
    <x v="935"/>
    <x v="6"/>
    <x v="3"/>
    <x v="1"/>
    <x v="0"/>
    <n v="34"/>
    <x v="2"/>
    <x v="889"/>
    <n v="103707"/>
    <n v="0.09"/>
    <n v="113041"/>
    <x v="0"/>
    <x v="7"/>
    <m/>
    <n v="0"/>
  </r>
  <r>
    <x v="936"/>
    <x v="9"/>
    <x v="3"/>
    <x v="2"/>
    <x v="0"/>
    <n v="41"/>
    <x v="3"/>
    <x v="890"/>
    <n v="245360"/>
    <n v="0.37"/>
    <n v="336143"/>
    <x v="0"/>
    <x v="5"/>
    <m/>
    <n v="0"/>
  </r>
  <r>
    <x v="937"/>
    <x v="25"/>
    <x v="5"/>
    <x v="2"/>
    <x v="1"/>
    <n v="25"/>
    <x v="2"/>
    <x v="891"/>
    <n v="67275"/>
    <n v="0"/>
    <n v="67275"/>
    <x v="0"/>
    <x v="7"/>
    <m/>
    <n v="0"/>
  </r>
  <r>
    <x v="938"/>
    <x v="6"/>
    <x v="0"/>
    <x v="1"/>
    <x v="1"/>
    <n v="45"/>
    <x v="1"/>
    <x v="892"/>
    <n v="101288"/>
    <n v="0.1"/>
    <n v="111417"/>
    <x v="0"/>
    <x v="3"/>
    <m/>
    <n v="0"/>
  </r>
  <r>
    <x v="939"/>
    <x v="2"/>
    <x v="4"/>
    <x v="2"/>
    <x v="0"/>
    <n v="52"/>
    <x v="1"/>
    <x v="893"/>
    <n v="177443"/>
    <n v="0.25"/>
    <n v="221804"/>
    <x v="2"/>
    <x v="12"/>
    <m/>
    <n v="0"/>
  </r>
  <r>
    <x v="940"/>
    <x v="21"/>
    <x v="0"/>
    <x v="1"/>
    <x v="0"/>
    <n v="37"/>
    <x v="3"/>
    <x v="894"/>
    <n v="91400"/>
    <n v="0"/>
    <n v="91400"/>
    <x v="0"/>
    <x v="2"/>
    <m/>
    <n v="0"/>
  </r>
  <r>
    <x v="941"/>
    <x v="9"/>
    <x v="4"/>
    <x v="3"/>
    <x v="1"/>
    <n v="44"/>
    <x v="3"/>
    <x v="895"/>
    <n v="181247"/>
    <n v="0.33"/>
    <n v="241059"/>
    <x v="2"/>
    <x v="12"/>
    <m/>
    <n v="0"/>
  </r>
  <r>
    <x v="942"/>
    <x v="0"/>
    <x v="4"/>
    <x v="0"/>
    <x v="1"/>
    <n v="42"/>
    <x v="3"/>
    <x v="896"/>
    <n v="135558"/>
    <n v="0.14"/>
    <n v="154536"/>
    <x v="0"/>
    <x v="3"/>
    <m/>
    <n v="0"/>
  </r>
  <r>
    <x v="943"/>
    <x v="7"/>
    <x v="3"/>
    <x v="2"/>
    <x v="1"/>
    <n v="49"/>
    <x v="1"/>
    <x v="897"/>
    <n v="56878"/>
    <n v="0"/>
    <n v="56878"/>
    <x v="0"/>
    <x v="0"/>
    <m/>
    <n v="0"/>
  </r>
  <r>
    <x v="944"/>
    <x v="30"/>
    <x v="0"/>
    <x v="2"/>
    <x v="1"/>
    <n v="34"/>
    <x v="2"/>
    <x v="898"/>
    <n v="94735"/>
    <n v="0"/>
    <n v="94735"/>
    <x v="1"/>
    <x v="10"/>
    <m/>
    <n v="0"/>
  </r>
  <r>
    <x v="945"/>
    <x v="13"/>
    <x v="2"/>
    <x v="1"/>
    <x v="1"/>
    <n v="39"/>
    <x v="3"/>
    <x v="899"/>
    <n v="51234"/>
    <n v="0"/>
    <n v="51234"/>
    <x v="0"/>
    <x v="0"/>
    <m/>
    <n v="0"/>
  </r>
  <r>
    <x v="946"/>
    <x v="9"/>
    <x v="4"/>
    <x v="2"/>
    <x v="1"/>
    <n v="31"/>
    <x v="2"/>
    <x v="900"/>
    <n v="230025"/>
    <n v="0.34"/>
    <n v="308234"/>
    <x v="0"/>
    <x v="3"/>
    <m/>
    <n v="0"/>
  </r>
  <r>
    <x v="947"/>
    <x v="0"/>
    <x v="4"/>
    <x v="2"/>
    <x v="0"/>
    <n v="36"/>
    <x v="3"/>
    <x v="901"/>
    <n v="134006"/>
    <n v="0.13"/>
    <n v="151427"/>
    <x v="1"/>
    <x v="10"/>
    <m/>
    <n v="0"/>
  </r>
  <r>
    <x v="948"/>
    <x v="6"/>
    <x v="1"/>
    <x v="3"/>
    <x v="0"/>
    <n v="61"/>
    <x v="0"/>
    <x v="902"/>
    <n v="103096"/>
    <n v="0.07"/>
    <n v="110313"/>
    <x v="1"/>
    <x v="10"/>
    <m/>
    <n v="0"/>
  </r>
  <r>
    <x v="949"/>
    <x v="7"/>
    <x v="3"/>
    <x v="1"/>
    <x v="1"/>
    <n v="29"/>
    <x v="2"/>
    <x v="903"/>
    <n v="58703"/>
    <n v="0"/>
    <n v="58703"/>
    <x v="0"/>
    <x v="7"/>
    <m/>
    <n v="0"/>
  </r>
  <r>
    <x v="950"/>
    <x v="0"/>
    <x v="0"/>
    <x v="2"/>
    <x v="1"/>
    <n v="33"/>
    <x v="2"/>
    <x v="904"/>
    <n v="132544"/>
    <n v="0.1"/>
    <n v="145798"/>
    <x v="2"/>
    <x v="9"/>
    <m/>
    <n v="0"/>
  </r>
  <r>
    <x v="951"/>
    <x v="6"/>
    <x v="1"/>
    <x v="1"/>
    <x v="1"/>
    <n v="32"/>
    <x v="2"/>
    <x v="905"/>
    <n v="126671"/>
    <n v="0.09"/>
    <n v="138071"/>
    <x v="0"/>
    <x v="4"/>
    <m/>
    <n v="0"/>
  </r>
  <r>
    <x v="952"/>
    <x v="5"/>
    <x v="2"/>
    <x v="0"/>
    <x v="0"/>
    <n v="33"/>
    <x v="2"/>
    <x v="906"/>
    <n v="56405"/>
    <n v="0"/>
    <n v="56405"/>
    <x v="0"/>
    <x v="2"/>
    <m/>
    <n v="0"/>
  </r>
  <r>
    <x v="953"/>
    <x v="3"/>
    <x v="0"/>
    <x v="2"/>
    <x v="0"/>
    <n v="36"/>
    <x v="3"/>
    <x v="907"/>
    <n v="88730"/>
    <n v="0.08"/>
    <n v="95828"/>
    <x v="1"/>
    <x v="1"/>
    <m/>
    <n v="0"/>
  </r>
  <r>
    <x v="954"/>
    <x v="13"/>
    <x v="1"/>
    <x v="1"/>
    <x v="1"/>
    <n v="39"/>
    <x v="3"/>
    <x v="908"/>
    <n v="62861"/>
    <n v="0"/>
    <n v="62861"/>
    <x v="0"/>
    <x v="0"/>
    <m/>
    <n v="0"/>
  </r>
  <r>
    <x v="955"/>
    <x v="2"/>
    <x v="4"/>
    <x v="3"/>
    <x v="0"/>
    <n v="53"/>
    <x v="1"/>
    <x v="909"/>
    <n v="151246"/>
    <n v="0.21"/>
    <n v="183008"/>
    <x v="2"/>
    <x v="12"/>
    <m/>
    <n v="0"/>
  </r>
  <r>
    <x v="956"/>
    <x v="0"/>
    <x v="0"/>
    <x v="1"/>
    <x v="0"/>
    <n v="53"/>
    <x v="1"/>
    <x v="910"/>
    <n v="154388"/>
    <n v="0.1"/>
    <n v="169827"/>
    <x v="0"/>
    <x v="0"/>
    <m/>
    <n v="0"/>
  </r>
  <r>
    <x v="957"/>
    <x v="2"/>
    <x v="4"/>
    <x v="1"/>
    <x v="0"/>
    <n v="54"/>
    <x v="1"/>
    <x v="911"/>
    <n v="162978"/>
    <n v="0.17"/>
    <n v="190684"/>
    <x v="0"/>
    <x v="4"/>
    <d v="2004-05-24T00:00:00"/>
    <n v="1"/>
  </r>
  <r>
    <x v="958"/>
    <x v="29"/>
    <x v="0"/>
    <x v="2"/>
    <x v="1"/>
    <n v="55"/>
    <x v="0"/>
    <x v="912"/>
    <n v="80170"/>
    <n v="0"/>
    <n v="80170"/>
    <x v="0"/>
    <x v="4"/>
    <m/>
    <n v="0"/>
  </r>
  <r>
    <x v="959"/>
    <x v="4"/>
    <x v="3"/>
    <x v="1"/>
    <x v="0"/>
    <n v="44"/>
    <x v="3"/>
    <x v="913"/>
    <n v="98520"/>
    <n v="0"/>
    <n v="98520"/>
    <x v="0"/>
    <x v="4"/>
    <m/>
    <n v="0"/>
  </r>
  <r>
    <x v="960"/>
    <x v="6"/>
    <x v="1"/>
    <x v="1"/>
    <x v="1"/>
    <n v="52"/>
    <x v="1"/>
    <x v="914"/>
    <n v="116527"/>
    <n v="0.07"/>
    <n v="124684"/>
    <x v="0"/>
    <x v="3"/>
    <m/>
    <n v="0"/>
  </r>
  <r>
    <x v="961"/>
    <x v="2"/>
    <x v="2"/>
    <x v="0"/>
    <x v="1"/>
    <n v="27"/>
    <x v="2"/>
    <x v="915"/>
    <n v="174607"/>
    <n v="0.29"/>
    <n v="225243"/>
    <x v="0"/>
    <x v="7"/>
    <m/>
    <n v="0"/>
  </r>
  <r>
    <x v="962"/>
    <x v="13"/>
    <x v="3"/>
    <x v="0"/>
    <x v="1"/>
    <n v="58"/>
    <x v="0"/>
    <x v="916"/>
    <n v="64202"/>
    <n v="0"/>
    <n v="64202"/>
    <x v="0"/>
    <x v="7"/>
    <m/>
    <n v="0"/>
  </r>
  <r>
    <x v="963"/>
    <x v="13"/>
    <x v="3"/>
    <x v="3"/>
    <x v="1"/>
    <n v="49"/>
    <x v="1"/>
    <x v="917"/>
    <n v="50883"/>
    <n v="0"/>
    <n v="50883"/>
    <x v="1"/>
    <x v="1"/>
    <d v="2021-03-02T00:00:00"/>
    <n v="1"/>
  </r>
  <r>
    <x v="964"/>
    <x v="23"/>
    <x v="0"/>
    <x v="2"/>
    <x v="0"/>
    <n v="36"/>
    <x v="3"/>
    <x v="918"/>
    <n v="94618"/>
    <n v="0"/>
    <n v="94618"/>
    <x v="0"/>
    <x v="7"/>
    <m/>
    <n v="0"/>
  </r>
  <r>
    <x v="965"/>
    <x v="2"/>
    <x v="6"/>
    <x v="0"/>
    <x v="1"/>
    <n v="26"/>
    <x v="2"/>
    <x v="183"/>
    <n v="151556"/>
    <n v="0.2"/>
    <n v="181867"/>
    <x v="0"/>
    <x v="4"/>
    <m/>
    <n v="0"/>
  </r>
  <r>
    <x v="966"/>
    <x v="25"/>
    <x v="5"/>
    <x v="0"/>
    <x v="0"/>
    <n v="37"/>
    <x v="3"/>
    <x v="919"/>
    <n v="80659"/>
    <n v="0"/>
    <n v="80659"/>
    <x v="0"/>
    <x v="3"/>
    <m/>
    <n v="0"/>
  </r>
  <r>
    <x v="967"/>
    <x v="2"/>
    <x v="4"/>
    <x v="2"/>
    <x v="1"/>
    <n v="47"/>
    <x v="1"/>
    <x v="920"/>
    <n v="195385"/>
    <n v="0.21"/>
    <n v="236416"/>
    <x v="1"/>
    <x v="11"/>
    <m/>
    <n v="0"/>
  </r>
  <r>
    <x v="968"/>
    <x v="28"/>
    <x v="0"/>
    <x v="2"/>
    <x v="1"/>
    <n v="29"/>
    <x v="2"/>
    <x v="921"/>
    <n v="52693"/>
    <n v="0"/>
    <n v="52693"/>
    <x v="2"/>
    <x v="9"/>
    <m/>
    <n v="0"/>
  </r>
  <r>
    <x v="969"/>
    <x v="32"/>
    <x v="0"/>
    <x v="0"/>
    <x v="0"/>
    <n v="58"/>
    <x v="0"/>
    <x v="922"/>
    <n v="72045"/>
    <n v="0"/>
    <n v="72045"/>
    <x v="0"/>
    <x v="3"/>
    <m/>
    <n v="0"/>
  </r>
  <r>
    <x v="970"/>
    <x v="13"/>
    <x v="6"/>
    <x v="1"/>
    <x v="1"/>
    <n v="47"/>
    <x v="1"/>
    <x v="923"/>
    <n v="62749"/>
    <n v="0"/>
    <n v="62749"/>
    <x v="2"/>
    <x v="8"/>
    <m/>
    <n v="0"/>
  </r>
  <r>
    <x v="971"/>
    <x v="0"/>
    <x v="6"/>
    <x v="2"/>
    <x v="1"/>
    <n v="52"/>
    <x v="1"/>
    <x v="666"/>
    <n v="154884"/>
    <n v="0.1"/>
    <n v="170372"/>
    <x v="1"/>
    <x v="6"/>
    <m/>
    <n v="0"/>
  </r>
  <r>
    <x v="972"/>
    <x v="23"/>
    <x v="0"/>
    <x v="0"/>
    <x v="1"/>
    <n v="61"/>
    <x v="0"/>
    <x v="924"/>
    <n v="96566"/>
    <n v="0"/>
    <n v="96566"/>
    <x v="0"/>
    <x v="7"/>
    <m/>
    <n v="0"/>
  </r>
  <r>
    <x v="973"/>
    <x v="28"/>
    <x v="0"/>
    <x v="0"/>
    <x v="1"/>
    <n v="45"/>
    <x v="1"/>
    <x v="925"/>
    <n v="54994"/>
    <n v="0"/>
    <n v="54994"/>
    <x v="0"/>
    <x v="7"/>
    <m/>
    <n v="0"/>
  </r>
  <r>
    <x v="974"/>
    <x v="32"/>
    <x v="0"/>
    <x v="3"/>
    <x v="0"/>
    <n v="40"/>
    <x v="3"/>
    <x v="926"/>
    <n v="61523"/>
    <n v="0"/>
    <n v="61523"/>
    <x v="0"/>
    <x v="7"/>
    <m/>
    <n v="0"/>
  </r>
  <r>
    <x v="975"/>
    <x v="9"/>
    <x v="4"/>
    <x v="3"/>
    <x v="1"/>
    <n v="45"/>
    <x v="1"/>
    <x v="927"/>
    <n v="190512"/>
    <n v="0.32"/>
    <n v="251476"/>
    <x v="0"/>
    <x v="7"/>
    <m/>
    <n v="0"/>
  </r>
  <r>
    <x v="976"/>
    <x v="8"/>
    <x v="5"/>
    <x v="2"/>
    <x v="0"/>
    <n v="37"/>
    <x v="3"/>
    <x v="928"/>
    <n v="124827"/>
    <n v="0"/>
    <n v="124827"/>
    <x v="1"/>
    <x v="10"/>
    <m/>
    <n v="0"/>
  </r>
  <r>
    <x v="977"/>
    <x v="6"/>
    <x v="3"/>
    <x v="1"/>
    <x v="1"/>
    <n v="57"/>
    <x v="0"/>
    <x v="929"/>
    <n v="101577"/>
    <n v="0.05"/>
    <n v="106656"/>
    <x v="0"/>
    <x v="2"/>
    <m/>
    <n v="0"/>
  </r>
  <r>
    <x v="978"/>
    <x v="6"/>
    <x v="3"/>
    <x v="1"/>
    <x v="0"/>
    <n v="44"/>
    <x v="3"/>
    <x v="930"/>
    <n v="105223"/>
    <n v="0.1"/>
    <n v="115745"/>
    <x v="0"/>
    <x v="3"/>
    <m/>
    <n v="0"/>
  </r>
  <r>
    <x v="979"/>
    <x v="30"/>
    <x v="0"/>
    <x v="3"/>
    <x v="1"/>
    <n v="48"/>
    <x v="1"/>
    <x v="931"/>
    <n v="94815"/>
    <n v="0"/>
    <n v="94815"/>
    <x v="0"/>
    <x v="2"/>
    <m/>
    <n v="0"/>
  </r>
  <r>
    <x v="980"/>
    <x v="6"/>
    <x v="3"/>
    <x v="2"/>
    <x v="0"/>
    <n v="25"/>
    <x v="2"/>
    <x v="257"/>
    <n v="114893"/>
    <n v="0.06"/>
    <n v="121787"/>
    <x v="1"/>
    <x v="11"/>
    <m/>
    <n v="0"/>
  </r>
  <r>
    <x v="981"/>
    <x v="4"/>
    <x v="6"/>
    <x v="2"/>
    <x v="0"/>
    <n v="35"/>
    <x v="3"/>
    <x v="932"/>
    <n v="80622"/>
    <n v="0"/>
    <n v="80622"/>
    <x v="0"/>
    <x v="5"/>
    <m/>
    <n v="0"/>
  </r>
  <r>
    <x v="982"/>
    <x v="9"/>
    <x v="0"/>
    <x v="2"/>
    <x v="0"/>
    <n v="57"/>
    <x v="0"/>
    <x v="933"/>
    <n v="246589"/>
    <n v="0.33"/>
    <n v="327963"/>
    <x v="0"/>
    <x v="3"/>
    <d v="2017-03-26T00:00:00"/>
    <n v="1"/>
  </r>
  <r>
    <x v="983"/>
    <x v="6"/>
    <x v="6"/>
    <x v="2"/>
    <x v="1"/>
    <n v="49"/>
    <x v="1"/>
    <x v="163"/>
    <n v="119397"/>
    <n v="0.09"/>
    <n v="130143"/>
    <x v="1"/>
    <x v="10"/>
    <d v="2019-03-14T00:00:00"/>
    <n v="1"/>
  </r>
  <r>
    <x v="984"/>
    <x v="2"/>
    <x v="2"/>
    <x v="3"/>
    <x v="0"/>
    <n v="25"/>
    <x v="2"/>
    <x v="934"/>
    <n v="150666"/>
    <n v="0.23"/>
    <n v="185319"/>
    <x v="1"/>
    <x v="11"/>
    <m/>
    <n v="0"/>
  </r>
  <r>
    <x v="985"/>
    <x v="0"/>
    <x v="0"/>
    <x v="0"/>
    <x v="0"/>
    <n v="46"/>
    <x v="1"/>
    <x v="935"/>
    <n v="148035"/>
    <n v="0.14"/>
    <n v="168760"/>
    <x v="0"/>
    <x v="3"/>
    <m/>
    <n v="0"/>
  </r>
  <r>
    <x v="986"/>
    <x v="2"/>
    <x v="1"/>
    <x v="3"/>
    <x v="1"/>
    <n v="60"/>
    <x v="0"/>
    <x v="936"/>
    <n v="158898"/>
    <n v="0.18"/>
    <n v="187500"/>
    <x v="0"/>
    <x v="4"/>
    <m/>
    <n v="0"/>
  </r>
  <r>
    <x v="987"/>
    <x v="17"/>
    <x v="5"/>
    <x v="3"/>
    <x v="0"/>
    <n v="45"/>
    <x v="1"/>
    <x v="937"/>
    <n v="89659"/>
    <n v="0"/>
    <n v="89659"/>
    <x v="1"/>
    <x v="10"/>
    <m/>
    <n v="0"/>
  </r>
  <r>
    <x v="988"/>
    <x v="2"/>
    <x v="2"/>
    <x v="2"/>
    <x v="0"/>
    <n v="39"/>
    <x v="3"/>
    <x v="938"/>
    <n v="171487"/>
    <n v="0.23"/>
    <n v="210929"/>
    <x v="0"/>
    <x v="3"/>
    <m/>
    <n v="0"/>
  </r>
  <r>
    <x v="989"/>
    <x v="9"/>
    <x v="2"/>
    <x v="1"/>
    <x v="0"/>
    <n v="43"/>
    <x v="3"/>
    <x v="939"/>
    <n v="258498"/>
    <n v="0.35"/>
    <n v="348972"/>
    <x v="0"/>
    <x v="7"/>
    <m/>
    <n v="0"/>
  </r>
  <r>
    <x v="990"/>
    <x v="0"/>
    <x v="0"/>
    <x v="0"/>
    <x v="1"/>
    <n v="37"/>
    <x v="3"/>
    <x v="802"/>
    <n v="146961"/>
    <n v="0.11"/>
    <n v="163127"/>
    <x v="0"/>
    <x v="7"/>
    <m/>
    <n v="0"/>
  </r>
  <r>
    <x v="991"/>
    <x v="15"/>
    <x v="4"/>
    <x v="0"/>
    <x v="1"/>
    <n v="48"/>
    <x v="1"/>
    <x v="940"/>
    <n v="85369"/>
    <n v="0"/>
    <n v="85369"/>
    <x v="2"/>
    <x v="8"/>
    <d v="2004-11-27T00:00:00"/>
    <n v="1"/>
  </r>
  <r>
    <x v="992"/>
    <x v="1"/>
    <x v="0"/>
    <x v="1"/>
    <x v="1"/>
    <n v="30"/>
    <x v="2"/>
    <x v="941"/>
    <n v="67489"/>
    <n v="0"/>
    <n v="67489"/>
    <x v="0"/>
    <x v="2"/>
    <m/>
    <n v="0"/>
  </r>
  <r>
    <x v="993"/>
    <x v="2"/>
    <x v="0"/>
    <x v="1"/>
    <x v="0"/>
    <n v="46"/>
    <x v="1"/>
    <x v="942"/>
    <n v="166259"/>
    <n v="0.17"/>
    <n v="194523"/>
    <x v="0"/>
    <x v="2"/>
    <m/>
    <n v="0"/>
  </r>
  <r>
    <x v="994"/>
    <x v="28"/>
    <x v="0"/>
    <x v="3"/>
    <x v="0"/>
    <n v="55"/>
    <x v="0"/>
    <x v="943"/>
    <n v="47032"/>
    <n v="0"/>
    <n v="47032"/>
    <x v="0"/>
    <x v="7"/>
    <m/>
    <n v="0"/>
  </r>
  <r>
    <x v="995"/>
    <x v="4"/>
    <x v="6"/>
    <x v="2"/>
    <x v="1"/>
    <n v="33"/>
    <x v="2"/>
    <x v="944"/>
    <n v="98427"/>
    <n v="0"/>
    <n v="98427"/>
    <x v="0"/>
    <x v="7"/>
    <m/>
    <n v="0"/>
  </r>
  <r>
    <x v="996"/>
    <x v="7"/>
    <x v="1"/>
    <x v="2"/>
    <x v="0"/>
    <n v="44"/>
    <x v="3"/>
    <x v="945"/>
    <n v="47387"/>
    <n v="0"/>
    <n v="47387"/>
    <x v="1"/>
    <x v="11"/>
    <d v="2018-01-08T00:00:00"/>
    <n v="1"/>
  </r>
  <r>
    <x v="997"/>
    <x v="2"/>
    <x v="6"/>
    <x v="2"/>
    <x v="1"/>
    <n v="31"/>
    <x v="2"/>
    <x v="946"/>
    <n v="176710"/>
    <n v="0.15"/>
    <n v="203216"/>
    <x v="0"/>
    <x v="4"/>
    <m/>
    <n v="0"/>
  </r>
  <r>
    <x v="998"/>
    <x v="4"/>
    <x v="1"/>
    <x v="2"/>
    <x v="0"/>
    <n v="33"/>
    <x v="2"/>
    <x v="947"/>
    <n v="95960"/>
    <n v="0"/>
    <n v="95960"/>
    <x v="1"/>
    <x v="11"/>
    <m/>
    <n v="0"/>
  </r>
  <r>
    <x v="999"/>
    <x v="9"/>
    <x v="3"/>
    <x v="3"/>
    <x v="0"/>
    <n v="63"/>
    <x v="0"/>
    <x v="948"/>
    <n v="216195"/>
    <n v="0.31"/>
    <n v="283215"/>
    <x v="0"/>
    <x v="4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B14:B2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numFmtId="183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/>
    <pivotField axis="axisRow" showAll="0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6">
  <location ref="B29:C35" firstHeaderRow="1" firstDataRow="1" firstDataCol="1"/>
  <pivotFields count="18">
    <pivotField dataField="1" showAll="0">
      <items count="1001">
        <item x="899"/>
        <item x="900"/>
        <item x="901"/>
        <item x="902"/>
        <item x="903"/>
        <item x="904"/>
        <item x="905"/>
        <item x="906"/>
        <item x="907"/>
        <item x="908"/>
        <item x="0"/>
        <item x="909"/>
        <item x="910"/>
        <item x="911"/>
        <item x="912"/>
        <item x="913"/>
        <item x="914"/>
        <item x="915"/>
        <item x="916"/>
        <item x="917"/>
        <item x="918"/>
        <item x="1"/>
        <item x="919"/>
        <item x="920"/>
        <item x="921"/>
        <item x="922"/>
        <item x="923"/>
        <item x="924"/>
        <item x="925"/>
        <item x="926"/>
        <item x="927"/>
        <item x="928"/>
        <item x="2"/>
        <item x="929"/>
        <item x="930"/>
        <item x="931"/>
        <item x="932"/>
        <item x="933"/>
        <item x="934"/>
        <item x="935"/>
        <item x="936"/>
        <item x="937"/>
        <item x="938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4"/>
        <item x="949"/>
        <item x="950"/>
        <item x="951"/>
        <item x="952"/>
        <item x="953"/>
        <item x="954"/>
        <item x="955"/>
        <item x="956"/>
        <item x="957"/>
        <item x="958"/>
        <item x="5"/>
        <item x="959"/>
        <item x="960"/>
        <item x="961"/>
        <item x="962"/>
        <item x="963"/>
        <item x="964"/>
        <item x="965"/>
        <item x="966"/>
        <item x="967"/>
        <item x="968"/>
        <item x="6"/>
        <item x="969"/>
        <item x="970"/>
        <item x="971"/>
        <item x="972"/>
        <item x="973"/>
        <item x="974"/>
        <item x="975"/>
        <item x="976"/>
        <item x="977"/>
        <item x="978"/>
        <item x="7"/>
        <item x="979"/>
        <item x="980"/>
        <item x="981"/>
        <item x="982"/>
        <item x="983"/>
        <item x="984"/>
        <item x="985"/>
        <item x="986"/>
        <item x="987"/>
        <item x="988"/>
        <item x="8"/>
        <item x="989"/>
        <item x="990"/>
        <item x="991"/>
        <item x="992"/>
        <item x="993"/>
        <item x="994"/>
        <item x="995"/>
        <item x="996"/>
        <item x="997"/>
        <item x="998"/>
        <item x="9"/>
        <item x="99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183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6">
  <location ref="B15:C23" firstHeaderRow="1" firstDataRow="1" firstDataCol="1"/>
  <pivotFields count="18">
    <pivotField dataField="1" showAll="0">
      <items count="1001">
        <item x="899"/>
        <item x="900"/>
        <item x="901"/>
        <item x="902"/>
        <item x="903"/>
        <item x="904"/>
        <item x="905"/>
        <item x="906"/>
        <item x="907"/>
        <item x="908"/>
        <item x="0"/>
        <item x="909"/>
        <item x="910"/>
        <item x="911"/>
        <item x="912"/>
        <item x="913"/>
        <item x="914"/>
        <item x="915"/>
        <item x="916"/>
        <item x="917"/>
        <item x="918"/>
        <item x="1"/>
        <item x="919"/>
        <item x="920"/>
        <item x="921"/>
        <item x="922"/>
        <item x="923"/>
        <item x="924"/>
        <item x="925"/>
        <item x="926"/>
        <item x="927"/>
        <item x="928"/>
        <item x="2"/>
        <item x="929"/>
        <item x="930"/>
        <item x="931"/>
        <item x="932"/>
        <item x="933"/>
        <item x="934"/>
        <item x="935"/>
        <item x="936"/>
        <item x="937"/>
        <item x="938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4"/>
        <item x="949"/>
        <item x="950"/>
        <item x="951"/>
        <item x="952"/>
        <item x="953"/>
        <item x="954"/>
        <item x="955"/>
        <item x="956"/>
        <item x="957"/>
        <item x="958"/>
        <item x="5"/>
        <item x="959"/>
        <item x="960"/>
        <item x="961"/>
        <item x="962"/>
        <item x="963"/>
        <item x="964"/>
        <item x="965"/>
        <item x="966"/>
        <item x="967"/>
        <item x="968"/>
        <item x="6"/>
        <item x="969"/>
        <item x="970"/>
        <item x="971"/>
        <item x="972"/>
        <item x="973"/>
        <item x="974"/>
        <item x="975"/>
        <item x="976"/>
        <item x="977"/>
        <item x="978"/>
        <item x="7"/>
        <item x="979"/>
        <item x="980"/>
        <item x="981"/>
        <item x="982"/>
        <item x="983"/>
        <item x="984"/>
        <item x="985"/>
        <item x="986"/>
        <item x="987"/>
        <item x="988"/>
        <item x="8"/>
        <item x="989"/>
        <item x="990"/>
        <item x="991"/>
        <item x="992"/>
        <item x="993"/>
        <item x="994"/>
        <item x="995"/>
        <item x="996"/>
        <item x="997"/>
        <item x="998"/>
        <item x="9"/>
        <item x="99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numFmtId="183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0">
  <location ref="B77:D108" firstHeaderRow="0" firstDataRow="1" firstDataCol="1"/>
  <pivotFields count="18">
    <pivotField dataField="1" showAll="0">
      <items count="1001">
        <item x="899"/>
        <item x="900"/>
        <item x="901"/>
        <item x="902"/>
        <item x="903"/>
        <item x="904"/>
        <item x="905"/>
        <item x="906"/>
        <item x="907"/>
        <item x="908"/>
        <item x="0"/>
        <item x="909"/>
        <item x="910"/>
        <item x="911"/>
        <item x="912"/>
        <item x="913"/>
        <item x="914"/>
        <item x="915"/>
        <item x="916"/>
        <item x="917"/>
        <item x="918"/>
        <item x="1"/>
        <item x="919"/>
        <item x="920"/>
        <item x="921"/>
        <item x="922"/>
        <item x="923"/>
        <item x="924"/>
        <item x="925"/>
        <item x="926"/>
        <item x="927"/>
        <item x="928"/>
        <item x="2"/>
        <item x="929"/>
        <item x="930"/>
        <item x="931"/>
        <item x="932"/>
        <item x="933"/>
        <item x="934"/>
        <item x="935"/>
        <item x="936"/>
        <item x="937"/>
        <item x="938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4"/>
        <item x="949"/>
        <item x="950"/>
        <item x="951"/>
        <item x="952"/>
        <item x="953"/>
        <item x="954"/>
        <item x="955"/>
        <item x="956"/>
        <item x="957"/>
        <item x="958"/>
        <item x="5"/>
        <item x="959"/>
        <item x="960"/>
        <item x="961"/>
        <item x="962"/>
        <item x="963"/>
        <item x="964"/>
        <item x="965"/>
        <item x="966"/>
        <item x="967"/>
        <item x="968"/>
        <item x="6"/>
        <item x="969"/>
        <item x="970"/>
        <item x="971"/>
        <item x="972"/>
        <item x="973"/>
        <item x="974"/>
        <item x="975"/>
        <item x="976"/>
        <item x="977"/>
        <item x="978"/>
        <item x="7"/>
        <item x="979"/>
        <item x="980"/>
        <item x="981"/>
        <item x="982"/>
        <item x="983"/>
        <item x="984"/>
        <item x="985"/>
        <item x="986"/>
        <item x="987"/>
        <item x="988"/>
        <item x="8"/>
        <item x="989"/>
        <item x="990"/>
        <item x="991"/>
        <item x="992"/>
        <item x="993"/>
        <item x="994"/>
        <item x="995"/>
        <item x="996"/>
        <item x="997"/>
        <item x="998"/>
        <item x="9"/>
        <item x="99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numFmtId="183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t="default"/>
      </items>
    </pivotField>
  </pivotFields>
  <rowFields count="1">
    <field x="17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ID" fld="0" subtotal="count" baseField="0" baseItem="0"/>
    <dataField name="Sum of Exit statu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4">
  <location ref="B61:C65" firstHeaderRow="1" firstDataRow="1" firstDataCol="1"/>
  <pivotFields count="18">
    <pivotField showAll="0">
      <items count="1001">
        <item x="899"/>
        <item x="900"/>
        <item x="901"/>
        <item x="902"/>
        <item x="903"/>
        <item x="904"/>
        <item x="905"/>
        <item x="906"/>
        <item x="907"/>
        <item x="908"/>
        <item x="0"/>
        <item x="909"/>
        <item x="910"/>
        <item x="911"/>
        <item x="912"/>
        <item x="913"/>
        <item x="914"/>
        <item x="915"/>
        <item x="916"/>
        <item x="917"/>
        <item x="918"/>
        <item x="1"/>
        <item x="919"/>
        <item x="920"/>
        <item x="921"/>
        <item x="922"/>
        <item x="923"/>
        <item x="924"/>
        <item x="925"/>
        <item x="926"/>
        <item x="927"/>
        <item x="928"/>
        <item x="2"/>
        <item x="929"/>
        <item x="930"/>
        <item x="931"/>
        <item x="932"/>
        <item x="933"/>
        <item x="934"/>
        <item x="935"/>
        <item x="936"/>
        <item x="937"/>
        <item x="938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4"/>
        <item x="949"/>
        <item x="950"/>
        <item x="951"/>
        <item x="952"/>
        <item x="953"/>
        <item x="954"/>
        <item x="955"/>
        <item x="956"/>
        <item x="957"/>
        <item x="958"/>
        <item x="5"/>
        <item x="959"/>
        <item x="960"/>
        <item x="961"/>
        <item x="962"/>
        <item x="963"/>
        <item x="964"/>
        <item x="965"/>
        <item x="966"/>
        <item x="967"/>
        <item x="968"/>
        <item x="6"/>
        <item x="969"/>
        <item x="970"/>
        <item x="971"/>
        <item x="972"/>
        <item x="973"/>
        <item x="974"/>
        <item x="975"/>
        <item x="976"/>
        <item x="977"/>
        <item x="978"/>
        <item x="7"/>
        <item x="979"/>
        <item x="980"/>
        <item x="981"/>
        <item x="982"/>
        <item x="983"/>
        <item x="984"/>
        <item x="985"/>
        <item x="986"/>
        <item x="987"/>
        <item x="988"/>
        <item x="8"/>
        <item x="989"/>
        <item x="990"/>
        <item x="991"/>
        <item x="992"/>
        <item x="993"/>
        <item x="994"/>
        <item x="995"/>
        <item x="996"/>
        <item x="997"/>
        <item x="998"/>
        <item x="9"/>
        <item x="99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numFmtId="183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nnual Salary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0">
  <location ref="B45:C50" firstHeaderRow="1" firstDataRow="1" firstDataCol="1"/>
  <pivotFields count="18">
    <pivotField dataField="1" showAll="0">
      <items count="1001">
        <item x="899"/>
        <item x="900"/>
        <item x="901"/>
        <item x="902"/>
        <item x="903"/>
        <item x="904"/>
        <item x="905"/>
        <item x="906"/>
        <item x="907"/>
        <item x="908"/>
        <item x="0"/>
        <item x="909"/>
        <item x="910"/>
        <item x="911"/>
        <item x="912"/>
        <item x="913"/>
        <item x="914"/>
        <item x="915"/>
        <item x="916"/>
        <item x="917"/>
        <item x="918"/>
        <item x="1"/>
        <item x="919"/>
        <item x="920"/>
        <item x="921"/>
        <item x="922"/>
        <item x="923"/>
        <item x="924"/>
        <item x="925"/>
        <item x="926"/>
        <item x="927"/>
        <item x="928"/>
        <item x="2"/>
        <item x="929"/>
        <item x="930"/>
        <item x="931"/>
        <item x="932"/>
        <item x="933"/>
        <item x="934"/>
        <item x="935"/>
        <item x="936"/>
        <item x="937"/>
        <item x="938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4"/>
        <item x="949"/>
        <item x="950"/>
        <item x="951"/>
        <item x="952"/>
        <item x="953"/>
        <item x="954"/>
        <item x="955"/>
        <item x="956"/>
        <item x="957"/>
        <item x="958"/>
        <item x="5"/>
        <item x="959"/>
        <item x="960"/>
        <item x="961"/>
        <item x="962"/>
        <item x="963"/>
        <item x="964"/>
        <item x="965"/>
        <item x="966"/>
        <item x="967"/>
        <item x="968"/>
        <item x="6"/>
        <item x="969"/>
        <item x="970"/>
        <item x="971"/>
        <item x="972"/>
        <item x="973"/>
        <item x="974"/>
        <item x="975"/>
        <item x="976"/>
        <item x="977"/>
        <item x="978"/>
        <item x="7"/>
        <item x="979"/>
        <item x="980"/>
        <item x="981"/>
        <item x="982"/>
        <item x="983"/>
        <item x="984"/>
        <item x="985"/>
        <item x="986"/>
        <item x="987"/>
        <item x="988"/>
        <item x="8"/>
        <item x="989"/>
        <item x="990"/>
        <item x="991"/>
        <item x="992"/>
        <item x="993"/>
        <item x="994"/>
        <item x="995"/>
        <item x="996"/>
        <item x="997"/>
        <item x="998"/>
        <item x="9"/>
        <item x="99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numFmtId="183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6">
    <queryTableFields count="15">
      <queryTableField id="1" name="Employee Id" tableColumnId="1"/>
      <queryTableField id="2" name="Job Title" tableColumnId="2"/>
      <queryTableField id="3" name="Department" tableColumnId="3"/>
      <queryTableField id="4" name="Business Unit" tableColumnId="4"/>
      <queryTableField id="5" name="Gender" tableColumnId="5"/>
      <queryTableField id="6" name="Age" tableColumnId="6"/>
      <queryTableField id="7" name="Age group" tableColumnId="7"/>
      <queryTableField id="8" name="Hire Date" tableColumnId="8"/>
      <queryTableField id="9" name="Annual Salary" tableColumnId="9"/>
      <queryTableField id="10" name="Bonus %" tableColumnId="10"/>
      <queryTableField id="11" name="Total Annual Salary" tableColumnId="11"/>
      <queryTableField id="12" name="Country" tableColumnId="12"/>
      <queryTableField id="13" name="City" tableColumnId="13"/>
      <queryTableField id="14" name="Exit Date" tableColumnId="14"/>
      <queryTableField id="15" name="Exit status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5" name="PivotTable9"/>
    <pivotTable tabId="5" name="PivotTable10"/>
    <pivotTable tabId="5" name="PivotTable11"/>
    <pivotTable tabId="5" name="PivotTable12"/>
    <pivotTable tabId="5" name="PivotTable2"/>
  </pivotTables>
  <data>
    <tabular pivotCacheId="1">
      <items count="7">
        <i x="3" s="1"/>
        <i x="5" s="1"/>
        <i x="1" s="1"/>
        <i x="4" s="1"/>
        <i x="0" s="1"/>
        <i x="6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5" name="PivotTable9"/>
    <pivotTable tabId="5" name="PivotTable10"/>
    <pivotTable tabId="5" name="PivotTable11"/>
    <pivotTable tabId="5" name="PivotTable12"/>
    <pivotTable tabId="5" name="PivotTable2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34950"/>
  <slicer name="Gender" cache="Slicer_Gender" caption="Gender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" caption="Department" columnCount="2" rowHeight="234950"/>
  <slicer name="Gender 1" cache="Slicer_Gender" caption="Gender" columnCount="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emp" displayName="emp" ref="A1:O1001" tableType="queryTable" totalsRowShown="0">
  <autoFilter xmlns:etc="http://www.wps.cn/officeDocument/2017/etCustomData" ref="A1:O1001" etc:filterBottomFollowUsedRange="0"/>
  <tableColumns count="15">
    <tableColumn id="1" name="Employee ID" uniqueName="1" queryTableFieldId="1" dataDxfId="0"/>
    <tableColumn id="2" name="Job Title" uniqueName="2" queryTableFieldId="2" dataDxfId="1"/>
    <tableColumn id="3" name="Department" uniqueName="3" queryTableFieldId="3" dataDxfId="2"/>
    <tableColumn id="4" name="Business Unit" uniqueName="4" queryTableFieldId="4" dataDxfId="3"/>
    <tableColumn id="5" name="Gender" uniqueName="5" queryTableFieldId="5" dataDxfId="4"/>
    <tableColumn id="6" name="Age" uniqueName="6" queryTableFieldId="6"/>
    <tableColumn id="7" name="Age group" uniqueName="7" queryTableFieldId="7" dataDxfId="5"/>
    <tableColumn id="8" name="Hire Date" uniqueName="8" queryTableFieldId="8" dataDxfId="6"/>
    <tableColumn id="9" name="Annual Salary" uniqueName="9" queryTableFieldId="9"/>
    <tableColumn id="10" name="Bonus %" uniqueName="10" queryTableFieldId="10"/>
    <tableColumn id="11" name="Total Annual Salary" uniqueName="11" queryTableFieldId="11"/>
    <tableColumn id="12" name="Country" uniqueName="12" queryTableFieldId="12" dataDxfId="7"/>
    <tableColumn id="13" name="City" uniqueName="13" queryTableFieldId="13" dataDxfId="8"/>
    <tableColumn id="14" name="Exit Date" uniqueName="14" queryTableFieldId="14" dataDxfId="9"/>
    <tableColumn id="15" name="Exit status" uniqueName="15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K1001" totalsRowShown="0">
  <autoFilter xmlns:etc="http://www.wps.cn/officeDocument/2017/etCustomData" ref="A1:K1001" etc:filterBottomFollowUsedRange="0"/>
  <tableColumns count="11">
    <tableColumn id="1" name="Job Title" dataDxfId="10"/>
    <tableColumn id="2" name="Department" dataDxfId="11"/>
    <tableColumn id="3" name="Business Unit" dataDxfId="12"/>
    <tableColumn id="4" name="Gender" dataDxfId="13"/>
    <tableColumn id="5" name="Age" dataDxfId="14"/>
    <tableColumn id="6" name="Hire Date" dataDxfId="15"/>
    <tableColumn id="7" name="Annual Salary" dataDxfId="16"/>
    <tableColumn id="8" name="Bonus %" dataDxfId="17"/>
    <tableColumn id="9" name="Country" dataDxfId="18"/>
    <tableColumn id="10" name="City" dataDxfId="19"/>
    <tableColumn id="11" name="Exit Date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7" Type="http://schemas.microsoft.com/office/2007/relationships/slicer" Target="../slicers/slicer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H37"/>
  <sheetViews>
    <sheetView zoomScale="145" zoomScaleNormal="145" topLeftCell="A20" workbookViewId="0">
      <selection activeCell="D23" sqref="D23:I37"/>
    </sheetView>
  </sheetViews>
  <sheetFormatPr defaultColWidth="9" defaultRowHeight="14.4" outlineLevelCol="7"/>
  <sheetData>
    <row r="2" spans="2:4">
      <c r="B2" s="26">
        <v>1</v>
      </c>
      <c r="C2" s="26" t="s">
        <v>0</v>
      </c>
      <c r="D2" s="26"/>
    </row>
    <row r="4" spans="2:4">
      <c r="B4" s="26">
        <v>2</v>
      </c>
      <c r="C4" s="26" t="s">
        <v>1</v>
      </c>
      <c r="D4" s="26"/>
    </row>
    <row r="5" spans="3:4">
      <c r="C5" s="27" t="s">
        <v>2</v>
      </c>
      <c r="D5" s="27" t="s">
        <v>3</v>
      </c>
    </row>
    <row r="6" spans="4:8">
      <c r="D6" t="s">
        <v>4</v>
      </c>
      <c r="G6">
        <v>1005</v>
      </c>
      <c r="H6">
        <v>1000</v>
      </c>
    </row>
    <row r="7" spans="4:4">
      <c r="D7" t="s">
        <v>5</v>
      </c>
    </row>
    <row r="8" spans="4:4">
      <c r="D8" t="s">
        <v>6</v>
      </c>
    </row>
    <row r="9" spans="4:8">
      <c r="D9" t="s">
        <v>7</v>
      </c>
      <c r="H9" t="s">
        <v>8</v>
      </c>
    </row>
    <row r="10" spans="4:4">
      <c r="D10" t="s">
        <v>9</v>
      </c>
    </row>
    <row r="11" spans="4:8">
      <c r="D11" t="s">
        <v>10</v>
      </c>
      <c r="H11" t="s">
        <v>11</v>
      </c>
    </row>
    <row r="13" spans="3:4">
      <c r="C13" s="27" t="s">
        <v>12</v>
      </c>
      <c r="D13" s="27" t="s">
        <v>13</v>
      </c>
    </row>
    <row r="14" spans="4:4">
      <c r="D14" t="s">
        <v>14</v>
      </c>
    </row>
    <row r="15" spans="4:4">
      <c r="D15" t="s">
        <v>15</v>
      </c>
    </row>
    <row r="16" spans="4:4">
      <c r="D16" t="s">
        <v>16</v>
      </c>
    </row>
    <row r="17" spans="4:4">
      <c r="D17" t="s">
        <v>17</v>
      </c>
    </row>
    <row r="18" spans="4:4">
      <c r="D18" t="s">
        <v>18</v>
      </c>
    </row>
    <row r="20" spans="2:4">
      <c r="B20" s="26">
        <v>3</v>
      </c>
      <c r="C20" s="26" t="s">
        <v>19</v>
      </c>
      <c r="D20" s="26"/>
    </row>
    <row r="22" spans="2:4">
      <c r="B22" s="26">
        <v>4</v>
      </c>
      <c r="C22" s="26" t="s">
        <v>20</v>
      </c>
      <c r="D22" s="26"/>
    </row>
    <row r="23" spans="4:8">
      <c r="D23" s="6" t="s">
        <v>21</v>
      </c>
      <c r="E23" s="6" t="s">
        <v>22</v>
      </c>
      <c r="F23" s="6"/>
      <c r="G23" s="6"/>
      <c r="H23" s="6" t="s">
        <v>23</v>
      </c>
    </row>
    <row r="24" spans="4:8">
      <c r="D24" t="s">
        <v>24</v>
      </c>
      <c r="H24" t="s">
        <v>25</v>
      </c>
    </row>
    <row r="25" spans="4:8">
      <c r="D25" t="s">
        <v>26</v>
      </c>
      <c r="H25" t="s">
        <v>27</v>
      </c>
    </row>
    <row r="26" spans="4:4">
      <c r="D26" t="s">
        <v>28</v>
      </c>
    </row>
    <row r="27" spans="4:4">
      <c r="D27" t="s">
        <v>29</v>
      </c>
    </row>
    <row r="28" spans="4:4">
      <c r="D28" t="s">
        <v>30</v>
      </c>
    </row>
    <row r="29" spans="4:8">
      <c r="D29" s="6" t="s">
        <v>31</v>
      </c>
      <c r="E29" s="6" t="s">
        <v>32</v>
      </c>
      <c r="F29" s="6"/>
      <c r="G29" s="6"/>
      <c r="H29" s="6"/>
    </row>
    <row r="31" spans="4:4">
      <c r="D31" t="s">
        <v>33</v>
      </c>
    </row>
    <row r="32" spans="4:4">
      <c r="D32" t="s">
        <v>34</v>
      </c>
    </row>
    <row r="33" spans="4:4">
      <c r="D33" t="s">
        <v>35</v>
      </c>
    </row>
    <row r="34" spans="4:4">
      <c r="D34" t="s">
        <v>36</v>
      </c>
    </row>
    <row r="35" spans="4:4">
      <c r="D35" t="s">
        <v>37</v>
      </c>
    </row>
    <row r="36" spans="4:4">
      <c r="D36" t="s">
        <v>38</v>
      </c>
    </row>
    <row r="37" spans="4:4">
      <c r="D37" t="s">
        <v>39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001"/>
  <sheetViews>
    <sheetView topLeftCell="C1" workbookViewId="0">
      <selection activeCell="A1" sqref="A1"/>
    </sheetView>
  </sheetViews>
  <sheetFormatPr defaultColWidth="9" defaultRowHeight="14.4"/>
  <cols>
    <col min="1" max="1" width="16.1111111111111" customWidth="1"/>
    <col min="2" max="2" width="25.5555555555556" customWidth="1"/>
    <col min="3" max="3" width="15.6666666666667" customWidth="1"/>
    <col min="4" max="4" width="21.8888888888889" customWidth="1"/>
    <col min="5" max="5" width="9.33333333333333" customWidth="1"/>
    <col min="6" max="6" width="6.44444444444444" customWidth="1"/>
    <col min="7" max="7" width="11.8888888888889" customWidth="1"/>
    <col min="8" max="8" width="15.4444444444444" customWidth="1"/>
    <col min="9" max="9" width="14.7777777777778" customWidth="1"/>
    <col min="10" max="10" width="10.3333333333333" customWidth="1"/>
    <col min="11" max="11" width="19.6666666666667" customWidth="1"/>
    <col min="12" max="12" width="11.8888888888889" customWidth="1"/>
    <col min="13" max="13" width="12.4444444444444" customWidth="1"/>
    <col min="14" max="14" width="10.5555555555556" customWidth="1"/>
    <col min="15" max="15" width="11.6666666666667" customWidth="1"/>
  </cols>
  <sheetData>
    <row r="1" spans="1:1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11</v>
      </c>
      <c r="O1" t="s">
        <v>53</v>
      </c>
    </row>
    <row r="2" spans="1:15">
      <c r="A2" t="s">
        <v>54</v>
      </c>
      <c r="B2" t="s">
        <v>55</v>
      </c>
      <c r="C2" t="s">
        <v>56</v>
      </c>
      <c r="D2" t="s">
        <v>57</v>
      </c>
      <c r="E2" t="s">
        <v>58</v>
      </c>
      <c r="F2">
        <v>55</v>
      </c>
      <c r="G2" t="s">
        <v>59</v>
      </c>
      <c r="H2" s="24">
        <v>42468</v>
      </c>
      <c r="I2">
        <v>100000</v>
      </c>
      <c r="J2">
        <v>0.15</v>
      </c>
      <c r="K2">
        <v>115000</v>
      </c>
      <c r="L2" t="s">
        <v>60</v>
      </c>
      <c r="M2" t="s">
        <v>61</v>
      </c>
      <c r="N2" s="25">
        <v>44485</v>
      </c>
      <c r="O2">
        <v>1</v>
      </c>
    </row>
    <row r="3" spans="1:15">
      <c r="A3" t="s">
        <v>62</v>
      </c>
      <c r="B3" t="s">
        <v>63</v>
      </c>
      <c r="C3" t="s">
        <v>56</v>
      </c>
      <c r="D3" t="s">
        <v>64</v>
      </c>
      <c r="E3" t="s">
        <v>65</v>
      </c>
      <c r="F3">
        <v>59</v>
      </c>
      <c r="G3" t="s">
        <v>59</v>
      </c>
      <c r="H3" s="24">
        <v>35763</v>
      </c>
      <c r="I3">
        <v>99975</v>
      </c>
      <c r="J3">
        <v>0</v>
      </c>
      <c r="K3">
        <v>99975</v>
      </c>
      <c r="L3" t="s">
        <v>66</v>
      </c>
      <c r="M3" t="s">
        <v>67</v>
      </c>
      <c r="N3" s="25"/>
      <c r="O3">
        <v>0</v>
      </c>
    </row>
    <row r="4" spans="1:15">
      <c r="A4" t="s">
        <v>68</v>
      </c>
      <c r="B4" t="s">
        <v>69</v>
      </c>
      <c r="C4" t="s">
        <v>70</v>
      </c>
      <c r="D4" t="s">
        <v>71</v>
      </c>
      <c r="E4" t="s">
        <v>58</v>
      </c>
      <c r="F4">
        <v>50</v>
      </c>
      <c r="G4" t="s">
        <v>72</v>
      </c>
      <c r="H4" s="24">
        <v>39016</v>
      </c>
      <c r="I4">
        <v>163099</v>
      </c>
      <c r="J4">
        <v>0.2</v>
      </c>
      <c r="K4">
        <v>195719</v>
      </c>
      <c r="L4" t="s">
        <v>60</v>
      </c>
      <c r="M4" t="s">
        <v>73</v>
      </c>
      <c r="N4" s="25"/>
      <c r="O4">
        <v>0</v>
      </c>
    </row>
    <row r="5" spans="1:15">
      <c r="A5" t="s">
        <v>74</v>
      </c>
      <c r="B5" t="s">
        <v>75</v>
      </c>
      <c r="C5" t="s">
        <v>56</v>
      </c>
      <c r="D5" t="s">
        <v>64</v>
      </c>
      <c r="E5" t="s">
        <v>58</v>
      </c>
      <c r="F5">
        <v>26</v>
      </c>
      <c r="G5" t="s">
        <v>76</v>
      </c>
      <c r="H5" s="24">
        <v>43735</v>
      </c>
      <c r="I5">
        <v>84913</v>
      </c>
      <c r="J5">
        <v>0.07</v>
      </c>
      <c r="K5">
        <v>90857</v>
      </c>
      <c r="L5" t="s">
        <v>60</v>
      </c>
      <c r="M5" t="s">
        <v>73</v>
      </c>
      <c r="N5" s="25"/>
      <c r="O5">
        <v>0</v>
      </c>
    </row>
    <row r="6" spans="1:15">
      <c r="A6" t="s">
        <v>77</v>
      </c>
      <c r="B6" t="s">
        <v>78</v>
      </c>
      <c r="C6" t="s">
        <v>70</v>
      </c>
      <c r="D6" t="s">
        <v>64</v>
      </c>
      <c r="E6" t="s">
        <v>65</v>
      </c>
      <c r="F6">
        <v>55</v>
      </c>
      <c r="G6" t="s">
        <v>59</v>
      </c>
      <c r="H6" s="24">
        <v>35023</v>
      </c>
      <c r="I6">
        <v>95409</v>
      </c>
      <c r="J6">
        <v>0</v>
      </c>
      <c r="K6">
        <v>95409</v>
      </c>
      <c r="L6" t="s">
        <v>60</v>
      </c>
      <c r="M6" t="s">
        <v>79</v>
      </c>
      <c r="N6" s="25"/>
      <c r="O6">
        <v>0</v>
      </c>
    </row>
    <row r="7" spans="1:15">
      <c r="A7" t="s">
        <v>80</v>
      </c>
      <c r="B7" t="s">
        <v>81</v>
      </c>
      <c r="C7" t="s">
        <v>82</v>
      </c>
      <c r="D7" t="s">
        <v>83</v>
      </c>
      <c r="E7" t="s">
        <v>65</v>
      </c>
      <c r="F7">
        <v>57</v>
      </c>
      <c r="G7" t="s">
        <v>59</v>
      </c>
      <c r="H7" s="24">
        <v>42759</v>
      </c>
      <c r="I7">
        <v>50994</v>
      </c>
      <c r="J7">
        <v>0</v>
      </c>
      <c r="K7">
        <v>50994</v>
      </c>
      <c r="L7" t="s">
        <v>66</v>
      </c>
      <c r="M7" t="s">
        <v>67</v>
      </c>
      <c r="N7" s="25"/>
      <c r="O7">
        <v>0</v>
      </c>
    </row>
    <row r="8" spans="1:15">
      <c r="A8" t="s">
        <v>84</v>
      </c>
      <c r="B8" t="s">
        <v>85</v>
      </c>
      <c r="C8" t="s">
        <v>56</v>
      </c>
      <c r="D8" t="s">
        <v>83</v>
      </c>
      <c r="E8" t="s">
        <v>58</v>
      </c>
      <c r="F8">
        <v>27</v>
      </c>
      <c r="G8" t="s">
        <v>76</v>
      </c>
      <c r="H8" s="24">
        <v>44013</v>
      </c>
      <c r="I8">
        <v>119746</v>
      </c>
      <c r="J8">
        <v>0.1</v>
      </c>
      <c r="K8">
        <v>131721</v>
      </c>
      <c r="L8" t="s">
        <v>60</v>
      </c>
      <c r="M8" t="s">
        <v>79</v>
      </c>
      <c r="N8" s="25"/>
      <c r="O8">
        <v>0</v>
      </c>
    </row>
    <row r="9" spans="1:15">
      <c r="A9" t="s">
        <v>86</v>
      </c>
      <c r="B9" t="s">
        <v>87</v>
      </c>
      <c r="C9" t="s">
        <v>70</v>
      </c>
      <c r="D9" t="s">
        <v>64</v>
      </c>
      <c r="E9" t="s">
        <v>65</v>
      </c>
      <c r="F9">
        <v>25</v>
      </c>
      <c r="G9" t="s">
        <v>76</v>
      </c>
      <c r="H9" s="24">
        <v>43967</v>
      </c>
      <c r="I9">
        <v>41336</v>
      </c>
      <c r="J9">
        <v>0</v>
      </c>
      <c r="K9">
        <v>41336</v>
      </c>
      <c r="L9" t="s">
        <v>60</v>
      </c>
      <c r="M9" t="s">
        <v>88</v>
      </c>
      <c r="N9" s="25">
        <v>44336</v>
      </c>
      <c r="O9">
        <v>1</v>
      </c>
    </row>
    <row r="10" spans="1:15">
      <c r="A10" t="s">
        <v>89</v>
      </c>
      <c r="B10" t="s">
        <v>85</v>
      </c>
      <c r="C10" t="s">
        <v>90</v>
      </c>
      <c r="D10" t="s">
        <v>64</v>
      </c>
      <c r="E10" t="s">
        <v>65</v>
      </c>
      <c r="F10">
        <v>29</v>
      </c>
      <c r="G10" t="s">
        <v>76</v>
      </c>
      <c r="H10" s="24">
        <v>43490</v>
      </c>
      <c r="I10">
        <v>113527</v>
      </c>
      <c r="J10">
        <v>0.06</v>
      </c>
      <c r="K10">
        <v>120339</v>
      </c>
      <c r="L10" t="s">
        <v>60</v>
      </c>
      <c r="M10" t="s">
        <v>91</v>
      </c>
      <c r="N10" s="25"/>
      <c r="O10">
        <v>0</v>
      </c>
    </row>
    <row r="11" spans="1:15">
      <c r="A11" t="s">
        <v>92</v>
      </c>
      <c r="B11" t="s">
        <v>78</v>
      </c>
      <c r="C11" t="s">
        <v>70</v>
      </c>
      <c r="D11" t="s">
        <v>71</v>
      </c>
      <c r="E11" t="s">
        <v>58</v>
      </c>
      <c r="F11">
        <v>34</v>
      </c>
      <c r="G11" t="s">
        <v>76</v>
      </c>
      <c r="H11" s="24">
        <v>43264</v>
      </c>
      <c r="I11">
        <v>77203</v>
      </c>
      <c r="J11">
        <v>0</v>
      </c>
      <c r="K11">
        <v>77203</v>
      </c>
      <c r="L11" t="s">
        <v>60</v>
      </c>
      <c r="M11" t="s">
        <v>73</v>
      </c>
      <c r="N11" s="25"/>
      <c r="O11">
        <v>0</v>
      </c>
    </row>
    <row r="12" spans="1:15">
      <c r="A12" t="s">
        <v>93</v>
      </c>
      <c r="B12" t="s">
        <v>55</v>
      </c>
      <c r="C12" t="s">
        <v>94</v>
      </c>
      <c r="D12" t="s">
        <v>64</v>
      </c>
      <c r="E12" t="s">
        <v>58</v>
      </c>
      <c r="F12">
        <v>36</v>
      </c>
      <c r="G12" t="s">
        <v>95</v>
      </c>
      <c r="H12" s="24">
        <v>39855</v>
      </c>
      <c r="I12">
        <v>157333</v>
      </c>
      <c r="J12">
        <v>0.15</v>
      </c>
      <c r="K12">
        <v>180933</v>
      </c>
      <c r="L12" t="s">
        <v>60</v>
      </c>
      <c r="M12" t="s">
        <v>88</v>
      </c>
      <c r="N12" s="25"/>
      <c r="O12">
        <v>0</v>
      </c>
    </row>
    <row r="13" spans="1:15">
      <c r="A13" t="s">
        <v>96</v>
      </c>
      <c r="B13" t="s">
        <v>97</v>
      </c>
      <c r="C13" t="s">
        <v>98</v>
      </c>
      <c r="D13" t="s">
        <v>71</v>
      </c>
      <c r="E13" t="s">
        <v>58</v>
      </c>
      <c r="F13">
        <v>27</v>
      </c>
      <c r="G13" t="s">
        <v>76</v>
      </c>
      <c r="H13" s="24">
        <v>44490</v>
      </c>
      <c r="I13">
        <v>109851</v>
      </c>
      <c r="J13">
        <v>0</v>
      </c>
      <c r="K13">
        <v>109851</v>
      </c>
      <c r="L13" t="s">
        <v>60</v>
      </c>
      <c r="M13" t="s">
        <v>61</v>
      </c>
      <c r="N13" s="25"/>
      <c r="O13">
        <v>0</v>
      </c>
    </row>
    <row r="14" spans="1:15">
      <c r="A14" t="s">
        <v>99</v>
      </c>
      <c r="B14" t="s">
        <v>85</v>
      </c>
      <c r="C14" t="s">
        <v>94</v>
      </c>
      <c r="D14" t="s">
        <v>64</v>
      </c>
      <c r="E14" t="s">
        <v>65</v>
      </c>
      <c r="F14">
        <v>59</v>
      </c>
      <c r="G14" t="s">
        <v>59</v>
      </c>
      <c r="H14" s="24">
        <v>36233</v>
      </c>
      <c r="I14">
        <v>105086</v>
      </c>
      <c r="J14">
        <v>0.09</v>
      </c>
      <c r="K14">
        <v>114544</v>
      </c>
      <c r="L14" t="s">
        <v>60</v>
      </c>
      <c r="M14" t="s">
        <v>91</v>
      </c>
      <c r="N14" s="25"/>
      <c r="O14">
        <v>0</v>
      </c>
    </row>
    <row r="15" spans="1:15">
      <c r="A15" t="s">
        <v>100</v>
      </c>
      <c r="B15" t="s">
        <v>55</v>
      </c>
      <c r="C15" t="s">
        <v>70</v>
      </c>
      <c r="D15" t="s">
        <v>57</v>
      </c>
      <c r="E15" t="s">
        <v>58</v>
      </c>
      <c r="F15">
        <v>51</v>
      </c>
      <c r="G15" t="s">
        <v>72</v>
      </c>
      <c r="H15" s="24">
        <v>44357</v>
      </c>
      <c r="I15">
        <v>146742</v>
      </c>
      <c r="J15">
        <v>0.1</v>
      </c>
      <c r="K15">
        <v>161416</v>
      </c>
      <c r="L15" t="s">
        <v>66</v>
      </c>
      <c r="M15" t="s">
        <v>101</v>
      </c>
      <c r="N15" s="25"/>
      <c r="O15">
        <v>0</v>
      </c>
    </row>
    <row r="16" spans="1:15">
      <c r="A16" t="s">
        <v>102</v>
      </c>
      <c r="B16" t="s">
        <v>78</v>
      </c>
      <c r="C16" t="s">
        <v>90</v>
      </c>
      <c r="D16" t="s">
        <v>71</v>
      </c>
      <c r="E16" t="s">
        <v>65</v>
      </c>
      <c r="F16">
        <v>31</v>
      </c>
      <c r="G16" t="s">
        <v>76</v>
      </c>
      <c r="H16" s="24">
        <v>43043</v>
      </c>
      <c r="I16">
        <v>97078</v>
      </c>
      <c r="J16">
        <v>0</v>
      </c>
      <c r="K16">
        <v>97078</v>
      </c>
      <c r="L16" t="s">
        <v>60</v>
      </c>
      <c r="M16" t="s">
        <v>91</v>
      </c>
      <c r="N16" s="25">
        <v>43899</v>
      </c>
      <c r="O16">
        <v>1</v>
      </c>
    </row>
    <row r="17" spans="1:15">
      <c r="A17" t="s">
        <v>103</v>
      </c>
      <c r="B17" t="s">
        <v>104</v>
      </c>
      <c r="C17" t="s">
        <v>105</v>
      </c>
      <c r="D17" t="s">
        <v>57</v>
      </c>
      <c r="E17" t="s">
        <v>58</v>
      </c>
      <c r="F17">
        <v>41</v>
      </c>
      <c r="G17" t="s">
        <v>95</v>
      </c>
      <c r="H17" s="24">
        <v>41346</v>
      </c>
      <c r="I17">
        <v>249270</v>
      </c>
      <c r="J17">
        <v>0.3</v>
      </c>
      <c r="K17">
        <v>324051</v>
      </c>
      <c r="L17" t="s">
        <v>60</v>
      </c>
      <c r="M17" t="s">
        <v>61</v>
      </c>
      <c r="N17" s="25"/>
      <c r="O17">
        <v>0</v>
      </c>
    </row>
    <row r="18" spans="1:15">
      <c r="A18" t="s">
        <v>106</v>
      </c>
      <c r="B18" t="s">
        <v>69</v>
      </c>
      <c r="C18" t="s">
        <v>70</v>
      </c>
      <c r="D18" t="s">
        <v>57</v>
      </c>
      <c r="E18" t="s">
        <v>58</v>
      </c>
      <c r="F18">
        <v>65</v>
      </c>
      <c r="G18" t="s">
        <v>107</v>
      </c>
      <c r="H18" s="24">
        <v>37319</v>
      </c>
      <c r="I18">
        <v>175837</v>
      </c>
      <c r="J18">
        <v>0.2</v>
      </c>
      <c r="K18">
        <v>211004</v>
      </c>
      <c r="L18" t="s">
        <v>60</v>
      </c>
      <c r="M18" t="s">
        <v>79</v>
      </c>
      <c r="N18" s="25"/>
      <c r="O18">
        <v>0</v>
      </c>
    </row>
    <row r="19" spans="1:15">
      <c r="A19" t="s">
        <v>108</v>
      </c>
      <c r="B19" t="s">
        <v>55</v>
      </c>
      <c r="C19" t="s">
        <v>105</v>
      </c>
      <c r="D19" t="s">
        <v>71</v>
      </c>
      <c r="E19" t="s">
        <v>58</v>
      </c>
      <c r="F19">
        <v>64</v>
      </c>
      <c r="G19" t="s">
        <v>59</v>
      </c>
      <c r="H19" s="24">
        <v>37956</v>
      </c>
      <c r="I19">
        <v>154828</v>
      </c>
      <c r="J19">
        <v>0.13</v>
      </c>
      <c r="K19">
        <v>174956</v>
      </c>
      <c r="L19" t="s">
        <v>60</v>
      </c>
      <c r="M19" t="s">
        <v>61</v>
      </c>
      <c r="N19" s="25"/>
      <c r="O19">
        <v>0</v>
      </c>
    </row>
    <row r="20" spans="1:15">
      <c r="A20" t="s">
        <v>109</v>
      </c>
      <c r="B20" t="s">
        <v>69</v>
      </c>
      <c r="C20" t="s">
        <v>56</v>
      </c>
      <c r="D20" t="s">
        <v>83</v>
      </c>
      <c r="E20" t="s">
        <v>65</v>
      </c>
      <c r="F20">
        <v>64</v>
      </c>
      <c r="G20" t="s">
        <v>59</v>
      </c>
      <c r="H20" s="24">
        <v>41581</v>
      </c>
      <c r="I20">
        <v>186503</v>
      </c>
      <c r="J20">
        <v>0.24</v>
      </c>
      <c r="K20">
        <v>231264</v>
      </c>
      <c r="L20" t="s">
        <v>60</v>
      </c>
      <c r="M20" t="s">
        <v>110</v>
      </c>
      <c r="N20" s="25"/>
      <c r="O20">
        <v>0</v>
      </c>
    </row>
    <row r="21" spans="1:15">
      <c r="A21" t="s">
        <v>111</v>
      </c>
      <c r="B21" t="s">
        <v>69</v>
      </c>
      <c r="C21" t="s">
        <v>82</v>
      </c>
      <c r="D21" t="s">
        <v>57</v>
      </c>
      <c r="E21" t="s">
        <v>65</v>
      </c>
      <c r="F21">
        <v>45</v>
      </c>
      <c r="G21" t="s">
        <v>72</v>
      </c>
      <c r="H21" s="24">
        <v>37446</v>
      </c>
      <c r="I21">
        <v>166331</v>
      </c>
      <c r="J21">
        <v>0.18</v>
      </c>
      <c r="K21">
        <v>196271</v>
      </c>
      <c r="L21" t="s">
        <v>66</v>
      </c>
      <c r="M21" t="s">
        <v>67</v>
      </c>
      <c r="N21" s="25"/>
      <c r="O21">
        <v>0</v>
      </c>
    </row>
    <row r="22" spans="1:15">
      <c r="A22" t="s">
        <v>112</v>
      </c>
      <c r="B22" t="s">
        <v>55</v>
      </c>
      <c r="C22" t="s">
        <v>56</v>
      </c>
      <c r="D22" t="s">
        <v>64</v>
      </c>
      <c r="E22" t="s">
        <v>65</v>
      </c>
      <c r="F22">
        <v>56</v>
      </c>
      <c r="G22" t="s">
        <v>59</v>
      </c>
      <c r="H22" s="24">
        <v>40917</v>
      </c>
      <c r="I22">
        <v>146140</v>
      </c>
      <c r="J22">
        <v>0.1</v>
      </c>
      <c r="K22">
        <v>160754</v>
      </c>
      <c r="L22" t="s">
        <v>113</v>
      </c>
      <c r="M22" t="s">
        <v>114</v>
      </c>
      <c r="N22" s="25"/>
      <c r="O22">
        <v>0</v>
      </c>
    </row>
    <row r="23" spans="1:15">
      <c r="A23" t="s">
        <v>115</v>
      </c>
      <c r="B23" t="s">
        <v>69</v>
      </c>
      <c r="C23" t="s">
        <v>82</v>
      </c>
      <c r="D23" t="s">
        <v>64</v>
      </c>
      <c r="E23" t="s">
        <v>58</v>
      </c>
      <c r="F23">
        <v>36</v>
      </c>
      <c r="G23" t="s">
        <v>95</v>
      </c>
      <c r="H23" s="24">
        <v>44288</v>
      </c>
      <c r="I23">
        <v>151703</v>
      </c>
      <c r="J23">
        <v>0.21</v>
      </c>
      <c r="K23">
        <v>183561</v>
      </c>
      <c r="L23" t="s">
        <v>60</v>
      </c>
      <c r="M23" t="s">
        <v>88</v>
      </c>
      <c r="N23" s="25"/>
      <c r="O23">
        <v>0</v>
      </c>
    </row>
    <row r="24" spans="1:15">
      <c r="A24" t="s">
        <v>116</v>
      </c>
      <c r="B24" t="s">
        <v>69</v>
      </c>
      <c r="C24" t="s">
        <v>56</v>
      </c>
      <c r="D24" t="s">
        <v>57</v>
      </c>
      <c r="E24" t="s">
        <v>65</v>
      </c>
      <c r="F24">
        <v>59</v>
      </c>
      <c r="G24" t="s">
        <v>59</v>
      </c>
      <c r="H24" s="24">
        <v>37400</v>
      </c>
      <c r="I24">
        <v>172787</v>
      </c>
      <c r="J24">
        <v>0.28</v>
      </c>
      <c r="K24">
        <v>221167</v>
      </c>
      <c r="L24" t="s">
        <v>113</v>
      </c>
      <c r="M24" t="s">
        <v>117</v>
      </c>
      <c r="N24" s="25"/>
      <c r="O24">
        <v>0</v>
      </c>
    </row>
    <row r="25" spans="1:15">
      <c r="A25" t="s">
        <v>118</v>
      </c>
      <c r="B25" t="s">
        <v>87</v>
      </c>
      <c r="C25" t="s">
        <v>82</v>
      </c>
      <c r="D25" t="s">
        <v>71</v>
      </c>
      <c r="E25" t="s">
        <v>65</v>
      </c>
      <c r="F25">
        <v>37</v>
      </c>
      <c r="G25" t="s">
        <v>95</v>
      </c>
      <c r="H25" s="24">
        <v>43713</v>
      </c>
      <c r="I25">
        <v>49998</v>
      </c>
      <c r="J25">
        <v>0</v>
      </c>
      <c r="K25">
        <v>49998</v>
      </c>
      <c r="L25" t="s">
        <v>60</v>
      </c>
      <c r="M25" t="s">
        <v>61</v>
      </c>
      <c r="N25" s="25"/>
      <c r="O25">
        <v>0</v>
      </c>
    </row>
    <row r="26" spans="1:15">
      <c r="A26" t="s">
        <v>119</v>
      </c>
      <c r="B26" t="s">
        <v>104</v>
      </c>
      <c r="C26" t="s">
        <v>82</v>
      </c>
      <c r="D26" t="s">
        <v>71</v>
      </c>
      <c r="E26" t="s">
        <v>65</v>
      </c>
      <c r="F26">
        <v>44</v>
      </c>
      <c r="G26" t="s">
        <v>95</v>
      </c>
      <c r="H26" s="24">
        <v>41700</v>
      </c>
      <c r="I26">
        <v>207172</v>
      </c>
      <c r="J26">
        <v>0.31</v>
      </c>
      <c r="K26">
        <v>271395</v>
      </c>
      <c r="L26" t="s">
        <v>66</v>
      </c>
      <c r="M26" t="s">
        <v>67</v>
      </c>
      <c r="N26" s="25"/>
      <c r="O26">
        <v>0</v>
      </c>
    </row>
    <row r="27" spans="1:15">
      <c r="A27" t="s">
        <v>120</v>
      </c>
      <c r="B27" t="s">
        <v>69</v>
      </c>
      <c r="C27" t="s">
        <v>94</v>
      </c>
      <c r="D27" t="s">
        <v>71</v>
      </c>
      <c r="E27" t="s">
        <v>65</v>
      </c>
      <c r="F27">
        <v>41</v>
      </c>
      <c r="G27" t="s">
        <v>95</v>
      </c>
      <c r="H27" s="24">
        <v>42111</v>
      </c>
      <c r="I27">
        <v>152239</v>
      </c>
      <c r="J27">
        <v>0.23</v>
      </c>
      <c r="K27">
        <v>187254</v>
      </c>
      <c r="L27" t="s">
        <v>60</v>
      </c>
      <c r="M27" t="s">
        <v>110</v>
      </c>
      <c r="N27" s="25"/>
      <c r="O27">
        <v>0</v>
      </c>
    </row>
    <row r="28" spans="1:15">
      <c r="A28" t="s">
        <v>121</v>
      </c>
      <c r="B28" t="s">
        <v>122</v>
      </c>
      <c r="C28" t="s">
        <v>98</v>
      </c>
      <c r="D28" t="s">
        <v>83</v>
      </c>
      <c r="E28" t="s">
        <v>58</v>
      </c>
      <c r="F28">
        <v>56</v>
      </c>
      <c r="G28" t="s">
        <v>59</v>
      </c>
      <c r="H28" s="24">
        <v>38388</v>
      </c>
      <c r="I28">
        <v>98581</v>
      </c>
      <c r="J28">
        <v>0</v>
      </c>
      <c r="K28">
        <v>98581</v>
      </c>
      <c r="L28" t="s">
        <v>113</v>
      </c>
      <c r="M28" t="s">
        <v>117</v>
      </c>
      <c r="N28" s="25"/>
      <c r="O28">
        <v>0</v>
      </c>
    </row>
    <row r="29" spans="1:15">
      <c r="A29" t="s">
        <v>123</v>
      </c>
      <c r="B29" t="s">
        <v>104</v>
      </c>
      <c r="C29" t="s">
        <v>98</v>
      </c>
      <c r="D29" t="s">
        <v>71</v>
      </c>
      <c r="E29" t="s">
        <v>65</v>
      </c>
      <c r="F29">
        <v>43</v>
      </c>
      <c r="G29" t="s">
        <v>95</v>
      </c>
      <c r="H29" s="24">
        <v>38145</v>
      </c>
      <c r="I29">
        <v>246231</v>
      </c>
      <c r="J29">
        <v>0.31</v>
      </c>
      <c r="K29">
        <v>322563</v>
      </c>
      <c r="L29" t="s">
        <v>60</v>
      </c>
      <c r="M29" t="s">
        <v>61</v>
      </c>
      <c r="N29" s="25"/>
      <c r="O29">
        <v>0</v>
      </c>
    </row>
    <row r="30" spans="1:15">
      <c r="A30" t="s">
        <v>124</v>
      </c>
      <c r="B30" t="s">
        <v>125</v>
      </c>
      <c r="C30" t="s">
        <v>98</v>
      </c>
      <c r="D30" t="s">
        <v>71</v>
      </c>
      <c r="E30" t="s">
        <v>65</v>
      </c>
      <c r="F30">
        <v>64</v>
      </c>
      <c r="G30" t="s">
        <v>59</v>
      </c>
      <c r="H30" s="24">
        <v>35403</v>
      </c>
      <c r="I30">
        <v>99354</v>
      </c>
      <c r="J30">
        <v>0.12</v>
      </c>
      <c r="K30">
        <v>111276</v>
      </c>
      <c r="L30" t="s">
        <v>66</v>
      </c>
      <c r="M30" t="s">
        <v>126</v>
      </c>
      <c r="N30" s="25"/>
      <c r="O30">
        <v>0</v>
      </c>
    </row>
    <row r="31" spans="1:15">
      <c r="A31" t="s">
        <v>127</v>
      </c>
      <c r="B31" t="s">
        <v>104</v>
      </c>
      <c r="C31" t="s">
        <v>56</v>
      </c>
      <c r="D31" t="s">
        <v>83</v>
      </c>
      <c r="E31" t="s">
        <v>65</v>
      </c>
      <c r="F31">
        <v>63</v>
      </c>
      <c r="G31" t="s">
        <v>59</v>
      </c>
      <c r="H31" s="24">
        <v>41040</v>
      </c>
      <c r="I31">
        <v>231141</v>
      </c>
      <c r="J31">
        <v>0.34</v>
      </c>
      <c r="K31">
        <v>309729</v>
      </c>
      <c r="L31" t="s">
        <v>66</v>
      </c>
      <c r="M31" t="s">
        <v>126</v>
      </c>
      <c r="N31" s="25"/>
      <c r="O31">
        <v>0</v>
      </c>
    </row>
    <row r="32" spans="1:15">
      <c r="A32" t="s">
        <v>128</v>
      </c>
      <c r="B32" t="s">
        <v>129</v>
      </c>
      <c r="C32" t="s">
        <v>56</v>
      </c>
      <c r="D32" t="s">
        <v>57</v>
      </c>
      <c r="E32" t="s">
        <v>65</v>
      </c>
      <c r="F32">
        <v>28</v>
      </c>
      <c r="G32" t="s">
        <v>76</v>
      </c>
      <c r="H32" s="24">
        <v>42911</v>
      </c>
      <c r="I32">
        <v>54775</v>
      </c>
      <c r="J32">
        <v>0</v>
      </c>
      <c r="K32">
        <v>54775</v>
      </c>
      <c r="L32" t="s">
        <v>60</v>
      </c>
      <c r="M32" t="s">
        <v>110</v>
      </c>
      <c r="N32" s="25"/>
      <c r="O32">
        <v>0</v>
      </c>
    </row>
    <row r="33" spans="1:15">
      <c r="A33" t="s">
        <v>130</v>
      </c>
      <c r="B33" t="s">
        <v>87</v>
      </c>
      <c r="C33" t="s">
        <v>70</v>
      </c>
      <c r="D33" t="s">
        <v>64</v>
      </c>
      <c r="E33" t="s">
        <v>65</v>
      </c>
      <c r="F33">
        <v>65</v>
      </c>
      <c r="G33" t="s">
        <v>107</v>
      </c>
      <c r="H33" s="24">
        <v>38123</v>
      </c>
      <c r="I33">
        <v>55499</v>
      </c>
      <c r="J33">
        <v>0</v>
      </c>
      <c r="K33">
        <v>55499</v>
      </c>
      <c r="L33" t="s">
        <v>113</v>
      </c>
      <c r="M33" t="s">
        <v>114</v>
      </c>
      <c r="N33" s="25"/>
      <c r="O33">
        <v>0</v>
      </c>
    </row>
    <row r="34" spans="1:15">
      <c r="A34" t="s">
        <v>131</v>
      </c>
      <c r="B34" t="s">
        <v>132</v>
      </c>
      <c r="C34" t="s">
        <v>82</v>
      </c>
      <c r="D34" t="s">
        <v>57</v>
      </c>
      <c r="E34" t="s">
        <v>65</v>
      </c>
      <c r="F34">
        <v>61</v>
      </c>
      <c r="G34" t="s">
        <v>59</v>
      </c>
      <c r="H34" s="24">
        <v>39640</v>
      </c>
      <c r="I34">
        <v>66521</v>
      </c>
      <c r="J34">
        <v>0</v>
      </c>
      <c r="K34">
        <v>66521</v>
      </c>
      <c r="L34" t="s">
        <v>60</v>
      </c>
      <c r="M34" t="s">
        <v>61</v>
      </c>
      <c r="N34" s="25"/>
      <c r="O34">
        <v>0</v>
      </c>
    </row>
    <row r="35" spans="1:15">
      <c r="A35" t="s">
        <v>133</v>
      </c>
      <c r="B35" t="s">
        <v>81</v>
      </c>
      <c r="C35" t="s">
        <v>82</v>
      </c>
      <c r="D35" t="s">
        <v>71</v>
      </c>
      <c r="E35" t="s">
        <v>65</v>
      </c>
      <c r="F35">
        <v>30</v>
      </c>
      <c r="G35" t="s">
        <v>76</v>
      </c>
      <c r="H35" s="24">
        <v>42642</v>
      </c>
      <c r="I35">
        <v>59100</v>
      </c>
      <c r="J35">
        <v>0</v>
      </c>
      <c r="K35">
        <v>59100</v>
      </c>
      <c r="L35" t="s">
        <v>66</v>
      </c>
      <c r="M35" t="s">
        <v>67</v>
      </c>
      <c r="N35" s="25"/>
      <c r="O35">
        <v>0</v>
      </c>
    </row>
    <row r="36" spans="1:15">
      <c r="A36" t="s">
        <v>134</v>
      </c>
      <c r="B36" t="s">
        <v>87</v>
      </c>
      <c r="C36" t="s">
        <v>70</v>
      </c>
      <c r="D36" t="s">
        <v>57</v>
      </c>
      <c r="E36" t="s">
        <v>58</v>
      </c>
      <c r="F36">
        <v>27</v>
      </c>
      <c r="G36" t="s">
        <v>76</v>
      </c>
      <c r="H36" s="24">
        <v>43226</v>
      </c>
      <c r="I36">
        <v>49011</v>
      </c>
      <c r="J36">
        <v>0</v>
      </c>
      <c r="K36">
        <v>49011</v>
      </c>
      <c r="L36" t="s">
        <v>60</v>
      </c>
      <c r="M36" t="s">
        <v>73</v>
      </c>
      <c r="N36" s="25"/>
      <c r="O36">
        <v>0</v>
      </c>
    </row>
    <row r="37" spans="1:15">
      <c r="A37" t="s">
        <v>135</v>
      </c>
      <c r="B37" t="s">
        <v>136</v>
      </c>
      <c r="C37" t="s">
        <v>56</v>
      </c>
      <c r="D37" t="s">
        <v>64</v>
      </c>
      <c r="E37" t="s">
        <v>58</v>
      </c>
      <c r="F37">
        <v>32</v>
      </c>
      <c r="G37" t="s">
        <v>76</v>
      </c>
      <c r="H37" s="24">
        <v>41681</v>
      </c>
      <c r="I37">
        <v>99575</v>
      </c>
      <c r="J37">
        <v>0</v>
      </c>
      <c r="K37">
        <v>99575</v>
      </c>
      <c r="L37" t="s">
        <v>60</v>
      </c>
      <c r="M37" t="s">
        <v>91</v>
      </c>
      <c r="N37" s="25"/>
      <c r="O37">
        <v>0</v>
      </c>
    </row>
    <row r="38" spans="1:15">
      <c r="A38" t="s">
        <v>137</v>
      </c>
      <c r="B38" t="s">
        <v>97</v>
      </c>
      <c r="C38" t="s">
        <v>98</v>
      </c>
      <c r="D38" t="s">
        <v>64</v>
      </c>
      <c r="E38" t="s">
        <v>58</v>
      </c>
      <c r="F38">
        <v>34</v>
      </c>
      <c r="G38" t="s">
        <v>76</v>
      </c>
      <c r="H38" s="24">
        <v>43815</v>
      </c>
      <c r="I38">
        <v>99989</v>
      </c>
      <c r="J38">
        <v>0</v>
      </c>
      <c r="K38">
        <v>99989</v>
      </c>
      <c r="L38" t="s">
        <v>66</v>
      </c>
      <c r="M38" t="s">
        <v>138</v>
      </c>
      <c r="N38" s="25"/>
      <c r="O38">
        <v>0</v>
      </c>
    </row>
    <row r="39" spans="1:15">
      <c r="A39" t="s">
        <v>139</v>
      </c>
      <c r="B39" t="s">
        <v>104</v>
      </c>
      <c r="C39" t="s">
        <v>105</v>
      </c>
      <c r="D39" t="s">
        <v>57</v>
      </c>
      <c r="E39" t="s">
        <v>65</v>
      </c>
      <c r="F39">
        <v>27</v>
      </c>
      <c r="G39" t="s">
        <v>76</v>
      </c>
      <c r="H39" s="24">
        <v>43758</v>
      </c>
      <c r="I39">
        <v>256420</v>
      </c>
      <c r="J39">
        <v>0.3</v>
      </c>
      <c r="K39">
        <v>333346</v>
      </c>
      <c r="L39" t="s">
        <v>60</v>
      </c>
      <c r="M39" t="s">
        <v>79</v>
      </c>
      <c r="N39" s="25"/>
      <c r="O39">
        <v>0</v>
      </c>
    </row>
    <row r="40" spans="1:15">
      <c r="A40" t="s">
        <v>140</v>
      </c>
      <c r="B40" t="s">
        <v>63</v>
      </c>
      <c r="C40" t="s">
        <v>56</v>
      </c>
      <c r="D40" t="s">
        <v>64</v>
      </c>
      <c r="E40" t="s">
        <v>58</v>
      </c>
      <c r="F40">
        <v>35</v>
      </c>
      <c r="G40" t="s">
        <v>95</v>
      </c>
      <c r="H40" s="24">
        <v>41409</v>
      </c>
      <c r="I40">
        <v>78940</v>
      </c>
      <c r="J40">
        <v>0</v>
      </c>
      <c r="K40">
        <v>78940</v>
      </c>
      <c r="L40" t="s">
        <v>60</v>
      </c>
      <c r="M40" t="s">
        <v>88</v>
      </c>
      <c r="N40" s="25"/>
      <c r="O40">
        <v>0</v>
      </c>
    </row>
    <row r="41" spans="1:15">
      <c r="A41" t="s">
        <v>141</v>
      </c>
      <c r="B41" t="s">
        <v>136</v>
      </c>
      <c r="C41" t="s">
        <v>56</v>
      </c>
      <c r="D41" t="s">
        <v>83</v>
      </c>
      <c r="E41" t="s">
        <v>58</v>
      </c>
      <c r="F41">
        <v>57</v>
      </c>
      <c r="G41" t="s">
        <v>59</v>
      </c>
      <c r="H41" s="24">
        <v>34337</v>
      </c>
      <c r="I41">
        <v>82872</v>
      </c>
      <c r="J41">
        <v>0</v>
      </c>
      <c r="K41">
        <v>82872</v>
      </c>
      <c r="L41" t="s">
        <v>113</v>
      </c>
      <c r="M41" t="s">
        <v>114</v>
      </c>
      <c r="N41" s="25"/>
      <c r="O41">
        <v>0</v>
      </c>
    </row>
    <row r="42" spans="1:15">
      <c r="A42" t="s">
        <v>142</v>
      </c>
      <c r="B42" t="s">
        <v>143</v>
      </c>
      <c r="C42" t="s">
        <v>94</v>
      </c>
      <c r="D42" t="s">
        <v>71</v>
      </c>
      <c r="E42" t="s">
        <v>65</v>
      </c>
      <c r="F42">
        <v>30</v>
      </c>
      <c r="G42" t="s">
        <v>76</v>
      </c>
      <c r="H42" s="24">
        <v>42884</v>
      </c>
      <c r="I42">
        <v>86317</v>
      </c>
      <c r="J42">
        <v>0</v>
      </c>
      <c r="K42">
        <v>86317</v>
      </c>
      <c r="L42" t="s">
        <v>66</v>
      </c>
      <c r="M42" t="s">
        <v>138</v>
      </c>
      <c r="N42" s="25">
        <v>42932</v>
      </c>
      <c r="O42">
        <v>1</v>
      </c>
    </row>
    <row r="43" spans="1:15">
      <c r="A43" t="s">
        <v>144</v>
      </c>
      <c r="B43" t="s">
        <v>85</v>
      </c>
      <c r="C43" t="s">
        <v>105</v>
      </c>
      <c r="D43" t="s">
        <v>71</v>
      </c>
      <c r="E43" t="s">
        <v>58</v>
      </c>
      <c r="F43">
        <v>53</v>
      </c>
      <c r="G43" t="s">
        <v>72</v>
      </c>
      <c r="H43" s="24">
        <v>41601</v>
      </c>
      <c r="I43">
        <v>113135</v>
      </c>
      <c r="J43">
        <v>0.05</v>
      </c>
      <c r="K43">
        <v>118792</v>
      </c>
      <c r="L43" t="s">
        <v>60</v>
      </c>
      <c r="M43" t="s">
        <v>91</v>
      </c>
      <c r="N43" s="25"/>
      <c r="O43">
        <v>0</v>
      </c>
    </row>
    <row r="44" spans="1:15">
      <c r="A44" t="s">
        <v>145</v>
      </c>
      <c r="B44" t="s">
        <v>104</v>
      </c>
      <c r="C44" t="s">
        <v>56</v>
      </c>
      <c r="D44" t="s">
        <v>71</v>
      </c>
      <c r="E44" t="s">
        <v>65</v>
      </c>
      <c r="F44">
        <v>52</v>
      </c>
      <c r="G44" t="s">
        <v>72</v>
      </c>
      <c r="H44" s="24">
        <v>38664</v>
      </c>
      <c r="I44">
        <v>199808</v>
      </c>
      <c r="J44">
        <v>0.32</v>
      </c>
      <c r="K44">
        <v>263747</v>
      </c>
      <c r="L44" t="s">
        <v>60</v>
      </c>
      <c r="M44" t="s">
        <v>61</v>
      </c>
      <c r="N44" s="25"/>
      <c r="O44">
        <v>0</v>
      </c>
    </row>
    <row r="45" spans="1:15">
      <c r="A45" t="s">
        <v>146</v>
      </c>
      <c r="B45" t="s">
        <v>81</v>
      </c>
      <c r="C45" t="s">
        <v>82</v>
      </c>
      <c r="D45" t="s">
        <v>71</v>
      </c>
      <c r="E45" t="s">
        <v>65</v>
      </c>
      <c r="F45">
        <v>37</v>
      </c>
      <c r="G45" t="s">
        <v>95</v>
      </c>
      <c r="H45" s="24">
        <v>41592</v>
      </c>
      <c r="I45">
        <v>56037</v>
      </c>
      <c r="J45">
        <v>0</v>
      </c>
      <c r="K45">
        <v>56037</v>
      </c>
      <c r="L45" t="s">
        <v>66</v>
      </c>
      <c r="M45" t="s">
        <v>101</v>
      </c>
      <c r="N45" s="25"/>
      <c r="O45">
        <v>0</v>
      </c>
    </row>
    <row r="46" spans="1:15">
      <c r="A46" t="s">
        <v>147</v>
      </c>
      <c r="B46" t="s">
        <v>55</v>
      </c>
      <c r="C46" t="s">
        <v>105</v>
      </c>
      <c r="D46" t="s">
        <v>57</v>
      </c>
      <c r="E46" t="s">
        <v>58</v>
      </c>
      <c r="F46">
        <v>29</v>
      </c>
      <c r="G46" t="s">
        <v>76</v>
      </c>
      <c r="H46" s="24">
        <v>43609</v>
      </c>
      <c r="I46">
        <v>122350</v>
      </c>
      <c r="J46">
        <v>0.12</v>
      </c>
      <c r="K46">
        <v>137032</v>
      </c>
      <c r="L46" t="s">
        <v>60</v>
      </c>
      <c r="M46" t="s">
        <v>79</v>
      </c>
      <c r="N46" s="25"/>
      <c r="O46">
        <v>0</v>
      </c>
    </row>
    <row r="47" spans="1:15">
      <c r="A47" t="s">
        <v>148</v>
      </c>
      <c r="B47" t="s">
        <v>136</v>
      </c>
      <c r="C47" t="s">
        <v>56</v>
      </c>
      <c r="D47" t="s">
        <v>57</v>
      </c>
      <c r="E47" t="s">
        <v>65</v>
      </c>
      <c r="F47">
        <v>40</v>
      </c>
      <c r="G47" t="s">
        <v>95</v>
      </c>
      <c r="H47" s="24">
        <v>40486</v>
      </c>
      <c r="I47">
        <v>92952</v>
      </c>
      <c r="J47">
        <v>0</v>
      </c>
      <c r="K47">
        <v>92952</v>
      </c>
      <c r="L47" t="s">
        <v>60</v>
      </c>
      <c r="M47" t="s">
        <v>61</v>
      </c>
      <c r="N47" s="25"/>
      <c r="O47">
        <v>0</v>
      </c>
    </row>
    <row r="48" spans="1:15">
      <c r="A48" t="s">
        <v>149</v>
      </c>
      <c r="B48" t="s">
        <v>75</v>
      </c>
      <c r="C48" t="s">
        <v>56</v>
      </c>
      <c r="D48" t="s">
        <v>83</v>
      </c>
      <c r="E48" t="s">
        <v>65</v>
      </c>
      <c r="F48">
        <v>32</v>
      </c>
      <c r="G48" t="s">
        <v>76</v>
      </c>
      <c r="H48" s="24">
        <v>41353</v>
      </c>
      <c r="I48">
        <v>79921</v>
      </c>
      <c r="J48">
        <v>0.05</v>
      </c>
      <c r="K48">
        <v>83917</v>
      </c>
      <c r="L48" t="s">
        <v>60</v>
      </c>
      <c r="M48" t="s">
        <v>91</v>
      </c>
      <c r="N48" s="25"/>
      <c r="O48">
        <v>0</v>
      </c>
    </row>
    <row r="49" spans="1:15">
      <c r="A49" t="s">
        <v>150</v>
      </c>
      <c r="B49" t="s">
        <v>69</v>
      </c>
      <c r="C49" t="s">
        <v>56</v>
      </c>
      <c r="D49" t="s">
        <v>57</v>
      </c>
      <c r="E49" t="s">
        <v>58</v>
      </c>
      <c r="F49">
        <v>37</v>
      </c>
      <c r="G49" t="s">
        <v>95</v>
      </c>
      <c r="H49" s="24">
        <v>40076</v>
      </c>
      <c r="I49">
        <v>167199</v>
      </c>
      <c r="J49">
        <v>0.2</v>
      </c>
      <c r="K49">
        <v>200639</v>
      </c>
      <c r="L49" t="s">
        <v>60</v>
      </c>
      <c r="M49" t="s">
        <v>61</v>
      </c>
      <c r="N49" s="25"/>
      <c r="O49">
        <v>0</v>
      </c>
    </row>
    <row r="50" spans="1:15">
      <c r="A50" t="s">
        <v>151</v>
      </c>
      <c r="B50" t="s">
        <v>122</v>
      </c>
      <c r="C50" t="s">
        <v>98</v>
      </c>
      <c r="D50" t="s">
        <v>57</v>
      </c>
      <c r="E50" t="s">
        <v>65</v>
      </c>
      <c r="F50">
        <v>52</v>
      </c>
      <c r="G50" t="s">
        <v>72</v>
      </c>
      <c r="H50" s="24">
        <v>41199</v>
      </c>
      <c r="I50">
        <v>71476</v>
      </c>
      <c r="J50">
        <v>0</v>
      </c>
      <c r="K50">
        <v>71476</v>
      </c>
      <c r="L50" t="s">
        <v>60</v>
      </c>
      <c r="M50" t="s">
        <v>79</v>
      </c>
      <c r="N50" s="25"/>
      <c r="O50">
        <v>0</v>
      </c>
    </row>
    <row r="51" spans="1:15">
      <c r="A51" t="s">
        <v>152</v>
      </c>
      <c r="B51" t="s">
        <v>69</v>
      </c>
      <c r="C51" t="s">
        <v>98</v>
      </c>
      <c r="D51" t="s">
        <v>64</v>
      </c>
      <c r="E51" t="s">
        <v>58</v>
      </c>
      <c r="F51">
        <v>45</v>
      </c>
      <c r="G51" t="s">
        <v>72</v>
      </c>
      <c r="H51" s="24">
        <v>41941</v>
      </c>
      <c r="I51">
        <v>189420</v>
      </c>
      <c r="J51">
        <v>0.2</v>
      </c>
      <c r="K51">
        <v>227304</v>
      </c>
      <c r="L51" t="s">
        <v>60</v>
      </c>
      <c r="M51" t="s">
        <v>61</v>
      </c>
      <c r="N51" s="25"/>
      <c r="O51">
        <v>0</v>
      </c>
    </row>
    <row r="52" spans="1:15">
      <c r="A52" t="s">
        <v>153</v>
      </c>
      <c r="B52" t="s">
        <v>154</v>
      </c>
      <c r="C52" t="s">
        <v>94</v>
      </c>
      <c r="D52" t="s">
        <v>57</v>
      </c>
      <c r="E52" t="s">
        <v>58</v>
      </c>
      <c r="F52">
        <v>64</v>
      </c>
      <c r="G52" t="s">
        <v>59</v>
      </c>
      <c r="H52" s="24">
        <v>37184</v>
      </c>
      <c r="I52">
        <v>64057</v>
      </c>
      <c r="J52">
        <v>0</v>
      </c>
      <c r="K52">
        <v>64057</v>
      </c>
      <c r="L52" t="s">
        <v>60</v>
      </c>
      <c r="M52" t="s">
        <v>79</v>
      </c>
      <c r="N52" s="25"/>
      <c r="O52">
        <v>0</v>
      </c>
    </row>
    <row r="53" spans="1:15">
      <c r="A53" t="s">
        <v>155</v>
      </c>
      <c r="B53" t="s">
        <v>132</v>
      </c>
      <c r="C53" t="s">
        <v>105</v>
      </c>
      <c r="D53" t="s">
        <v>64</v>
      </c>
      <c r="E53" t="s">
        <v>58</v>
      </c>
      <c r="F53">
        <v>27</v>
      </c>
      <c r="G53" t="s">
        <v>76</v>
      </c>
      <c r="H53" s="24">
        <v>44460</v>
      </c>
      <c r="I53">
        <v>68728</v>
      </c>
      <c r="J53">
        <v>0</v>
      </c>
      <c r="K53">
        <v>68728</v>
      </c>
      <c r="L53" t="s">
        <v>60</v>
      </c>
      <c r="M53" t="s">
        <v>79</v>
      </c>
      <c r="N53" s="25"/>
      <c r="O53">
        <v>0</v>
      </c>
    </row>
    <row r="54" spans="1:15">
      <c r="A54" t="s">
        <v>156</v>
      </c>
      <c r="B54" t="s">
        <v>55</v>
      </c>
      <c r="C54" t="s">
        <v>56</v>
      </c>
      <c r="D54" t="s">
        <v>64</v>
      </c>
      <c r="E54" t="s">
        <v>58</v>
      </c>
      <c r="F54">
        <v>25</v>
      </c>
      <c r="G54" t="s">
        <v>76</v>
      </c>
      <c r="H54" s="24">
        <v>44379</v>
      </c>
      <c r="I54">
        <v>125633</v>
      </c>
      <c r="J54">
        <v>0.11</v>
      </c>
      <c r="K54">
        <v>139453</v>
      </c>
      <c r="L54" t="s">
        <v>66</v>
      </c>
      <c r="M54" t="s">
        <v>126</v>
      </c>
      <c r="N54" s="25"/>
      <c r="O54">
        <v>0</v>
      </c>
    </row>
    <row r="55" spans="1:15">
      <c r="A55" t="s">
        <v>157</v>
      </c>
      <c r="B55" t="s">
        <v>132</v>
      </c>
      <c r="C55" t="s">
        <v>105</v>
      </c>
      <c r="D55" t="s">
        <v>64</v>
      </c>
      <c r="E55" t="s">
        <v>65</v>
      </c>
      <c r="F55">
        <v>35</v>
      </c>
      <c r="G55" t="s">
        <v>95</v>
      </c>
      <c r="H55" s="24">
        <v>40678</v>
      </c>
      <c r="I55">
        <v>66889</v>
      </c>
      <c r="J55">
        <v>0</v>
      </c>
      <c r="K55">
        <v>66889</v>
      </c>
      <c r="L55" t="s">
        <v>60</v>
      </c>
      <c r="M55" t="s">
        <v>110</v>
      </c>
      <c r="N55" s="25"/>
      <c r="O55">
        <v>0</v>
      </c>
    </row>
    <row r="56" spans="1:15">
      <c r="A56" t="s">
        <v>158</v>
      </c>
      <c r="B56" t="s">
        <v>69</v>
      </c>
      <c r="C56" t="s">
        <v>90</v>
      </c>
      <c r="D56" t="s">
        <v>57</v>
      </c>
      <c r="E56" t="s">
        <v>58</v>
      </c>
      <c r="F56">
        <v>36</v>
      </c>
      <c r="G56" t="s">
        <v>95</v>
      </c>
      <c r="H56" s="24">
        <v>42276</v>
      </c>
      <c r="I56">
        <v>178700</v>
      </c>
      <c r="J56">
        <v>0.29</v>
      </c>
      <c r="K56">
        <v>230523</v>
      </c>
      <c r="L56" t="s">
        <v>60</v>
      </c>
      <c r="M56" t="s">
        <v>61</v>
      </c>
      <c r="N56" s="25"/>
      <c r="O56">
        <v>0</v>
      </c>
    </row>
    <row r="57" spans="1:15">
      <c r="A57" t="s">
        <v>159</v>
      </c>
      <c r="B57" t="s">
        <v>160</v>
      </c>
      <c r="C57" t="s">
        <v>98</v>
      </c>
      <c r="D57" t="s">
        <v>57</v>
      </c>
      <c r="E57" t="s">
        <v>58</v>
      </c>
      <c r="F57">
        <v>33</v>
      </c>
      <c r="G57" t="s">
        <v>76</v>
      </c>
      <c r="H57" s="24">
        <v>43456</v>
      </c>
      <c r="I57">
        <v>83990</v>
      </c>
      <c r="J57">
        <v>0</v>
      </c>
      <c r="K57">
        <v>83990</v>
      </c>
      <c r="L57" t="s">
        <v>60</v>
      </c>
      <c r="M57" t="s">
        <v>73</v>
      </c>
      <c r="N57" s="25"/>
      <c r="O57">
        <v>0</v>
      </c>
    </row>
    <row r="58" spans="1:15">
      <c r="A58" t="s">
        <v>161</v>
      </c>
      <c r="B58" t="s">
        <v>162</v>
      </c>
      <c r="C58" t="s">
        <v>98</v>
      </c>
      <c r="D58" t="s">
        <v>83</v>
      </c>
      <c r="E58" t="s">
        <v>58</v>
      </c>
      <c r="F58">
        <v>52</v>
      </c>
      <c r="G58" t="s">
        <v>72</v>
      </c>
      <c r="H58" s="24">
        <v>38696</v>
      </c>
      <c r="I58">
        <v>102043</v>
      </c>
      <c r="J58">
        <v>0</v>
      </c>
      <c r="K58">
        <v>102043</v>
      </c>
      <c r="L58" t="s">
        <v>60</v>
      </c>
      <c r="M58" t="s">
        <v>73</v>
      </c>
      <c r="N58" s="25"/>
      <c r="O58">
        <v>0</v>
      </c>
    </row>
    <row r="59" spans="1:15">
      <c r="A59" t="s">
        <v>163</v>
      </c>
      <c r="B59" t="s">
        <v>164</v>
      </c>
      <c r="C59" t="s">
        <v>98</v>
      </c>
      <c r="D59" t="s">
        <v>64</v>
      </c>
      <c r="E59" t="s">
        <v>58</v>
      </c>
      <c r="F59">
        <v>46</v>
      </c>
      <c r="G59" t="s">
        <v>72</v>
      </c>
      <c r="H59" s="24">
        <v>37041</v>
      </c>
      <c r="I59">
        <v>90678</v>
      </c>
      <c r="J59">
        <v>0</v>
      </c>
      <c r="K59">
        <v>90678</v>
      </c>
      <c r="L59" t="s">
        <v>60</v>
      </c>
      <c r="M59" t="s">
        <v>110</v>
      </c>
      <c r="N59" s="25"/>
      <c r="O59">
        <v>0</v>
      </c>
    </row>
    <row r="60" spans="1:15">
      <c r="A60" t="s">
        <v>165</v>
      </c>
      <c r="B60" t="s">
        <v>166</v>
      </c>
      <c r="C60" t="s">
        <v>94</v>
      </c>
      <c r="D60" t="s">
        <v>64</v>
      </c>
      <c r="E60" t="s">
        <v>58</v>
      </c>
      <c r="F60">
        <v>46</v>
      </c>
      <c r="G60" t="s">
        <v>72</v>
      </c>
      <c r="H60" s="24">
        <v>39681</v>
      </c>
      <c r="I60">
        <v>59067</v>
      </c>
      <c r="J60">
        <v>0</v>
      </c>
      <c r="K60">
        <v>59067</v>
      </c>
      <c r="L60" t="s">
        <v>60</v>
      </c>
      <c r="M60" t="s">
        <v>88</v>
      </c>
      <c r="N60" s="25"/>
      <c r="O60">
        <v>0</v>
      </c>
    </row>
    <row r="61" spans="1:15">
      <c r="A61" t="s">
        <v>167</v>
      </c>
      <c r="B61" t="s">
        <v>55</v>
      </c>
      <c r="C61" t="s">
        <v>105</v>
      </c>
      <c r="D61" t="s">
        <v>57</v>
      </c>
      <c r="E61" t="s">
        <v>65</v>
      </c>
      <c r="F61">
        <v>45</v>
      </c>
      <c r="G61" t="s">
        <v>72</v>
      </c>
      <c r="H61" s="24">
        <v>44266</v>
      </c>
      <c r="I61">
        <v>135062</v>
      </c>
      <c r="J61">
        <v>0.15</v>
      </c>
      <c r="K61">
        <v>155321</v>
      </c>
      <c r="L61" t="s">
        <v>66</v>
      </c>
      <c r="M61" t="s">
        <v>138</v>
      </c>
      <c r="N61" s="25"/>
      <c r="O61">
        <v>0</v>
      </c>
    </row>
    <row r="62" spans="1:15">
      <c r="A62" t="s">
        <v>168</v>
      </c>
      <c r="B62" t="s">
        <v>55</v>
      </c>
      <c r="C62" t="s">
        <v>56</v>
      </c>
      <c r="D62" t="s">
        <v>83</v>
      </c>
      <c r="E62" t="s">
        <v>58</v>
      </c>
      <c r="F62">
        <v>55</v>
      </c>
      <c r="G62" t="s">
        <v>59</v>
      </c>
      <c r="H62" s="24">
        <v>38945</v>
      </c>
      <c r="I62">
        <v>159044</v>
      </c>
      <c r="J62">
        <v>0.1</v>
      </c>
      <c r="K62">
        <v>174948</v>
      </c>
      <c r="L62" t="s">
        <v>113</v>
      </c>
      <c r="M62" t="s">
        <v>114</v>
      </c>
      <c r="N62" s="25"/>
      <c r="O62">
        <v>0</v>
      </c>
    </row>
    <row r="63" spans="1:15">
      <c r="A63" t="s">
        <v>169</v>
      </c>
      <c r="B63" t="s">
        <v>78</v>
      </c>
      <c r="C63" t="s">
        <v>90</v>
      </c>
      <c r="D63" t="s">
        <v>64</v>
      </c>
      <c r="E63" t="s">
        <v>58</v>
      </c>
      <c r="F63">
        <v>44</v>
      </c>
      <c r="G63" t="s">
        <v>95</v>
      </c>
      <c r="H63" s="24">
        <v>43467</v>
      </c>
      <c r="I63">
        <v>74691</v>
      </c>
      <c r="J63">
        <v>0</v>
      </c>
      <c r="K63">
        <v>74691</v>
      </c>
      <c r="L63" t="s">
        <v>113</v>
      </c>
      <c r="M63" t="s">
        <v>114</v>
      </c>
      <c r="N63" s="25">
        <v>44020</v>
      </c>
      <c r="O63">
        <v>1</v>
      </c>
    </row>
    <row r="64" spans="1:15">
      <c r="A64" t="s">
        <v>170</v>
      </c>
      <c r="B64" t="s">
        <v>125</v>
      </c>
      <c r="C64" t="s">
        <v>98</v>
      </c>
      <c r="D64" t="s">
        <v>83</v>
      </c>
      <c r="E64" t="s">
        <v>58</v>
      </c>
      <c r="F64">
        <v>44</v>
      </c>
      <c r="G64" t="s">
        <v>95</v>
      </c>
      <c r="H64" s="24">
        <v>39800</v>
      </c>
      <c r="I64">
        <v>92753</v>
      </c>
      <c r="J64">
        <v>0.13</v>
      </c>
      <c r="K64">
        <v>104811</v>
      </c>
      <c r="L64" t="s">
        <v>60</v>
      </c>
      <c r="M64" t="s">
        <v>91</v>
      </c>
      <c r="N64" s="25">
        <v>44371</v>
      </c>
      <c r="O64">
        <v>1</v>
      </c>
    </row>
    <row r="65" spans="1:15">
      <c r="A65" t="s">
        <v>171</v>
      </c>
      <c r="B65" t="s">
        <v>104</v>
      </c>
      <c r="C65" t="s">
        <v>94</v>
      </c>
      <c r="D65" t="s">
        <v>71</v>
      </c>
      <c r="E65" t="s">
        <v>65</v>
      </c>
      <c r="F65">
        <v>45</v>
      </c>
      <c r="G65" t="s">
        <v>72</v>
      </c>
      <c r="H65" s="24">
        <v>41493</v>
      </c>
      <c r="I65">
        <v>236946</v>
      </c>
      <c r="J65">
        <v>0.37</v>
      </c>
      <c r="K65">
        <v>324616</v>
      </c>
      <c r="L65" t="s">
        <v>60</v>
      </c>
      <c r="M65" t="s">
        <v>61</v>
      </c>
      <c r="N65" s="25"/>
      <c r="O65">
        <v>0</v>
      </c>
    </row>
    <row r="66" spans="1:15">
      <c r="A66" t="s">
        <v>172</v>
      </c>
      <c r="B66" t="s">
        <v>87</v>
      </c>
      <c r="C66" t="s">
        <v>70</v>
      </c>
      <c r="D66" t="s">
        <v>83</v>
      </c>
      <c r="E66" t="s">
        <v>58</v>
      </c>
      <c r="F66">
        <v>36</v>
      </c>
      <c r="G66" t="s">
        <v>95</v>
      </c>
      <c r="H66" s="24">
        <v>44435</v>
      </c>
      <c r="I66">
        <v>48906</v>
      </c>
      <c r="J66">
        <v>0</v>
      </c>
      <c r="K66">
        <v>48906</v>
      </c>
      <c r="L66" t="s">
        <v>60</v>
      </c>
      <c r="M66" t="s">
        <v>88</v>
      </c>
      <c r="N66" s="25"/>
      <c r="O66">
        <v>0</v>
      </c>
    </row>
    <row r="67" spans="1:15">
      <c r="A67" t="s">
        <v>173</v>
      </c>
      <c r="B67" t="s">
        <v>78</v>
      </c>
      <c r="C67" t="s">
        <v>82</v>
      </c>
      <c r="D67" t="s">
        <v>83</v>
      </c>
      <c r="E67" t="s">
        <v>58</v>
      </c>
      <c r="F67">
        <v>38</v>
      </c>
      <c r="G67" t="s">
        <v>95</v>
      </c>
      <c r="H67" s="24">
        <v>39474</v>
      </c>
      <c r="I67">
        <v>80024</v>
      </c>
      <c r="J67">
        <v>0</v>
      </c>
      <c r="K67">
        <v>80024</v>
      </c>
      <c r="L67" t="s">
        <v>60</v>
      </c>
      <c r="M67" t="s">
        <v>110</v>
      </c>
      <c r="N67" s="25"/>
      <c r="O67">
        <v>0</v>
      </c>
    </row>
    <row r="68" spans="1:15">
      <c r="A68" t="s">
        <v>174</v>
      </c>
      <c r="B68" t="s">
        <v>154</v>
      </c>
      <c r="C68" t="s">
        <v>94</v>
      </c>
      <c r="D68" t="s">
        <v>71</v>
      </c>
      <c r="E68" t="s">
        <v>58</v>
      </c>
      <c r="F68">
        <v>41</v>
      </c>
      <c r="G68" t="s">
        <v>95</v>
      </c>
      <c r="H68" s="24">
        <v>40109</v>
      </c>
      <c r="I68">
        <v>54415</v>
      </c>
      <c r="J68">
        <v>0</v>
      </c>
      <c r="K68">
        <v>54415</v>
      </c>
      <c r="L68" t="s">
        <v>60</v>
      </c>
      <c r="M68" t="s">
        <v>61</v>
      </c>
      <c r="N68" s="25">
        <v>41661</v>
      </c>
      <c r="O68">
        <v>1</v>
      </c>
    </row>
    <row r="69" spans="1:15">
      <c r="A69" t="s">
        <v>175</v>
      </c>
      <c r="B69" t="s">
        <v>85</v>
      </c>
      <c r="C69" t="s">
        <v>105</v>
      </c>
      <c r="D69" t="s">
        <v>57</v>
      </c>
      <c r="E69" t="s">
        <v>58</v>
      </c>
      <c r="F69">
        <v>30</v>
      </c>
      <c r="G69" t="s">
        <v>76</v>
      </c>
      <c r="H69" s="24">
        <v>42484</v>
      </c>
      <c r="I69">
        <v>120341</v>
      </c>
      <c r="J69">
        <v>0.07</v>
      </c>
      <c r="K69">
        <v>128765</v>
      </c>
      <c r="L69" t="s">
        <v>60</v>
      </c>
      <c r="M69" t="s">
        <v>61</v>
      </c>
      <c r="N69" s="25"/>
      <c r="O69">
        <v>0</v>
      </c>
    </row>
    <row r="70" spans="1:15">
      <c r="A70" t="s">
        <v>176</v>
      </c>
      <c r="B70" t="s">
        <v>104</v>
      </c>
      <c r="C70" t="s">
        <v>56</v>
      </c>
      <c r="D70" t="s">
        <v>71</v>
      </c>
      <c r="E70" t="s">
        <v>58</v>
      </c>
      <c r="F70">
        <v>43</v>
      </c>
      <c r="G70" t="s">
        <v>95</v>
      </c>
      <c r="H70" s="24">
        <v>40029</v>
      </c>
      <c r="I70">
        <v>208415</v>
      </c>
      <c r="J70">
        <v>0.35</v>
      </c>
      <c r="K70">
        <v>281360</v>
      </c>
      <c r="L70" t="s">
        <v>60</v>
      </c>
      <c r="M70" t="s">
        <v>61</v>
      </c>
      <c r="N70" s="25"/>
      <c r="O70">
        <v>0</v>
      </c>
    </row>
    <row r="71" spans="1:15">
      <c r="A71" t="s">
        <v>177</v>
      </c>
      <c r="B71" t="s">
        <v>178</v>
      </c>
      <c r="C71" t="s">
        <v>56</v>
      </c>
      <c r="D71" t="s">
        <v>71</v>
      </c>
      <c r="E71" t="s">
        <v>58</v>
      </c>
      <c r="F71">
        <v>32</v>
      </c>
      <c r="G71" t="s">
        <v>76</v>
      </c>
      <c r="H71" s="24">
        <v>43835</v>
      </c>
      <c r="I71">
        <v>78844</v>
      </c>
      <c r="J71">
        <v>0</v>
      </c>
      <c r="K71">
        <v>78844</v>
      </c>
      <c r="L71" t="s">
        <v>60</v>
      </c>
      <c r="M71" t="s">
        <v>61</v>
      </c>
      <c r="N71" s="25"/>
      <c r="O71">
        <v>0</v>
      </c>
    </row>
    <row r="72" spans="1:15">
      <c r="A72" t="s">
        <v>179</v>
      </c>
      <c r="B72" t="s">
        <v>160</v>
      </c>
      <c r="C72" t="s">
        <v>98</v>
      </c>
      <c r="D72" t="s">
        <v>64</v>
      </c>
      <c r="E72" t="s">
        <v>65</v>
      </c>
      <c r="F72">
        <v>58</v>
      </c>
      <c r="G72" t="s">
        <v>59</v>
      </c>
      <c r="H72" s="24">
        <v>37399</v>
      </c>
      <c r="I72">
        <v>76354</v>
      </c>
      <c r="J72">
        <v>0</v>
      </c>
      <c r="K72">
        <v>76354</v>
      </c>
      <c r="L72" t="s">
        <v>60</v>
      </c>
      <c r="M72" t="s">
        <v>79</v>
      </c>
      <c r="N72" s="25">
        <v>44465</v>
      </c>
      <c r="O72">
        <v>1</v>
      </c>
    </row>
    <row r="73" spans="1:15">
      <c r="A73" t="s">
        <v>180</v>
      </c>
      <c r="B73" t="s">
        <v>69</v>
      </c>
      <c r="C73" t="s">
        <v>70</v>
      </c>
      <c r="D73" t="s">
        <v>71</v>
      </c>
      <c r="E73" t="s">
        <v>58</v>
      </c>
      <c r="F73">
        <v>37</v>
      </c>
      <c r="G73" t="s">
        <v>95</v>
      </c>
      <c r="H73" s="24">
        <v>43493</v>
      </c>
      <c r="I73">
        <v>165927</v>
      </c>
      <c r="J73">
        <v>0.2</v>
      </c>
      <c r="K73">
        <v>199112</v>
      </c>
      <c r="L73" t="s">
        <v>60</v>
      </c>
      <c r="M73" t="s">
        <v>79</v>
      </c>
      <c r="N73" s="25"/>
      <c r="O73">
        <v>0</v>
      </c>
    </row>
    <row r="74" spans="1:15">
      <c r="A74" t="s">
        <v>181</v>
      </c>
      <c r="B74" t="s">
        <v>85</v>
      </c>
      <c r="C74" t="s">
        <v>90</v>
      </c>
      <c r="D74" t="s">
        <v>71</v>
      </c>
      <c r="E74" t="s">
        <v>58</v>
      </c>
      <c r="F74">
        <v>38</v>
      </c>
      <c r="G74" t="s">
        <v>95</v>
      </c>
      <c r="H74" s="24">
        <v>44516</v>
      </c>
      <c r="I74">
        <v>109812</v>
      </c>
      <c r="J74">
        <v>0.09</v>
      </c>
      <c r="K74">
        <v>119695</v>
      </c>
      <c r="L74" t="s">
        <v>113</v>
      </c>
      <c r="M74" t="s">
        <v>114</v>
      </c>
      <c r="N74" s="25"/>
      <c r="O74">
        <v>0</v>
      </c>
    </row>
    <row r="75" spans="1:15">
      <c r="A75" t="s">
        <v>182</v>
      </c>
      <c r="B75" t="s">
        <v>97</v>
      </c>
      <c r="C75" t="s">
        <v>98</v>
      </c>
      <c r="D75" t="s">
        <v>83</v>
      </c>
      <c r="E75" t="s">
        <v>65</v>
      </c>
      <c r="F75">
        <v>55</v>
      </c>
      <c r="G75" t="s">
        <v>59</v>
      </c>
      <c r="H75" s="24">
        <v>36041</v>
      </c>
      <c r="I75">
        <v>86299</v>
      </c>
      <c r="J75">
        <v>0</v>
      </c>
      <c r="K75">
        <v>86299</v>
      </c>
      <c r="L75" t="s">
        <v>60</v>
      </c>
      <c r="M75" t="s">
        <v>61</v>
      </c>
      <c r="N75" s="25"/>
      <c r="O75">
        <v>0</v>
      </c>
    </row>
    <row r="76" spans="1:15">
      <c r="A76" t="s">
        <v>183</v>
      </c>
      <c r="B76" t="s">
        <v>104</v>
      </c>
      <c r="C76" t="s">
        <v>105</v>
      </c>
      <c r="D76" t="s">
        <v>57</v>
      </c>
      <c r="E76" t="s">
        <v>65</v>
      </c>
      <c r="F76">
        <v>57</v>
      </c>
      <c r="G76" t="s">
        <v>59</v>
      </c>
      <c r="H76" s="24">
        <v>37828</v>
      </c>
      <c r="I76">
        <v>206624</v>
      </c>
      <c r="J76">
        <v>0.4</v>
      </c>
      <c r="K76">
        <v>289274</v>
      </c>
      <c r="L76" t="s">
        <v>113</v>
      </c>
      <c r="M76" t="s">
        <v>184</v>
      </c>
      <c r="N76" s="25"/>
      <c r="O76">
        <v>0</v>
      </c>
    </row>
    <row r="77" spans="1:15">
      <c r="A77" t="s">
        <v>185</v>
      </c>
      <c r="B77" t="s">
        <v>129</v>
      </c>
      <c r="C77" t="s">
        <v>56</v>
      </c>
      <c r="D77" t="s">
        <v>64</v>
      </c>
      <c r="E77" t="s">
        <v>65</v>
      </c>
      <c r="F77">
        <v>36</v>
      </c>
      <c r="G77" t="s">
        <v>95</v>
      </c>
      <c r="H77" s="24">
        <v>40535</v>
      </c>
      <c r="I77">
        <v>53215</v>
      </c>
      <c r="J77">
        <v>0</v>
      </c>
      <c r="K77">
        <v>53215</v>
      </c>
      <c r="L77" t="s">
        <v>113</v>
      </c>
      <c r="M77" t="s">
        <v>184</v>
      </c>
      <c r="N77" s="25">
        <v>41725</v>
      </c>
      <c r="O77">
        <v>1</v>
      </c>
    </row>
    <row r="78" spans="1:15">
      <c r="A78" t="s">
        <v>186</v>
      </c>
      <c r="B78" t="s">
        <v>187</v>
      </c>
      <c r="C78" t="s">
        <v>98</v>
      </c>
      <c r="D78" t="s">
        <v>57</v>
      </c>
      <c r="E78" t="s">
        <v>58</v>
      </c>
      <c r="F78">
        <v>30</v>
      </c>
      <c r="G78" t="s">
        <v>76</v>
      </c>
      <c r="H78" s="24">
        <v>42877</v>
      </c>
      <c r="I78">
        <v>86858</v>
      </c>
      <c r="J78">
        <v>0</v>
      </c>
      <c r="K78">
        <v>86858</v>
      </c>
      <c r="L78" t="s">
        <v>66</v>
      </c>
      <c r="M78" t="s">
        <v>67</v>
      </c>
      <c r="N78" s="25">
        <v>43016</v>
      </c>
      <c r="O78">
        <v>1</v>
      </c>
    </row>
    <row r="79" spans="1:15">
      <c r="A79" t="s">
        <v>188</v>
      </c>
      <c r="B79" t="s">
        <v>75</v>
      </c>
      <c r="C79" t="s">
        <v>56</v>
      </c>
      <c r="D79" t="s">
        <v>64</v>
      </c>
      <c r="E79" t="s">
        <v>65</v>
      </c>
      <c r="F79">
        <v>40</v>
      </c>
      <c r="G79" t="s">
        <v>95</v>
      </c>
      <c r="H79" s="24">
        <v>39265</v>
      </c>
      <c r="I79">
        <v>93971</v>
      </c>
      <c r="J79">
        <v>0.08</v>
      </c>
      <c r="K79">
        <v>101489</v>
      </c>
      <c r="L79" t="s">
        <v>66</v>
      </c>
      <c r="M79" t="s">
        <v>67</v>
      </c>
      <c r="N79" s="25"/>
      <c r="O79">
        <v>0</v>
      </c>
    </row>
    <row r="80" spans="1:15">
      <c r="A80" t="s">
        <v>189</v>
      </c>
      <c r="B80" t="s">
        <v>132</v>
      </c>
      <c r="C80" t="s">
        <v>70</v>
      </c>
      <c r="D80" t="s">
        <v>83</v>
      </c>
      <c r="E80" t="s">
        <v>65</v>
      </c>
      <c r="F80">
        <v>34</v>
      </c>
      <c r="G80" t="s">
        <v>76</v>
      </c>
      <c r="H80" s="24">
        <v>42182</v>
      </c>
      <c r="I80">
        <v>57008</v>
      </c>
      <c r="J80">
        <v>0</v>
      </c>
      <c r="K80">
        <v>57008</v>
      </c>
      <c r="L80" t="s">
        <v>60</v>
      </c>
      <c r="M80" t="s">
        <v>79</v>
      </c>
      <c r="N80" s="25"/>
      <c r="O80">
        <v>0</v>
      </c>
    </row>
    <row r="81" spans="1:15">
      <c r="A81" t="s">
        <v>190</v>
      </c>
      <c r="B81" t="s">
        <v>55</v>
      </c>
      <c r="C81" t="s">
        <v>70</v>
      </c>
      <c r="D81" t="s">
        <v>64</v>
      </c>
      <c r="E81" t="s">
        <v>65</v>
      </c>
      <c r="F81">
        <v>60</v>
      </c>
      <c r="G81" t="s">
        <v>59</v>
      </c>
      <c r="H81" s="24">
        <v>42270</v>
      </c>
      <c r="I81">
        <v>141899</v>
      </c>
      <c r="J81">
        <v>0.15</v>
      </c>
      <c r="K81">
        <v>163184</v>
      </c>
      <c r="L81" t="s">
        <v>60</v>
      </c>
      <c r="M81" t="s">
        <v>79</v>
      </c>
      <c r="N81" s="25"/>
      <c r="O81">
        <v>0</v>
      </c>
    </row>
    <row r="82" spans="1:15">
      <c r="A82" t="s">
        <v>191</v>
      </c>
      <c r="B82" t="s">
        <v>132</v>
      </c>
      <c r="C82" t="s">
        <v>105</v>
      </c>
      <c r="D82" t="s">
        <v>83</v>
      </c>
      <c r="E82" t="s">
        <v>65</v>
      </c>
      <c r="F82">
        <v>41</v>
      </c>
      <c r="G82" t="s">
        <v>95</v>
      </c>
      <c r="H82" s="24">
        <v>42626</v>
      </c>
      <c r="I82">
        <v>64847</v>
      </c>
      <c r="J82">
        <v>0</v>
      </c>
      <c r="K82">
        <v>64847</v>
      </c>
      <c r="L82" t="s">
        <v>60</v>
      </c>
      <c r="M82" t="s">
        <v>88</v>
      </c>
      <c r="N82" s="25"/>
      <c r="O82">
        <v>0</v>
      </c>
    </row>
    <row r="83" spans="1:15">
      <c r="A83" t="s">
        <v>192</v>
      </c>
      <c r="B83" t="s">
        <v>125</v>
      </c>
      <c r="C83" t="s">
        <v>98</v>
      </c>
      <c r="D83" t="s">
        <v>57</v>
      </c>
      <c r="E83" t="s">
        <v>65</v>
      </c>
      <c r="F83">
        <v>53</v>
      </c>
      <c r="G83" t="s">
        <v>72</v>
      </c>
      <c r="H83" s="24">
        <v>33702</v>
      </c>
      <c r="I83">
        <v>116878</v>
      </c>
      <c r="J83">
        <v>0.11</v>
      </c>
      <c r="K83">
        <v>129735</v>
      </c>
      <c r="L83" t="s">
        <v>60</v>
      </c>
      <c r="M83" t="s">
        <v>88</v>
      </c>
      <c r="N83" s="25"/>
      <c r="O83">
        <v>0</v>
      </c>
    </row>
    <row r="84" spans="1:15">
      <c r="A84" t="s">
        <v>193</v>
      </c>
      <c r="B84" t="s">
        <v>122</v>
      </c>
      <c r="C84" t="s">
        <v>98</v>
      </c>
      <c r="D84" t="s">
        <v>71</v>
      </c>
      <c r="E84" t="s">
        <v>65</v>
      </c>
      <c r="F84">
        <v>45</v>
      </c>
      <c r="G84" t="s">
        <v>72</v>
      </c>
      <c r="H84" s="24">
        <v>38388</v>
      </c>
      <c r="I84">
        <v>70505</v>
      </c>
      <c r="J84">
        <v>0</v>
      </c>
      <c r="K84">
        <v>70505</v>
      </c>
      <c r="L84" t="s">
        <v>60</v>
      </c>
      <c r="M84" t="s">
        <v>91</v>
      </c>
      <c r="N84" s="25"/>
      <c r="O84">
        <v>0</v>
      </c>
    </row>
    <row r="85" spans="1:15">
      <c r="A85" t="s">
        <v>194</v>
      </c>
      <c r="B85" t="s">
        <v>69</v>
      </c>
      <c r="C85" t="s">
        <v>98</v>
      </c>
      <c r="D85" t="s">
        <v>57</v>
      </c>
      <c r="E85" t="s">
        <v>58</v>
      </c>
      <c r="F85">
        <v>30</v>
      </c>
      <c r="G85" t="s">
        <v>76</v>
      </c>
      <c r="H85" s="24">
        <v>42512</v>
      </c>
      <c r="I85">
        <v>189702</v>
      </c>
      <c r="J85">
        <v>0.28</v>
      </c>
      <c r="K85">
        <v>242819</v>
      </c>
      <c r="L85" t="s">
        <v>113</v>
      </c>
      <c r="M85" t="s">
        <v>114</v>
      </c>
      <c r="N85" s="25">
        <v>44186</v>
      </c>
      <c r="O85">
        <v>1</v>
      </c>
    </row>
    <row r="86" spans="1:15">
      <c r="A86" t="s">
        <v>195</v>
      </c>
      <c r="B86" t="s">
        <v>69</v>
      </c>
      <c r="C86" t="s">
        <v>90</v>
      </c>
      <c r="D86" t="s">
        <v>71</v>
      </c>
      <c r="E86" t="s">
        <v>65</v>
      </c>
      <c r="F86">
        <v>26</v>
      </c>
      <c r="G86" t="s">
        <v>76</v>
      </c>
      <c r="H86" s="24">
        <v>44040</v>
      </c>
      <c r="I86">
        <v>180664</v>
      </c>
      <c r="J86">
        <v>0.27</v>
      </c>
      <c r="K86">
        <v>229443</v>
      </c>
      <c r="L86" t="s">
        <v>60</v>
      </c>
      <c r="M86" t="s">
        <v>73</v>
      </c>
      <c r="N86" s="25"/>
      <c r="O86">
        <v>0</v>
      </c>
    </row>
    <row r="87" spans="1:15">
      <c r="A87" t="s">
        <v>196</v>
      </c>
      <c r="B87" t="s">
        <v>166</v>
      </c>
      <c r="C87" t="s">
        <v>94</v>
      </c>
      <c r="D87" t="s">
        <v>64</v>
      </c>
      <c r="E87" t="s">
        <v>58</v>
      </c>
      <c r="F87">
        <v>45</v>
      </c>
      <c r="G87" t="s">
        <v>72</v>
      </c>
      <c r="H87" s="24">
        <v>37972</v>
      </c>
      <c r="I87">
        <v>48345</v>
      </c>
      <c r="J87">
        <v>0</v>
      </c>
      <c r="K87">
        <v>48345</v>
      </c>
      <c r="L87" t="s">
        <v>66</v>
      </c>
      <c r="M87" t="s">
        <v>138</v>
      </c>
      <c r="N87" s="25"/>
      <c r="O87">
        <v>0</v>
      </c>
    </row>
    <row r="88" spans="1:15">
      <c r="A88" t="s">
        <v>197</v>
      </c>
      <c r="B88" t="s">
        <v>69</v>
      </c>
      <c r="C88" t="s">
        <v>94</v>
      </c>
      <c r="D88" t="s">
        <v>64</v>
      </c>
      <c r="E88" t="s">
        <v>65</v>
      </c>
      <c r="F88">
        <v>42</v>
      </c>
      <c r="G88" t="s">
        <v>95</v>
      </c>
      <c r="H88" s="24">
        <v>41655</v>
      </c>
      <c r="I88">
        <v>152214</v>
      </c>
      <c r="J88">
        <v>0.3</v>
      </c>
      <c r="K88">
        <v>197878</v>
      </c>
      <c r="L88" t="s">
        <v>66</v>
      </c>
      <c r="M88" t="s">
        <v>126</v>
      </c>
      <c r="N88" s="25"/>
      <c r="O88">
        <v>0</v>
      </c>
    </row>
    <row r="89" spans="1:15">
      <c r="A89" t="s">
        <v>198</v>
      </c>
      <c r="B89" t="s">
        <v>178</v>
      </c>
      <c r="C89" t="s">
        <v>56</v>
      </c>
      <c r="D89" t="s">
        <v>83</v>
      </c>
      <c r="E89" t="s">
        <v>58</v>
      </c>
      <c r="F89">
        <v>41</v>
      </c>
      <c r="G89" t="s">
        <v>95</v>
      </c>
      <c r="H89" s="24">
        <v>39931</v>
      </c>
      <c r="I89">
        <v>69803</v>
      </c>
      <c r="J89">
        <v>0</v>
      </c>
      <c r="K89">
        <v>69803</v>
      </c>
      <c r="L89" t="s">
        <v>113</v>
      </c>
      <c r="M89" t="s">
        <v>114</v>
      </c>
      <c r="N89" s="25"/>
      <c r="O89">
        <v>0</v>
      </c>
    </row>
    <row r="90" spans="1:15">
      <c r="A90" t="s">
        <v>199</v>
      </c>
      <c r="B90" t="s">
        <v>200</v>
      </c>
      <c r="C90" t="s">
        <v>56</v>
      </c>
      <c r="D90" t="s">
        <v>83</v>
      </c>
      <c r="E90" t="s">
        <v>58</v>
      </c>
      <c r="F90">
        <v>48</v>
      </c>
      <c r="G90" t="s">
        <v>72</v>
      </c>
      <c r="H90" s="24">
        <v>43650</v>
      </c>
      <c r="I90">
        <v>76588</v>
      </c>
      <c r="J90">
        <v>0</v>
      </c>
      <c r="K90">
        <v>76588</v>
      </c>
      <c r="L90" t="s">
        <v>113</v>
      </c>
      <c r="M90" t="s">
        <v>117</v>
      </c>
      <c r="N90" s="25"/>
      <c r="O90">
        <v>0</v>
      </c>
    </row>
    <row r="91" spans="1:15">
      <c r="A91" t="s">
        <v>201</v>
      </c>
      <c r="B91" t="s">
        <v>202</v>
      </c>
      <c r="C91" t="s">
        <v>56</v>
      </c>
      <c r="D91" t="s">
        <v>64</v>
      </c>
      <c r="E91" t="s">
        <v>65</v>
      </c>
      <c r="F91">
        <v>29</v>
      </c>
      <c r="G91" t="s">
        <v>76</v>
      </c>
      <c r="H91" s="24">
        <v>43444</v>
      </c>
      <c r="I91">
        <v>84596</v>
      </c>
      <c r="J91">
        <v>0</v>
      </c>
      <c r="K91">
        <v>84596</v>
      </c>
      <c r="L91" t="s">
        <v>60</v>
      </c>
      <c r="M91" t="s">
        <v>88</v>
      </c>
      <c r="N91" s="25"/>
      <c r="O91">
        <v>0</v>
      </c>
    </row>
    <row r="92" spans="1:15">
      <c r="A92" t="s">
        <v>203</v>
      </c>
      <c r="B92" t="s">
        <v>85</v>
      </c>
      <c r="C92" t="s">
        <v>105</v>
      </c>
      <c r="D92" t="s">
        <v>57</v>
      </c>
      <c r="E92" t="s">
        <v>65</v>
      </c>
      <c r="F92">
        <v>27</v>
      </c>
      <c r="G92" t="s">
        <v>76</v>
      </c>
      <c r="H92" s="24">
        <v>43368</v>
      </c>
      <c r="I92">
        <v>114441</v>
      </c>
      <c r="J92">
        <v>0.1</v>
      </c>
      <c r="K92">
        <v>125885</v>
      </c>
      <c r="L92" t="s">
        <v>66</v>
      </c>
      <c r="M92" t="s">
        <v>67</v>
      </c>
      <c r="N92" s="25">
        <v>43821</v>
      </c>
      <c r="O92">
        <v>1</v>
      </c>
    </row>
    <row r="93" spans="1:15">
      <c r="A93" t="s">
        <v>204</v>
      </c>
      <c r="B93" t="s">
        <v>55</v>
      </c>
      <c r="C93" t="s">
        <v>70</v>
      </c>
      <c r="D93" t="s">
        <v>71</v>
      </c>
      <c r="E93" t="s">
        <v>58</v>
      </c>
      <c r="F93">
        <v>33</v>
      </c>
      <c r="G93" t="s">
        <v>76</v>
      </c>
      <c r="H93" s="24">
        <v>43211</v>
      </c>
      <c r="I93">
        <v>140402</v>
      </c>
      <c r="J93">
        <v>0.15</v>
      </c>
      <c r="K93">
        <v>161462</v>
      </c>
      <c r="L93" t="s">
        <v>66</v>
      </c>
      <c r="M93" t="s">
        <v>126</v>
      </c>
      <c r="N93" s="25"/>
      <c r="O93">
        <v>0</v>
      </c>
    </row>
    <row r="94" spans="1:15">
      <c r="A94" t="s">
        <v>205</v>
      </c>
      <c r="B94" t="s">
        <v>132</v>
      </c>
      <c r="C94" t="s">
        <v>70</v>
      </c>
      <c r="D94" t="s">
        <v>83</v>
      </c>
      <c r="E94" t="s">
        <v>58</v>
      </c>
      <c r="F94">
        <v>26</v>
      </c>
      <c r="G94" t="s">
        <v>76</v>
      </c>
      <c r="H94" s="24">
        <v>43578</v>
      </c>
      <c r="I94">
        <v>59817</v>
      </c>
      <c r="J94">
        <v>0</v>
      </c>
      <c r="K94">
        <v>59817</v>
      </c>
      <c r="L94" t="s">
        <v>113</v>
      </c>
      <c r="M94" t="s">
        <v>184</v>
      </c>
      <c r="N94" s="25"/>
      <c r="O94">
        <v>0</v>
      </c>
    </row>
    <row r="95" spans="1:15">
      <c r="A95" t="s">
        <v>206</v>
      </c>
      <c r="B95" t="s">
        <v>81</v>
      </c>
      <c r="C95" t="s">
        <v>82</v>
      </c>
      <c r="D95" t="s">
        <v>64</v>
      </c>
      <c r="E95" t="s">
        <v>65</v>
      </c>
      <c r="F95">
        <v>31</v>
      </c>
      <c r="G95" t="s">
        <v>76</v>
      </c>
      <c r="H95" s="24">
        <v>42938</v>
      </c>
      <c r="I95">
        <v>55854</v>
      </c>
      <c r="J95">
        <v>0</v>
      </c>
      <c r="K95">
        <v>55854</v>
      </c>
      <c r="L95" t="s">
        <v>60</v>
      </c>
      <c r="M95" t="s">
        <v>91</v>
      </c>
      <c r="N95" s="25"/>
      <c r="O95">
        <v>0</v>
      </c>
    </row>
    <row r="96" spans="1:15">
      <c r="A96" t="s">
        <v>207</v>
      </c>
      <c r="B96" t="s">
        <v>143</v>
      </c>
      <c r="C96" t="s">
        <v>94</v>
      </c>
      <c r="D96" t="s">
        <v>57</v>
      </c>
      <c r="E96" t="s">
        <v>65</v>
      </c>
      <c r="F96">
        <v>53</v>
      </c>
      <c r="G96" t="s">
        <v>72</v>
      </c>
      <c r="H96" s="24">
        <v>37576</v>
      </c>
      <c r="I96">
        <v>95998</v>
      </c>
      <c r="J96">
        <v>0</v>
      </c>
      <c r="K96">
        <v>95998</v>
      </c>
      <c r="L96" t="s">
        <v>60</v>
      </c>
      <c r="M96" t="s">
        <v>61</v>
      </c>
      <c r="N96" s="25"/>
      <c r="O96">
        <v>0</v>
      </c>
    </row>
    <row r="97" spans="1:15">
      <c r="A97" t="s">
        <v>208</v>
      </c>
      <c r="B97" t="s">
        <v>55</v>
      </c>
      <c r="C97" t="s">
        <v>82</v>
      </c>
      <c r="D97" t="s">
        <v>64</v>
      </c>
      <c r="E97" t="s">
        <v>58</v>
      </c>
      <c r="F97">
        <v>34</v>
      </c>
      <c r="G97" t="s">
        <v>76</v>
      </c>
      <c r="H97" s="24">
        <v>42116</v>
      </c>
      <c r="I97">
        <v>154941</v>
      </c>
      <c r="J97">
        <v>0.13</v>
      </c>
      <c r="K97">
        <v>175083</v>
      </c>
      <c r="L97" t="s">
        <v>60</v>
      </c>
      <c r="M97" t="s">
        <v>79</v>
      </c>
      <c r="N97" s="25"/>
      <c r="O97">
        <v>0</v>
      </c>
    </row>
    <row r="98" spans="1:15">
      <c r="A98" t="s">
        <v>209</v>
      </c>
      <c r="B98" t="s">
        <v>104</v>
      </c>
      <c r="C98" t="s">
        <v>70</v>
      </c>
      <c r="D98" t="s">
        <v>71</v>
      </c>
      <c r="E98" t="s">
        <v>58</v>
      </c>
      <c r="F98">
        <v>54</v>
      </c>
      <c r="G98" t="s">
        <v>72</v>
      </c>
      <c r="H98" s="24">
        <v>40734</v>
      </c>
      <c r="I98">
        <v>247022</v>
      </c>
      <c r="J98">
        <v>0.3</v>
      </c>
      <c r="K98">
        <v>321129</v>
      </c>
      <c r="L98" t="s">
        <v>66</v>
      </c>
      <c r="M98" t="s">
        <v>126</v>
      </c>
      <c r="N98" s="25"/>
      <c r="O98">
        <v>0</v>
      </c>
    </row>
    <row r="99" spans="1:15">
      <c r="A99" t="s">
        <v>210</v>
      </c>
      <c r="B99" t="s">
        <v>200</v>
      </c>
      <c r="C99" t="s">
        <v>56</v>
      </c>
      <c r="D99" t="s">
        <v>64</v>
      </c>
      <c r="E99" t="s">
        <v>58</v>
      </c>
      <c r="F99">
        <v>32</v>
      </c>
      <c r="G99" t="s">
        <v>76</v>
      </c>
      <c r="H99" s="24">
        <v>44474</v>
      </c>
      <c r="I99">
        <v>88072</v>
      </c>
      <c r="J99">
        <v>0</v>
      </c>
      <c r="K99">
        <v>88072</v>
      </c>
      <c r="L99" t="s">
        <v>113</v>
      </c>
      <c r="M99" t="s">
        <v>184</v>
      </c>
      <c r="N99" s="25"/>
      <c r="O99">
        <v>0</v>
      </c>
    </row>
    <row r="100" spans="1:15">
      <c r="A100" t="s">
        <v>211</v>
      </c>
      <c r="B100" t="s">
        <v>75</v>
      </c>
      <c r="C100" t="s">
        <v>56</v>
      </c>
      <c r="D100" t="s">
        <v>57</v>
      </c>
      <c r="E100" t="s">
        <v>65</v>
      </c>
      <c r="F100">
        <v>28</v>
      </c>
      <c r="G100" t="s">
        <v>76</v>
      </c>
      <c r="H100" s="24">
        <v>43977</v>
      </c>
      <c r="I100">
        <v>67925</v>
      </c>
      <c r="J100">
        <v>0.08</v>
      </c>
      <c r="K100">
        <v>73359</v>
      </c>
      <c r="L100" t="s">
        <v>66</v>
      </c>
      <c r="M100" t="s">
        <v>101</v>
      </c>
      <c r="N100" s="25"/>
      <c r="O100">
        <v>0</v>
      </c>
    </row>
    <row r="101" spans="1:15">
      <c r="A101" t="s">
        <v>212</v>
      </c>
      <c r="B101" t="s">
        <v>104</v>
      </c>
      <c r="C101" t="s">
        <v>82</v>
      </c>
      <c r="D101" t="s">
        <v>64</v>
      </c>
      <c r="E101" t="s">
        <v>58</v>
      </c>
      <c r="F101">
        <v>31</v>
      </c>
      <c r="G101" t="s">
        <v>76</v>
      </c>
      <c r="H101" s="24">
        <v>44063</v>
      </c>
      <c r="I101">
        <v>219693</v>
      </c>
      <c r="J101">
        <v>0.3</v>
      </c>
      <c r="K101">
        <v>285601</v>
      </c>
      <c r="L101" t="s">
        <v>60</v>
      </c>
      <c r="M101" t="s">
        <v>91</v>
      </c>
      <c r="N101" s="25"/>
      <c r="O101">
        <v>0</v>
      </c>
    </row>
    <row r="102" spans="1:15">
      <c r="A102" t="s">
        <v>213</v>
      </c>
      <c r="B102" t="s">
        <v>187</v>
      </c>
      <c r="C102" t="s">
        <v>98</v>
      </c>
      <c r="D102" t="s">
        <v>57</v>
      </c>
      <c r="E102" t="s">
        <v>58</v>
      </c>
      <c r="F102">
        <v>45</v>
      </c>
      <c r="G102" t="s">
        <v>72</v>
      </c>
      <c r="H102" s="24">
        <v>41386</v>
      </c>
      <c r="I102">
        <v>61773</v>
      </c>
      <c r="J102">
        <v>0</v>
      </c>
      <c r="K102">
        <v>61773</v>
      </c>
      <c r="L102" t="s">
        <v>60</v>
      </c>
      <c r="M102" t="s">
        <v>61</v>
      </c>
      <c r="N102" s="25"/>
      <c r="O102">
        <v>0</v>
      </c>
    </row>
    <row r="103" spans="1:15">
      <c r="A103" t="s">
        <v>214</v>
      </c>
      <c r="B103" t="s">
        <v>75</v>
      </c>
      <c r="C103" t="s">
        <v>56</v>
      </c>
      <c r="D103" t="s">
        <v>71</v>
      </c>
      <c r="E103" t="s">
        <v>58</v>
      </c>
      <c r="F103">
        <v>48</v>
      </c>
      <c r="G103" t="s">
        <v>72</v>
      </c>
      <c r="H103" s="24">
        <v>39091</v>
      </c>
      <c r="I103">
        <v>74546</v>
      </c>
      <c r="J103">
        <v>0.09</v>
      </c>
      <c r="K103">
        <v>81255</v>
      </c>
      <c r="L103" t="s">
        <v>60</v>
      </c>
      <c r="M103" t="s">
        <v>61</v>
      </c>
      <c r="N103" s="25"/>
      <c r="O103">
        <v>0</v>
      </c>
    </row>
    <row r="104" spans="1:15">
      <c r="A104" t="s">
        <v>215</v>
      </c>
      <c r="B104" t="s">
        <v>216</v>
      </c>
      <c r="C104" t="s">
        <v>98</v>
      </c>
      <c r="D104" t="s">
        <v>71</v>
      </c>
      <c r="E104" t="s">
        <v>65</v>
      </c>
      <c r="F104">
        <v>56</v>
      </c>
      <c r="G104" t="s">
        <v>59</v>
      </c>
      <c r="H104" s="24">
        <v>42031</v>
      </c>
      <c r="I104">
        <v>62575</v>
      </c>
      <c r="J104">
        <v>0</v>
      </c>
      <c r="K104">
        <v>62575</v>
      </c>
      <c r="L104" t="s">
        <v>60</v>
      </c>
      <c r="M104" t="s">
        <v>88</v>
      </c>
      <c r="N104" s="25"/>
      <c r="O104">
        <v>0</v>
      </c>
    </row>
    <row r="105" spans="1:15">
      <c r="A105" t="s">
        <v>217</v>
      </c>
      <c r="B105" t="s">
        <v>69</v>
      </c>
      <c r="C105" t="s">
        <v>94</v>
      </c>
      <c r="D105" t="s">
        <v>83</v>
      </c>
      <c r="E105" t="s">
        <v>58</v>
      </c>
      <c r="F105">
        <v>27</v>
      </c>
      <c r="G105" t="s">
        <v>76</v>
      </c>
      <c r="H105" s="24">
        <v>44250</v>
      </c>
      <c r="I105">
        <v>199041</v>
      </c>
      <c r="J105">
        <v>0.16</v>
      </c>
      <c r="K105">
        <v>230888</v>
      </c>
      <c r="L105" t="s">
        <v>66</v>
      </c>
      <c r="M105" t="s">
        <v>126</v>
      </c>
      <c r="N105" s="25"/>
      <c r="O105">
        <v>0</v>
      </c>
    </row>
    <row r="106" spans="1:15">
      <c r="A106" t="s">
        <v>218</v>
      </c>
      <c r="B106" t="s">
        <v>132</v>
      </c>
      <c r="C106" t="s">
        <v>90</v>
      </c>
      <c r="D106" t="s">
        <v>71</v>
      </c>
      <c r="E106" t="s">
        <v>65</v>
      </c>
      <c r="F106">
        <v>55</v>
      </c>
      <c r="G106" t="s">
        <v>59</v>
      </c>
      <c r="H106" s="24">
        <v>39177</v>
      </c>
      <c r="I106">
        <v>52310</v>
      </c>
      <c r="J106">
        <v>0</v>
      </c>
      <c r="K106">
        <v>52310</v>
      </c>
      <c r="L106" t="s">
        <v>60</v>
      </c>
      <c r="M106" t="s">
        <v>88</v>
      </c>
      <c r="N106" s="25">
        <v>43385</v>
      </c>
      <c r="O106">
        <v>1</v>
      </c>
    </row>
    <row r="107" spans="1:15">
      <c r="A107" t="s">
        <v>219</v>
      </c>
      <c r="B107" t="s">
        <v>55</v>
      </c>
      <c r="C107" t="s">
        <v>70</v>
      </c>
      <c r="D107" t="s">
        <v>71</v>
      </c>
      <c r="E107" t="s">
        <v>65</v>
      </c>
      <c r="F107">
        <v>64</v>
      </c>
      <c r="G107" t="s">
        <v>59</v>
      </c>
      <c r="H107" s="24">
        <v>41454</v>
      </c>
      <c r="I107">
        <v>159571</v>
      </c>
      <c r="J107">
        <v>0.1</v>
      </c>
      <c r="K107">
        <v>175528</v>
      </c>
      <c r="L107" t="s">
        <v>60</v>
      </c>
      <c r="M107" t="s">
        <v>110</v>
      </c>
      <c r="N107" s="25"/>
      <c r="O107">
        <v>0</v>
      </c>
    </row>
    <row r="108" spans="1:15">
      <c r="A108" t="s">
        <v>220</v>
      </c>
      <c r="B108" t="s">
        <v>160</v>
      </c>
      <c r="C108" t="s">
        <v>98</v>
      </c>
      <c r="D108" t="s">
        <v>57</v>
      </c>
      <c r="E108" t="s">
        <v>58</v>
      </c>
      <c r="F108">
        <v>50</v>
      </c>
      <c r="G108" t="s">
        <v>72</v>
      </c>
      <c r="H108" s="24">
        <v>35726</v>
      </c>
      <c r="I108">
        <v>91763</v>
      </c>
      <c r="J108">
        <v>0</v>
      </c>
      <c r="K108">
        <v>91763</v>
      </c>
      <c r="L108" t="s">
        <v>60</v>
      </c>
      <c r="M108" t="s">
        <v>91</v>
      </c>
      <c r="N108" s="25"/>
      <c r="O108">
        <v>0</v>
      </c>
    </row>
    <row r="109" spans="1:15">
      <c r="A109" t="s">
        <v>221</v>
      </c>
      <c r="B109" t="s">
        <v>216</v>
      </c>
      <c r="C109" t="s">
        <v>98</v>
      </c>
      <c r="D109" t="s">
        <v>83</v>
      </c>
      <c r="E109" t="s">
        <v>58</v>
      </c>
      <c r="F109">
        <v>51</v>
      </c>
      <c r="G109" t="s">
        <v>72</v>
      </c>
      <c r="H109" s="24">
        <v>35055</v>
      </c>
      <c r="I109">
        <v>96475</v>
      </c>
      <c r="J109">
        <v>0</v>
      </c>
      <c r="K109">
        <v>96475</v>
      </c>
      <c r="L109" t="s">
        <v>60</v>
      </c>
      <c r="M109" t="s">
        <v>91</v>
      </c>
      <c r="N109" s="25"/>
      <c r="O109">
        <v>0</v>
      </c>
    </row>
    <row r="110" spans="1:15">
      <c r="A110" t="s">
        <v>222</v>
      </c>
      <c r="B110" t="s">
        <v>97</v>
      </c>
      <c r="C110" t="s">
        <v>98</v>
      </c>
      <c r="D110" t="s">
        <v>64</v>
      </c>
      <c r="E110" t="s">
        <v>65</v>
      </c>
      <c r="F110">
        <v>36</v>
      </c>
      <c r="G110" t="s">
        <v>95</v>
      </c>
      <c r="H110" s="24">
        <v>42706</v>
      </c>
      <c r="I110">
        <v>113781</v>
      </c>
      <c r="J110">
        <v>0</v>
      </c>
      <c r="K110">
        <v>113781</v>
      </c>
      <c r="L110" t="s">
        <v>60</v>
      </c>
      <c r="M110" t="s">
        <v>110</v>
      </c>
      <c r="N110" s="25"/>
      <c r="O110">
        <v>0</v>
      </c>
    </row>
    <row r="111" spans="1:15">
      <c r="A111" t="s">
        <v>223</v>
      </c>
      <c r="B111" t="s">
        <v>69</v>
      </c>
      <c r="C111" t="s">
        <v>70</v>
      </c>
      <c r="D111" t="s">
        <v>57</v>
      </c>
      <c r="E111" t="s">
        <v>65</v>
      </c>
      <c r="F111">
        <v>42</v>
      </c>
      <c r="G111" t="s">
        <v>95</v>
      </c>
      <c r="H111" s="24">
        <v>37636</v>
      </c>
      <c r="I111">
        <v>166599</v>
      </c>
      <c r="J111">
        <v>0.26</v>
      </c>
      <c r="K111">
        <v>209915</v>
      </c>
      <c r="L111" t="s">
        <v>60</v>
      </c>
      <c r="M111" t="s">
        <v>61</v>
      </c>
      <c r="N111" s="25"/>
      <c r="O111">
        <v>0</v>
      </c>
    </row>
    <row r="112" spans="1:15">
      <c r="A112" t="s">
        <v>224</v>
      </c>
      <c r="B112" t="s">
        <v>225</v>
      </c>
      <c r="C112" t="s">
        <v>82</v>
      </c>
      <c r="D112" t="s">
        <v>83</v>
      </c>
      <c r="E112" t="s">
        <v>58</v>
      </c>
      <c r="F112">
        <v>41</v>
      </c>
      <c r="G112" t="s">
        <v>95</v>
      </c>
      <c r="H112" s="24">
        <v>38398</v>
      </c>
      <c r="I112">
        <v>95372</v>
      </c>
      <c r="J112">
        <v>0</v>
      </c>
      <c r="K112">
        <v>95372</v>
      </c>
      <c r="L112" t="s">
        <v>66</v>
      </c>
      <c r="M112" t="s">
        <v>101</v>
      </c>
      <c r="N112" s="25"/>
      <c r="O112">
        <v>0</v>
      </c>
    </row>
    <row r="113" spans="1:15">
      <c r="A113" t="s">
        <v>226</v>
      </c>
      <c r="B113" t="s">
        <v>69</v>
      </c>
      <c r="C113" t="s">
        <v>56</v>
      </c>
      <c r="D113" t="s">
        <v>57</v>
      </c>
      <c r="E113" t="s">
        <v>58</v>
      </c>
      <c r="F113">
        <v>29</v>
      </c>
      <c r="G113" t="s">
        <v>76</v>
      </c>
      <c r="H113" s="24">
        <v>44052</v>
      </c>
      <c r="I113">
        <v>161203</v>
      </c>
      <c r="J113">
        <v>0.15</v>
      </c>
      <c r="K113">
        <v>185383</v>
      </c>
      <c r="L113" t="s">
        <v>66</v>
      </c>
      <c r="M113" t="s">
        <v>138</v>
      </c>
      <c r="N113" s="25"/>
      <c r="O113">
        <v>0</v>
      </c>
    </row>
    <row r="114" spans="1:15">
      <c r="A114" t="s">
        <v>227</v>
      </c>
      <c r="B114" t="s">
        <v>228</v>
      </c>
      <c r="C114" t="s">
        <v>56</v>
      </c>
      <c r="D114" t="s">
        <v>64</v>
      </c>
      <c r="E114" t="s">
        <v>58</v>
      </c>
      <c r="F114">
        <v>44</v>
      </c>
      <c r="G114" t="s">
        <v>95</v>
      </c>
      <c r="H114" s="24">
        <v>39064</v>
      </c>
      <c r="I114">
        <v>74738</v>
      </c>
      <c r="J114">
        <v>0</v>
      </c>
      <c r="K114">
        <v>74738</v>
      </c>
      <c r="L114" t="s">
        <v>60</v>
      </c>
      <c r="M114" t="s">
        <v>88</v>
      </c>
      <c r="N114" s="25"/>
      <c r="O114">
        <v>0</v>
      </c>
    </row>
    <row r="115" spans="1:15">
      <c r="A115" t="s">
        <v>229</v>
      </c>
      <c r="B115" t="s">
        <v>69</v>
      </c>
      <c r="C115" t="s">
        <v>82</v>
      </c>
      <c r="D115" t="s">
        <v>57</v>
      </c>
      <c r="E115" t="s">
        <v>58</v>
      </c>
      <c r="F115">
        <v>41</v>
      </c>
      <c r="G115" t="s">
        <v>95</v>
      </c>
      <c r="H115" s="24">
        <v>43322</v>
      </c>
      <c r="I115">
        <v>171173</v>
      </c>
      <c r="J115">
        <v>0.21</v>
      </c>
      <c r="K115">
        <v>207119</v>
      </c>
      <c r="L115" t="s">
        <v>60</v>
      </c>
      <c r="M115" t="s">
        <v>110</v>
      </c>
      <c r="N115" s="25"/>
      <c r="O115">
        <v>0</v>
      </c>
    </row>
    <row r="116" spans="1:15">
      <c r="A116" t="s">
        <v>230</v>
      </c>
      <c r="B116" t="s">
        <v>104</v>
      </c>
      <c r="C116" t="s">
        <v>82</v>
      </c>
      <c r="D116" t="s">
        <v>83</v>
      </c>
      <c r="E116" t="s">
        <v>65</v>
      </c>
      <c r="F116">
        <v>61</v>
      </c>
      <c r="G116" t="s">
        <v>59</v>
      </c>
      <c r="H116" s="24">
        <v>43732</v>
      </c>
      <c r="I116">
        <v>201464</v>
      </c>
      <c r="J116">
        <v>0.37</v>
      </c>
      <c r="K116">
        <v>276006</v>
      </c>
      <c r="L116" t="s">
        <v>60</v>
      </c>
      <c r="M116" t="s">
        <v>73</v>
      </c>
      <c r="N116" s="25"/>
      <c r="O116">
        <v>0</v>
      </c>
    </row>
    <row r="117" spans="1:15">
      <c r="A117" t="s">
        <v>231</v>
      </c>
      <c r="B117" t="s">
        <v>69</v>
      </c>
      <c r="C117" t="s">
        <v>94</v>
      </c>
      <c r="D117" t="s">
        <v>83</v>
      </c>
      <c r="E117" t="s">
        <v>65</v>
      </c>
      <c r="F117">
        <v>50</v>
      </c>
      <c r="G117" t="s">
        <v>72</v>
      </c>
      <c r="H117" s="24">
        <v>35998</v>
      </c>
      <c r="I117">
        <v>174895</v>
      </c>
      <c r="J117">
        <v>0.15</v>
      </c>
      <c r="K117">
        <v>201129</v>
      </c>
      <c r="L117" t="s">
        <v>60</v>
      </c>
      <c r="M117" t="s">
        <v>73</v>
      </c>
      <c r="N117" s="25"/>
      <c r="O117">
        <v>0</v>
      </c>
    </row>
    <row r="118" spans="1:15">
      <c r="A118" t="s">
        <v>232</v>
      </c>
      <c r="B118" t="s">
        <v>55</v>
      </c>
      <c r="C118" t="s">
        <v>56</v>
      </c>
      <c r="D118" t="s">
        <v>64</v>
      </c>
      <c r="E118" t="s">
        <v>58</v>
      </c>
      <c r="F118">
        <v>49</v>
      </c>
      <c r="G118" t="s">
        <v>72</v>
      </c>
      <c r="H118" s="24">
        <v>38825</v>
      </c>
      <c r="I118">
        <v>134486</v>
      </c>
      <c r="J118">
        <v>0.14</v>
      </c>
      <c r="K118">
        <v>153314</v>
      </c>
      <c r="L118" t="s">
        <v>60</v>
      </c>
      <c r="M118" t="s">
        <v>91</v>
      </c>
      <c r="N118" s="25"/>
      <c r="O118">
        <v>0</v>
      </c>
    </row>
    <row r="119" spans="1:15">
      <c r="A119" t="s">
        <v>233</v>
      </c>
      <c r="B119" t="s">
        <v>78</v>
      </c>
      <c r="C119" t="s">
        <v>70</v>
      </c>
      <c r="D119" t="s">
        <v>64</v>
      </c>
      <c r="E119" t="s">
        <v>58</v>
      </c>
      <c r="F119">
        <v>60</v>
      </c>
      <c r="G119" t="s">
        <v>59</v>
      </c>
      <c r="H119" s="24">
        <v>39137</v>
      </c>
      <c r="I119">
        <v>71699</v>
      </c>
      <c r="J119">
        <v>0</v>
      </c>
      <c r="K119">
        <v>71699</v>
      </c>
      <c r="L119" t="s">
        <v>113</v>
      </c>
      <c r="M119" t="s">
        <v>114</v>
      </c>
      <c r="N119" s="25"/>
      <c r="O119">
        <v>0</v>
      </c>
    </row>
    <row r="120" spans="1:15">
      <c r="A120" t="s">
        <v>234</v>
      </c>
      <c r="B120" t="s">
        <v>78</v>
      </c>
      <c r="C120" t="s">
        <v>105</v>
      </c>
      <c r="D120" t="s">
        <v>83</v>
      </c>
      <c r="E120" t="s">
        <v>58</v>
      </c>
      <c r="F120">
        <v>42</v>
      </c>
      <c r="G120" t="s">
        <v>95</v>
      </c>
      <c r="H120" s="24">
        <v>44198</v>
      </c>
      <c r="I120">
        <v>94430</v>
      </c>
      <c r="J120">
        <v>0</v>
      </c>
      <c r="K120">
        <v>94430</v>
      </c>
      <c r="L120" t="s">
        <v>60</v>
      </c>
      <c r="M120" t="s">
        <v>61</v>
      </c>
      <c r="N120" s="25"/>
      <c r="O120">
        <v>0</v>
      </c>
    </row>
    <row r="121" spans="1:15">
      <c r="A121" t="s">
        <v>235</v>
      </c>
      <c r="B121" t="s">
        <v>85</v>
      </c>
      <c r="C121" t="s">
        <v>70</v>
      </c>
      <c r="D121" t="s">
        <v>83</v>
      </c>
      <c r="E121" t="s">
        <v>65</v>
      </c>
      <c r="F121">
        <v>39</v>
      </c>
      <c r="G121" t="s">
        <v>95</v>
      </c>
      <c r="H121" s="24">
        <v>40192</v>
      </c>
      <c r="I121">
        <v>103504</v>
      </c>
      <c r="J121">
        <v>0.07</v>
      </c>
      <c r="K121">
        <v>110749</v>
      </c>
      <c r="L121" t="s">
        <v>66</v>
      </c>
      <c r="M121" t="s">
        <v>138</v>
      </c>
      <c r="N121" s="25"/>
      <c r="O121">
        <v>0</v>
      </c>
    </row>
    <row r="122" spans="1:15">
      <c r="A122" t="s">
        <v>236</v>
      </c>
      <c r="B122" t="s">
        <v>136</v>
      </c>
      <c r="C122" t="s">
        <v>56</v>
      </c>
      <c r="D122" t="s">
        <v>64</v>
      </c>
      <c r="E122" t="s">
        <v>58</v>
      </c>
      <c r="F122">
        <v>55</v>
      </c>
      <c r="G122" t="s">
        <v>59</v>
      </c>
      <c r="H122" s="24">
        <v>38573</v>
      </c>
      <c r="I122">
        <v>92771</v>
      </c>
      <c r="J122">
        <v>0</v>
      </c>
      <c r="K122">
        <v>92771</v>
      </c>
      <c r="L122" t="s">
        <v>60</v>
      </c>
      <c r="M122" t="s">
        <v>88</v>
      </c>
      <c r="N122" s="25"/>
      <c r="O122">
        <v>0</v>
      </c>
    </row>
    <row r="123" spans="1:15">
      <c r="A123" t="s">
        <v>237</v>
      </c>
      <c r="B123" t="s">
        <v>132</v>
      </c>
      <c r="C123" t="s">
        <v>70</v>
      </c>
      <c r="D123" t="s">
        <v>71</v>
      </c>
      <c r="E123" t="s">
        <v>58</v>
      </c>
      <c r="F123">
        <v>39</v>
      </c>
      <c r="G123" t="s">
        <v>95</v>
      </c>
      <c r="H123" s="24">
        <v>38813</v>
      </c>
      <c r="I123">
        <v>71531</v>
      </c>
      <c r="J123">
        <v>0</v>
      </c>
      <c r="K123">
        <v>71531</v>
      </c>
      <c r="L123" t="s">
        <v>60</v>
      </c>
      <c r="M123" t="s">
        <v>110</v>
      </c>
      <c r="N123" s="25"/>
      <c r="O123">
        <v>0</v>
      </c>
    </row>
    <row r="124" spans="1:15">
      <c r="A124" t="s">
        <v>238</v>
      </c>
      <c r="B124" t="s">
        <v>178</v>
      </c>
      <c r="C124" t="s">
        <v>56</v>
      </c>
      <c r="D124" t="s">
        <v>71</v>
      </c>
      <c r="E124" t="s">
        <v>65</v>
      </c>
      <c r="F124">
        <v>28</v>
      </c>
      <c r="G124" t="s">
        <v>76</v>
      </c>
      <c r="H124" s="24">
        <v>43530</v>
      </c>
      <c r="I124">
        <v>90304</v>
      </c>
      <c r="J124">
        <v>0</v>
      </c>
      <c r="K124">
        <v>90304</v>
      </c>
      <c r="L124" t="s">
        <v>60</v>
      </c>
      <c r="M124" t="s">
        <v>73</v>
      </c>
      <c r="N124" s="25"/>
      <c r="O124">
        <v>0</v>
      </c>
    </row>
    <row r="125" spans="1:15">
      <c r="A125" t="s">
        <v>239</v>
      </c>
      <c r="B125" t="s">
        <v>85</v>
      </c>
      <c r="C125" t="s">
        <v>105</v>
      </c>
      <c r="D125" t="s">
        <v>64</v>
      </c>
      <c r="E125" t="s">
        <v>58</v>
      </c>
      <c r="F125">
        <v>65</v>
      </c>
      <c r="G125" t="s">
        <v>107</v>
      </c>
      <c r="H125" s="24">
        <v>40793</v>
      </c>
      <c r="I125">
        <v>104903</v>
      </c>
      <c r="J125">
        <v>0.1</v>
      </c>
      <c r="K125">
        <v>115393</v>
      </c>
      <c r="L125" t="s">
        <v>60</v>
      </c>
      <c r="M125" t="s">
        <v>110</v>
      </c>
      <c r="N125" s="25"/>
      <c r="O125">
        <v>0</v>
      </c>
    </row>
    <row r="126" spans="1:15">
      <c r="A126" t="s">
        <v>240</v>
      </c>
      <c r="B126" t="s">
        <v>87</v>
      </c>
      <c r="C126" t="s">
        <v>70</v>
      </c>
      <c r="D126" t="s">
        <v>83</v>
      </c>
      <c r="E126" t="s">
        <v>58</v>
      </c>
      <c r="F126">
        <v>52</v>
      </c>
      <c r="G126" t="s">
        <v>72</v>
      </c>
      <c r="H126" s="24">
        <v>43515</v>
      </c>
      <c r="I126">
        <v>55859</v>
      </c>
      <c r="J126">
        <v>0</v>
      </c>
      <c r="K126">
        <v>55859</v>
      </c>
      <c r="L126" t="s">
        <v>66</v>
      </c>
      <c r="M126" t="s">
        <v>126</v>
      </c>
      <c r="N126" s="25"/>
      <c r="O126">
        <v>0</v>
      </c>
    </row>
    <row r="127" spans="1:15">
      <c r="A127" t="s">
        <v>241</v>
      </c>
      <c r="B127" t="s">
        <v>164</v>
      </c>
      <c r="C127" t="s">
        <v>98</v>
      </c>
      <c r="D127" t="s">
        <v>83</v>
      </c>
      <c r="E127" t="s">
        <v>58</v>
      </c>
      <c r="F127">
        <v>62</v>
      </c>
      <c r="G127" t="s">
        <v>59</v>
      </c>
      <c r="H127" s="24">
        <v>39002</v>
      </c>
      <c r="I127">
        <v>79785</v>
      </c>
      <c r="J127">
        <v>0</v>
      </c>
      <c r="K127">
        <v>79785</v>
      </c>
      <c r="L127" t="s">
        <v>60</v>
      </c>
      <c r="M127" t="s">
        <v>91</v>
      </c>
      <c r="N127" s="25"/>
      <c r="O127">
        <v>0</v>
      </c>
    </row>
    <row r="128" spans="1:15">
      <c r="A128" t="s">
        <v>242</v>
      </c>
      <c r="B128" t="s">
        <v>78</v>
      </c>
      <c r="C128" t="s">
        <v>105</v>
      </c>
      <c r="D128" t="s">
        <v>83</v>
      </c>
      <c r="E128" t="s">
        <v>58</v>
      </c>
      <c r="F128">
        <v>39</v>
      </c>
      <c r="G128" t="s">
        <v>95</v>
      </c>
      <c r="H128" s="24">
        <v>39391</v>
      </c>
      <c r="I128">
        <v>99017</v>
      </c>
      <c r="J128">
        <v>0</v>
      </c>
      <c r="K128">
        <v>99017</v>
      </c>
      <c r="L128" t="s">
        <v>66</v>
      </c>
      <c r="M128" t="s">
        <v>126</v>
      </c>
      <c r="N128" s="25"/>
      <c r="O128">
        <v>0</v>
      </c>
    </row>
    <row r="129" spans="1:15">
      <c r="A129" t="s">
        <v>243</v>
      </c>
      <c r="B129" t="s">
        <v>244</v>
      </c>
      <c r="C129" t="s">
        <v>56</v>
      </c>
      <c r="D129" t="s">
        <v>64</v>
      </c>
      <c r="E129" t="s">
        <v>58</v>
      </c>
      <c r="F129">
        <v>63</v>
      </c>
      <c r="G129" t="s">
        <v>59</v>
      </c>
      <c r="H129" s="24">
        <v>33695</v>
      </c>
      <c r="I129">
        <v>53809</v>
      </c>
      <c r="J129">
        <v>0</v>
      </c>
      <c r="K129">
        <v>53809</v>
      </c>
      <c r="L129" t="s">
        <v>60</v>
      </c>
      <c r="M129" t="s">
        <v>79</v>
      </c>
      <c r="N129" s="25"/>
      <c r="O129">
        <v>0</v>
      </c>
    </row>
    <row r="130" spans="1:15">
      <c r="A130" t="s">
        <v>245</v>
      </c>
      <c r="B130" t="s">
        <v>160</v>
      </c>
      <c r="C130" t="s">
        <v>98</v>
      </c>
      <c r="D130" t="s">
        <v>71</v>
      </c>
      <c r="E130" t="s">
        <v>65</v>
      </c>
      <c r="F130">
        <v>27</v>
      </c>
      <c r="G130" t="s">
        <v>76</v>
      </c>
      <c r="H130" s="24">
        <v>43937</v>
      </c>
      <c r="I130">
        <v>71864</v>
      </c>
      <c r="J130">
        <v>0</v>
      </c>
      <c r="K130">
        <v>71864</v>
      </c>
      <c r="L130" t="s">
        <v>66</v>
      </c>
      <c r="M130" t="s">
        <v>138</v>
      </c>
      <c r="N130" s="25"/>
      <c r="O130">
        <v>0</v>
      </c>
    </row>
    <row r="131" spans="1:15">
      <c r="A131" t="s">
        <v>246</v>
      </c>
      <c r="B131" t="s">
        <v>104</v>
      </c>
      <c r="C131" t="s">
        <v>70</v>
      </c>
      <c r="D131" t="s">
        <v>83</v>
      </c>
      <c r="E131" t="s">
        <v>58</v>
      </c>
      <c r="F131">
        <v>37</v>
      </c>
      <c r="G131" t="s">
        <v>95</v>
      </c>
      <c r="H131" s="24">
        <v>40883</v>
      </c>
      <c r="I131">
        <v>225558</v>
      </c>
      <c r="J131">
        <v>0.33</v>
      </c>
      <c r="K131">
        <v>299992</v>
      </c>
      <c r="L131" t="s">
        <v>66</v>
      </c>
      <c r="M131" t="s">
        <v>101</v>
      </c>
      <c r="N131" s="25"/>
      <c r="O131">
        <v>0</v>
      </c>
    </row>
    <row r="132" spans="1:15">
      <c r="A132" t="s">
        <v>247</v>
      </c>
      <c r="B132" t="s">
        <v>55</v>
      </c>
      <c r="C132" t="s">
        <v>56</v>
      </c>
      <c r="D132" t="s">
        <v>64</v>
      </c>
      <c r="E132" t="s">
        <v>65</v>
      </c>
      <c r="F132">
        <v>37</v>
      </c>
      <c r="G132" t="s">
        <v>95</v>
      </c>
      <c r="H132" s="24">
        <v>41695</v>
      </c>
      <c r="I132">
        <v>128984</v>
      </c>
      <c r="J132">
        <v>0.12</v>
      </c>
      <c r="K132">
        <v>144462</v>
      </c>
      <c r="L132" t="s">
        <v>60</v>
      </c>
      <c r="M132" t="s">
        <v>88</v>
      </c>
      <c r="N132" s="25">
        <v>44317</v>
      </c>
      <c r="O132">
        <v>1</v>
      </c>
    </row>
    <row r="133" spans="1:15">
      <c r="A133" t="s">
        <v>248</v>
      </c>
      <c r="B133" t="s">
        <v>160</v>
      </c>
      <c r="C133" t="s">
        <v>98</v>
      </c>
      <c r="D133" t="s">
        <v>71</v>
      </c>
      <c r="E133" t="s">
        <v>65</v>
      </c>
      <c r="F133">
        <v>46</v>
      </c>
      <c r="G133" t="s">
        <v>72</v>
      </c>
      <c r="H133" s="24">
        <v>36331</v>
      </c>
      <c r="I133">
        <v>96997</v>
      </c>
      <c r="J133">
        <v>0</v>
      </c>
      <c r="K133">
        <v>96997</v>
      </c>
      <c r="L133" t="s">
        <v>113</v>
      </c>
      <c r="M133" t="s">
        <v>184</v>
      </c>
      <c r="N133" s="25"/>
      <c r="O133">
        <v>0</v>
      </c>
    </row>
    <row r="134" spans="1:15">
      <c r="A134" t="s">
        <v>249</v>
      </c>
      <c r="B134" t="s">
        <v>69</v>
      </c>
      <c r="C134" t="s">
        <v>94</v>
      </c>
      <c r="D134" t="s">
        <v>64</v>
      </c>
      <c r="E134" t="s">
        <v>58</v>
      </c>
      <c r="F134">
        <v>54</v>
      </c>
      <c r="G134" t="s">
        <v>72</v>
      </c>
      <c r="H134" s="24">
        <v>43122</v>
      </c>
      <c r="I134">
        <v>176294</v>
      </c>
      <c r="J134">
        <v>0.28</v>
      </c>
      <c r="K134">
        <v>225656</v>
      </c>
      <c r="L134" t="s">
        <v>60</v>
      </c>
      <c r="M134" t="s">
        <v>91</v>
      </c>
      <c r="N134" s="25"/>
      <c r="O134">
        <v>0</v>
      </c>
    </row>
    <row r="135" spans="1:15">
      <c r="A135" t="s">
        <v>250</v>
      </c>
      <c r="B135" t="s">
        <v>87</v>
      </c>
      <c r="C135" t="s">
        <v>82</v>
      </c>
      <c r="D135" t="s">
        <v>57</v>
      </c>
      <c r="E135" t="s">
        <v>58</v>
      </c>
      <c r="F135">
        <v>30</v>
      </c>
      <c r="G135" t="s">
        <v>76</v>
      </c>
      <c r="H135" s="24">
        <v>44241</v>
      </c>
      <c r="I135">
        <v>48340</v>
      </c>
      <c r="J135">
        <v>0</v>
      </c>
      <c r="K135">
        <v>48340</v>
      </c>
      <c r="L135" t="s">
        <v>66</v>
      </c>
      <c r="M135" t="s">
        <v>126</v>
      </c>
      <c r="N135" s="25"/>
      <c r="O135">
        <v>0</v>
      </c>
    </row>
    <row r="136" spans="1:15">
      <c r="A136" t="s">
        <v>251</v>
      </c>
      <c r="B136" t="s">
        <v>104</v>
      </c>
      <c r="C136" t="s">
        <v>98</v>
      </c>
      <c r="D136" t="s">
        <v>83</v>
      </c>
      <c r="E136" t="s">
        <v>58</v>
      </c>
      <c r="F136">
        <v>28</v>
      </c>
      <c r="G136" t="s">
        <v>76</v>
      </c>
      <c r="H136" s="24">
        <v>42922</v>
      </c>
      <c r="I136">
        <v>240488</v>
      </c>
      <c r="J136">
        <v>0.4</v>
      </c>
      <c r="K136">
        <v>336683</v>
      </c>
      <c r="L136" t="s">
        <v>113</v>
      </c>
      <c r="M136" t="s">
        <v>117</v>
      </c>
      <c r="N136" s="25"/>
      <c r="O136">
        <v>0</v>
      </c>
    </row>
    <row r="137" spans="1:15">
      <c r="A137" t="s">
        <v>252</v>
      </c>
      <c r="B137" t="s">
        <v>136</v>
      </c>
      <c r="C137" t="s">
        <v>56</v>
      </c>
      <c r="D137" t="s">
        <v>64</v>
      </c>
      <c r="E137" t="s">
        <v>65</v>
      </c>
      <c r="F137">
        <v>40</v>
      </c>
      <c r="G137" t="s">
        <v>95</v>
      </c>
      <c r="H137" s="24">
        <v>40565</v>
      </c>
      <c r="I137">
        <v>97339</v>
      </c>
      <c r="J137">
        <v>0</v>
      </c>
      <c r="K137">
        <v>97339</v>
      </c>
      <c r="L137" t="s">
        <v>60</v>
      </c>
      <c r="M137" t="s">
        <v>91</v>
      </c>
      <c r="N137" s="25"/>
      <c r="O137">
        <v>0</v>
      </c>
    </row>
    <row r="138" spans="1:15">
      <c r="A138" t="s">
        <v>253</v>
      </c>
      <c r="B138" t="s">
        <v>104</v>
      </c>
      <c r="C138" t="s">
        <v>94</v>
      </c>
      <c r="D138" t="s">
        <v>64</v>
      </c>
      <c r="E138" t="s">
        <v>58</v>
      </c>
      <c r="F138">
        <v>49</v>
      </c>
      <c r="G138" t="s">
        <v>72</v>
      </c>
      <c r="H138" s="24">
        <v>37680</v>
      </c>
      <c r="I138">
        <v>211291</v>
      </c>
      <c r="J138">
        <v>0.37</v>
      </c>
      <c r="K138">
        <v>289469</v>
      </c>
      <c r="L138" t="s">
        <v>66</v>
      </c>
      <c r="M138" t="s">
        <v>67</v>
      </c>
      <c r="N138" s="25"/>
      <c r="O138">
        <v>0</v>
      </c>
    </row>
    <row r="139" spans="1:15">
      <c r="A139" t="s">
        <v>254</v>
      </c>
      <c r="B139" t="s">
        <v>104</v>
      </c>
      <c r="C139" t="s">
        <v>82</v>
      </c>
      <c r="D139" t="s">
        <v>57</v>
      </c>
      <c r="E139" t="s">
        <v>65</v>
      </c>
      <c r="F139">
        <v>39</v>
      </c>
      <c r="G139" t="s">
        <v>95</v>
      </c>
      <c r="H139" s="24">
        <v>40778</v>
      </c>
      <c r="I139">
        <v>249506</v>
      </c>
      <c r="J139">
        <v>0.3</v>
      </c>
      <c r="K139">
        <v>324358</v>
      </c>
      <c r="L139" t="s">
        <v>113</v>
      </c>
      <c r="M139" t="s">
        <v>117</v>
      </c>
      <c r="N139" s="25"/>
      <c r="O139">
        <v>0</v>
      </c>
    </row>
    <row r="140" spans="1:15">
      <c r="A140" t="s">
        <v>255</v>
      </c>
      <c r="B140" t="s">
        <v>122</v>
      </c>
      <c r="C140" t="s">
        <v>98</v>
      </c>
      <c r="D140" t="s">
        <v>71</v>
      </c>
      <c r="E140" t="s">
        <v>65</v>
      </c>
      <c r="F140">
        <v>61</v>
      </c>
      <c r="G140" t="s">
        <v>59</v>
      </c>
      <c r="H140" s="24">
        <v>37582</v>
      </c>
      <c r="I140">
        <v>80950</v>
      </c>
      <c r="J140">
        <v>0</v>
      </c>
      <c r="K140">
        <v>80950</v>
      </c>
      <c r="L140" t="s">
        <v>66</v>
      </c>
      <c r="M140" t="s">
        <v>67</v>
      </c>
      <c r="N140" s="25"/>
      <c r="O140">
        <v>0</v>
      </c>
    </row>
    <row r="141" spans="1:15">
      <c r="A141" t="s">
        <v>256</v>
      </c>
      <c r="B141" t="s">
        <v>162</v>
      </c>
      <c r="C141" t="s">
        <v>98</v>
      </c>
      <c r="D141" t="s">
        <v>57</v>
      </c>
      <c r="E141" t="s">
        <v>58</v>
      </c>
      <c r="F141">
        <v>46</v>
      </c>
      <c r="G141" t="s">
        <v>72</v>
      </c>
      <c r="H141" s="24">
        <v>44206</v>
      </c>
      <c r="I141">
        <v>86538</v>
      </c>
      <c r="J141">
        <v>0</v>
      </c>
      <c r="K141">
        <v>86538</v>
      </c>
      <c r="L141" t="s">
        <v>66</v>
      </c>
      <c r="M141" t="s">
        <v>138</v>
      </c>
      <c r="N141" s="25"/>
      <c r="O141">
        <v>0</v>
      </c>
    </row>
    <row r="142" spans="1:15">
      <c r="A142" t="s">
        <v>257</v>
      </c>
      <c r="B142" t="s">
        <v>78</v>
      </c>
      <c r="C142" t="s">
        <v>105</v>
      </c>
      <c r="D142" t="s">
        <v>71</v>
      </c>
      <c r="E142" t="s">
        <v>58</v>
      </c>
      <c r="F142">
        <v>35</v>
      </c>
      <c r="G142" t="s">
        <v>95</v>
      </c>
      <c r="H142" s="24">
        <v>43715</v>
      </c>
      <c r="I142">
        <v>70992</v>
      </c>
      <c r="J142">
        <v>0</v>
      </c>
      <c r="K142">
        <v>70992</v>
      </c>
      <c r="L142" t="s">
        <v>60</v>
      </c>
      <c r="M142" t="s">
        <v>91</v>
      </c>
      <c r="N142" s="25"/>
      <c r="O142">
        <v>0</v>
      </c>
    </row>
    <row r="143" spans="1:15">
      <c r="A143" t="s">
        <v>258</v>
      </c>
      <c r="B143" t="s">
        <v>104</v>
      </c>
      <c r="C143" t="s">
        <v>98</v>
      </c>
      <c r="D143" t="s">
        <v>83</v>
      </c>
      <c r="E143" t="s">
        <v>65</v>
      </c>
      <c r="F143">
        <v>33</v>
      </c>
      <c r="G143" t="s">
        <v>76</v>
      </c>
      <c r="H143" s="24">
        <v>42173</v>
      </c>
      <c r="I143">
        <v>205314</v>
      </c>
      <c r="J143">
        <v>0.3</v>
      </c>
      <c r="K143">
        <v>266908</v>
      </c>
      <c r="L143" t="s">
        <v>60</v>
      </c>
      <c r="M143" t="s">
        <v>110</v>
      </c>
      <c r="N143" s="25"/>
      <c r="O143">
        <v>0</v>
      </c>
    </row>
    <row r="144" spans="1:15">
      <c r="A144" t="s">
        <v>259</v>
      </c>
      <c r="B144" t="s">
        <v>104</v>
      </c>
      <c r="C144" t="s">
        <v>94</v>
      </c>
      <c r="D144" t="s">
        <v>83</v>
      </c>
      <c r="E144" t="s">
        <v>58</v>
      </c>
      <c r="F144">
        <v>61</v>
      </c>
      <c r="G144" t="s">
        <v>59</v>
      </c>
      <c r="H144" s="24">
        <v>42804</v>
      </c>
      <c r="I144">
        <v>196951</v>
      </c>
      <c r="J144">
        <v>0.33</v>
      </c>
      <c r="K144">
        <v>261945</v>
      </c>
      <c r="L144" t="s">
        <v>66</v>
      </c>
      <c r="M144" t="s">
        <v>126</v>
      </c>
      <c r="N144" s="25"/>
      <c r="O144">
        <v>0</v>
      </c>
    </row>
    <row r="145" spans="1:15">
      <c r="A145" t="s">
        <v>260</v>
      </c>
      <c r="B145" t="s">
        <v>202</v>
      </c>
      <c r="C145" t="s">
        <v>56</v>
      </c>
      <c r="D145" t="s">
        <v>71</v>
      </c>
      <c r="E145" t="s">
        <v>65</v>
      </c>
      <c r="F145">
        <v>45</v>
      </c>
      <c r="G145" t="s">
        <v>72</v>
      </c>
      <c r="H145" s="24">
        <v>38613</v>
      </c>
      <c r="I145">
        <v>67686</v>
      </c>
      <c r="J145">
        <v>0</v>
      </c>
      <c r="K145">
        <v>67686</v>
      </c>
      <c r="L145" t="s">
        <v>66</v>
      </c>
      <c r="M145" t="s">
        <v>126</v>
      </c>
      <c r="N145" s="25"/>
      <c r="O145">
        <v>0</v>
      </c>
    </row>
    <row r="146" spans="1:15">
      <c r="A146" t="s">
        <v>261</v>
      </c>
      <c r="B146" t="s">
        <v>63</v>
      </c>
      <c r="C146" t="s">
        <v>56</v>
      </c>
      <c r="D146" t="s">
        <v>57</v>
      </c>
      <c r="E146" t="s">
        <v>65</v>
      </c>
      <c r="F146">
        <v>51</v>
      </c>
      <c r="G146" t="s">
        <v>72</v>
      </c>
      <c r="H146" s="24">
        <v>39553</v>
      </c>
      <c r="I146">
        <v>86431</v>
      </c>
      <c r="J146">
        <v>0</v>
      </c>
      <c r="K146">
        <v>86431</v>
      </c>
      <c r="L146" t="s">
        <v>60</v>
      </c>
      <c r="M146" t="s">
        <v>110</v>
      </c>
      <c r="N146" s="25"/>
      <c r="O146">
        <v>0</v>
      </c>
    </row>
    <row r="147" spans="1:15">
      <c r="A147" t="s">
        <v>262</v>
      </c>
      <c r="B147" t="s">
        <v>85</v>
      </c>
      <c r="C147" t="s">
        <v>94</v>
      </c>
      <c r="D147" t="s">
        <v>64</v>
      </c>
      <c r="E147" t="s">
        <v>65</v>
      </c>
      <c r="F147">
        <v>55</v>
      </c>
      <c r="G147" t="s">
        <v>59</v>
      </c>
      <c r="H147" s="24">
        <v>35019</v>
      </c>
      <c r="I147">
        <v>125936</v>
      </c>
      <c r="J147">
        <v>0.08</v>
      </c>
      <c r="K147">
        <v>136011</v>
      </c>
      <c r="L147" t="s">
        <v>66</v>
      </c>
      <c r="M147" t="s">
        <v>67</v>
      </c>
      <c r="N147" s="25"/>
      <c r="O147">
        <v>0</v>
      </c>
    </row>
    <row r="148" spans="1:15">
      <c r="A148" t="s">
        <v>263</v>
      </c>
      <c r="B148" t="s">
        <v>55</v>
      </c>
      <c r="C148" t="s">
        <v>82</v>
      </c>
      <c r="D148" t="s">
        <v>83</v>
      </c>
      <c r="E148" t="s">
        <v>58</v>
      </c>
      <c r="F148">
        <v>46</v>
      </c>
      <c r="G148" t="s">
        <v>72</v>
      </c>
      <c r="H148" s="24">
        <v>41473</v>
      </c>
      <c r="I148">
        <v>149712</v>
      </c>
      <c r="J148">
        <v>0.14</v>
      </c>
      <c r="K148">
        <v>170672</v>
      </c>
      <c r="L148" t="s">
        <v>60</v>
      </c>
      <c r="M148" t="s">
        <v>110</v>
      </c>
      <c r="N148" s="25"/>
      <c r="O148">
        <v>0</v>
      </c>
    </row>
    <row r="149" spans="1:15">
      <c r="A149" t="s">
        <v>264</v>
      </c>
      <c r="B149" t="s">
        <v>160</v>
      </c>
      <c r="C149" t="s">
        <v>98</v>
      </c>
      <c r="D149" t="s">
        <v>71</v>
      </c>
      <c r="E149" t="s">
        <v>65</v>
      </c>
      <c r="F149">
        <v>30</v>
      </c>
      <c r="G149" t="s">
        <v>76</v>
      </c>
      <c r="H149" s="24">
        <v>44471</v>
      </c>
      <c r="I149">
        <v>88758</v>
      </c>
      <c r="J149">
        <v>0</v>
      </c>
      <c r="K149">
        <v>88758</v>
      </c>
      <c r="L149" t="s">
        <v>60</v>
      </c>
      <c r="M149" t="s">
        <v>61</v>
      </c>
      <c r="N149" s="25"/>
      <c r="O149">
        <v>0</v>
      </c>
    </row>
    <row r="150" spans="1:15">
      <c r="A150" t="s">
        <v>265</v>
      </c>
      <c r="B150" t="s">
        <v>266</v>
      </c>
      <c r="C150" t="s">
        <v>56</v>
      </c>
      <c r="D150" t="s">
        <v>57</v>
      </c>
      <c r="E150" t="s">
        <v>65</v>
      </c>
      <c r="F150">
        <v>54</v>
      </c>
      <c r="G150" t="s">
        <v>72</v>
      </c>
      <c r="H150" s="24">
        <v>41468</v>
      </c>
      <c r="I150">
        <v>83639</v>
      </c>
      <c r="J150">
        <v>0</v>
      </c>
      <c r="K150">
        <v>83639</v>
      </c>
      <c r="L150" t="s">
        <v>66</v>
      </c>
      <c r="M150" t="s">
        <v>126</v>
      </c>
      <c r="N150" s="25"/>
      <c r="O150">
        <v>0</v>
      </c>
    </row>
    <row r="151" spans="1:15">
      <c r="A151" t="s">
        <v>267</v>
      </c>
      <c r="B151" t="s">
        <v>200</v>
      </c>
      <c r="C151" t="s">
        <v>56</v>
      </c>
      <c r="D151" t="s">
        <v>57</v>
      </c>
      <c r="E151" t="s">
        <v>58</v>
      </c>
      <c r="F151">
        <v>54</v>
      </c>
      <c r="G151" t="s">
        <v>72</v>
      </c>
      <c r="H151" s="24">
        <v>35933</v>
      </c>
      <c r="I151">
        <v>68268</v>
      </c>
      <c r="J151">
        <v>0</v>
      </c>
      <c r="K151">
        <v>68268</v>
      </c>
      <c r="L151" t="s">
        <v>60</v>
      </c>
      <c r="M151" t="s">
        <v>79</v>
      </c>
      <c r="N151" s="25"/>
      <c r="O151">
        <v>0</v>
      </c>
    </row>
    <row r="152" spans="1:15">
      <c r="A152" t="s">
        <v>268</v>
      </c>
      <c r="B152" t="s">
        <v>160</v>
      </c>
      <c r="C152" t="s">
        <v>98</v>
      </c>
      <c r="D152" t="s">
        <v>64</v>
      </c>
      <c r="E152" t="s">
        <v>65</v>
      </c>
      <c r="F152">
        <v>45</v>
      </c>
      <c r="G152" t="s">
        <v>72</v>
      </c>
      <c r="H152" s="24">
        <v>37313</v>
      </c>
      <c r="I152">
        <v>75819</v>
      </c>
      <c r="J152">
        <v>0</v>
      </c>
      <c r="K152">
        <v>75819</v>
      </c>
      <c r="L152" t="s">
        <v>113</v>
      </c>
      <c r="M152" t="s">
        <v>184</v>
      </c>
      <c r="N152" s="25"/>
      <c r="O152">
        <v>0</v>
      </c>
    </row>
    <row r="153" spans="1:15">
      <c r="A153" t="s">
        <v>269</v>
      </c>
      <c r="B153" t="s">
        <v>78</v>
      </c>
      <c r="C153" t="s">
        <v>82</v>
      </c>
      <c r="D153" t="s">
        <v>71</v>
      </c>
      <c r="E153" t="s">
        <v>58</v>
      </c>
      <c r="F153">
        <v>49</v>
      </c>
      <c r="G153" t="s">
        <v>72</v>
      </c>
      <c r="H153" s="24">
        <v>35200</v>
      </c>
      <c r="I153">
        <v>86658</v>
      </c>
      <c r="J153">
        <v>0</v>
      </c>
      <c r="K153">
        <v>86658</v>
      </c>
      <c r="L153" t="s">
        <v>60</v>
      </c>
      <c r="M153" t="s">
        <v>79</v>
      </c>
      <c r="N153" s="25"/>
      <c r="O153">
        <v>0</v>
      </c>
    </row>
    <row r="154" spans="1:15">
      <c r="A154" t="s">
        <v>270</v>
      </c>
      <c r="B154" t="s">
        <v>132</v>
      </c>
      <c r="C154" t="s">
        <v>70</v>
      </c>
      <c r="D154" t="s">
        <v>57</v>
      </c>
      <c r="E154" t="s">
        <v>65</v>
      </c>
      <c r="F154">
        <v>55</v>
      </c>
      <c r="G154" t="s">
        <v>59</v>
      </c>
      <c r="H154" s="24">
        <v>41714</v>
      </c>
      <c r="I154">
        <v>74552</v>
      </c>
      <c r="J154">
        <v>0</v>
      </c>
      <c r="K154">
        <v>74552</v>
      </c>
      <c r="L154" t="s">
        <v>66</v>
      </c>
      <c r="M154" t="s">
        <v>138</v>
      </c>
      <c r="N154" s="25"/>
      <c r="O154">
        <v>0</v>
      </c>
    </row>
    <row r="155" spans="1:15">
      <c r="A155" t="s">
        <v>271</v>
      </c>
      <c r="B155" t="s">
        <v>136</v>
      </c>
      <c r="C155" t="s">
        <v>56</v>
      </c>
      <c r="D155" t="s">
        <v>64</v>
      </c>
      <c r="E155" t="s">
        <v>58</v>
      </c>
      <c r="F155">
        <v>62</v>
      </c>
      <c r="G155" t="s">
        <v>59</v>
      </c>
      <c r="H155" s="24">
        <v>39887</v>
      </c>
      <c r="I155">
        <v>82839</v>
      </c>
      <c r="J155">
        <v>0</v>
      </c>
      <c r="K155">
        <v>82839</v>
      </c>
      <c r="L155" t="s">
        <v>60</v>
      </c>
      <c r="M155" t="s">
        <v>88</v>
      </c>
      <c r="N155" s="25"/>
      <c r="O155">
        <v>0</v>
      </c>
    </row>
    <row r="156" spans="1:15">
      <c r="A156" t="s">
        <v>272</v>
      </c>
      <c r="B156" t="s">
        <v>200</v>
      </c>
      <c r="C156" t="s">
        <v>56</v>
      </c>
      <c r="D156" t="s">
        <v>71</v>
      </c>
      <c r="E156" t="s">
        <v>58</v>
      </c>
      <c r="F156">
        <v>28</v>
      </c>
      <c r="G156" t="s">
        <v>76</v>
      </c>
      <c r="H156" s="24">
        <v>44477</v>
      </c>
      <c r="I156">
        <v>64475</v>
      </c>
      <c r="J156">
        <v>0</v>
      </c>
      <c r="K156">
        <v>64475</v>
      </c>
      <c r="L156" t="s">
        <v>60</v>
      </c>
      <c r="M156" t="s">
        <v>79</v>
      </c>
      <c r="N156" s="25"/>
      <c r="O156">
        <v>0</v>
      </c>
    </row>
    <row r="157" spans="1:15">
      <c r="A157" t="s">
        <v>273</v>
      </c>
      <c r="B157" t="s">
        <v>200</v>
      </c>
      <c r="C157" t="s">
        <v>56</v>
      </c>
      <c r="D157" t="s">
        <v>64</v>
      </c>
      <c r="E157" t="s">
        <v>65</v>
      </c>
      <c r="F157">
        <v>33</v>
      </c>
      <c r="G157" t="s">
        <v>76</v>
      </c>
      <c r="H157" s="24">
        <v>44036</v>
      </c>
      <c r="I157">
        <v>69453</v>
      </c>
      <c r="J157">
        <v>0</v>
      </c>
      <c r="K157">
        <v>69453</v>
      </c>
      <c r="L157" t="s">
        <v>66</v>
      </c>
      <c r="M157" t="s">
        <v>138</v>
      </c>
      <c r="N157" s="25"/>
      <c r="O157">
        <v>0</v>
      </c>
    </row>
    <row r="158" spans="1:15">
      <c r="A158" t="s">
        <v>274</v>
      </c>
      <c r="B158" t="s">
        <v>85</v>
      </c>
      <c r="C158" t="s">
        <v>56</v>
      </c>
      <c r="D158" t="s">
        <v>83</v>
      </c>
      <c r="E158" t="s">
        <v>65</v>
      </c>
      <c r="F158">
        <v>32</v>
      </c>
      <c r="G158" t="s">
        <v>76</v>
      </c>
      <c r="H158" s="24">
        <v>41642</v>
      </c>
      <c r="I158">
        <v>127148</v>
      </c>
      <c r="J158">
        <v>0.1</v>
      </c>
      <c r="K158">
        <v>139863</v>
      </c>
      <c r="L158" t="s">
        <v>60</v>
      </c>
      <c r="M158" t="s">
        <v>88</v>
      </c>
      <c r="N158" s="25"/>
      <c r="O158">
        <v>0</v>
      </c>
    </row>
    <row r="159" spans="1:15">
      <c r="A159" t="s">
        <v>275</v>
      </c>
      <c r="B159" t="s">
        <v>104</v>
      </c>
      <c r="C159" t="s">
        <v>70</v>
      </c>
      <c r="D159" t="s">
        <v>71</v>
      </c>
      <c r="E159" t="s">
        <v>58</v>
      </c>
      <c r="F159">
        <v>32</v>
      </c>
      <c r="G159" t="s">
        <v>76</v>
      </c>
      <c r="H159" s="24">
        <v>43102</v>
      </c>
      <c r="I159">
        <v>190253</v>
      </c>
      <c r="J159">
        <v>0.33</v>
      </c>
      <c r="K159">
        <v>253036</v>
      </c>
      <c r="L159" t="s">
        <v>60</v>
      </c>
      <c r="M159" t="s">
        <v>91</v>
      </c>
      <c r="N159" s="25"/>
      <c r="O159">
        <v>0</v>
      </c>
    </row>
    <row r="160" spans="1:15">
      <c r="A160" t="s">
        <v>276</v>
      </c>
      <c r="B160" t="s">
        <v>85</v>
      </c>
      <c r="C160" t="s">
        <v>90</v>
      </c>
      <c r="D160" t="s">
        <v>57</v>
      </c>
      <c r="E160" t="s">
        <v>65</v>
      </c>
      <c r="F160">
        <v>55</v>
      </c>
      <c r="G160" t="s">
        <v>59</v>
      </c>
      <c r="H160" s="24">
        <v>36644</v>
      </c>
      <c r="I160">
        <v>115798</v>
      </c>
      <c r="J160">
        <v>0.05</v>
      </c>
      <c r="K160">
        <v>121588</v>
      </c>
      <c r="L160" t="s">
        <v>60</v>
      </c>
      <c r="M160" t="s">
        <v>88</v>
      </c>
      <c r="N160" s="25"/>
      <c r="O160">
        <v>0</v>
      </c>
    </row>
    <row r="161" spans="1:15">
      <c r="A161" t="s">
        <v>277</v>
      </c>
      <c r="B161" t="s">
        <v>143</v>
      </c>
      <c r="C161" t="s">
        <v>94</v>
      </c>
      <c r="D161" t="s">
        <v>57</v>
      </c>
      <c r="E161" t="s">
        <v>58</v>
      </c>
      <c r="F161">
        <v>58</v>
      </c>
      <c r="G161" t="s">
        <v>59</v>
      </c>
      <c r="H161" s="24">
        <v>34567</v>
      </c>
      <c r="I161">
        <v>93102</v>
      </c>
      <c r="J161">
        <v>0</v>
      </c>
      <c r="K161">
        <v>93102</v>
      </c>
      <c r="L161" t="s">
        <v>60</v>
      </c>
      <c r="M161" t="s">
        <v>61</v>
      </c>
      <c r="N161" s="25">
        <v>41621</v>
      </c>
      <c r="O161">
        <v>1</v>
      </c>
    </row>
    <row r="162" spans="1:15">
      <c r="A162" t="s">
        <v>278</v>
      </c>
      <c r="B162" t="s">
        <v>125</v>
      </c>
      <c r="C162" t="s">
        <v>98</v>
      </c>
      <c r="D162" t="s">
        <v>71</v>
      </c>
      <c r="E162" t="s">
        <v>65</v>
      </c>
      <c r="F162">
        <v>34</v>
      </c>
      <c r="G162" t="s">
        <v>76</v>
      </c>
      <c r="H162" s="24">
        <v>43055</v>
      </c>
      <c r="I162">
        <v>110054</v>
      </c>
      <c r="J162">
        <v>0.15</v>
      </c>
      <c r="K162">
        <v>126562</v>
      </c>
      <c r="L162" t="s">
        <v>60</v>
      </c>
      <c r="M162" t="s">
        <v>88</v>
      </c>
      <c r="N162" s="25"/>
      <c r="O162">
        <v>0</v>
      </c>
    </row>
    <row r="163" spans="1:15">
      <c r="A163" t="s">
        <v>279</v>
      </c>
      <c r="B163" t="s">
        <v>122</v>
      </c>
      <c r="C163" t="s">
        <v>98</v>
      </c>
      <c r="D163" t="s">
        <v>57</v>
      </c>
      <c r="E163" t="s">
        <v>58</v>
      </c>
      <c r="F163">
        <v>27</v>
      </c>
      <c r="G163" t="s">
        <v>76</v>
      </c>
      <c r="H163" s="24">
        <v>44224</v>
      </c>
      <c r="I163">
        <v>95786</v>
      </c>
      <c r="J163">
        <v>0</v>
      </c>
      <c r="K163">
        <v>95786</v>
      </c>
      <c r="L163" t="s">
        <v>60</v>
      </c>
      <c r="M163" t="s">
        <v>73</v>
      </c>
      <c r="N163" s="25"/>
      <c r="O163">
        <v>0</v>
      </c>
    </row>
    <row r="164" spans="1:15">
      <c r="A164" t="s">
        <v>280</v>
      </c>
      <c r="B164" t="s">
        <v>78</v>
      </c>
      <c r="C164" t="s">
        <v>82</v>
      </c>
      <c r="D164" t="s">
        <v>71</v>
      </c>
      <c r="E164" t="s">
        <v>65</v>
      </c>
      <c r="F164">
        <v>61</v>
      </c>
      <c r="G164" t="s">
        <v>59</v>
      </c>
      <c r="H164" s="24">
        <v>42858</v>
      </c>
      <c r="I164">
        <v>90855</v>
      </c>
      <c r="J164">
        <v>0</v>
      </c>
      <c r="K164">
        <v>90855</v>
      </c>
      <c r="L164" t="s">
        <v>113</v>
      </c>
      <c r="M164" t="s">
        <v>184</v>
      </c>
      <c r="N164" s="25"/>
      <c r="O164">
        <v>0</v>
      </c>
    </row>
    <row r="165" spans="1:15">
      <c r="A165" t="s">
        <v>281</v>
      </c>
      <c r="B165" t="s">
        <v>136</v>
      </c>
      <c r="C165" t="s">
        <v>56</v>
      </c>
      <c r="D165" t="s">
        <v>64</v>
      </c>
      <c r="E165" t="s">
        <v>65</v>
      </c>
      <c r="F165">
        <v>47</v>
      </c>
      <c r="G165" t="s">
        <v>72</v>
      </c>
      <c r="H165" s="24">
        <v>36233</v>
      </c>
      <c r="I165">
        <v>92897</v>
      </c>
      <c r="J165">
        <v>0</v>
      </c>
      <c r="K165">
        <v>92897</v>
      </c>
      <c r="L165" t="s">
        <v>113</v>
      </c>
      <c r="M165" t="s">
        <v>184</v>
      </c>
      <c r="N165" s="25"/>
      <c r="O165">
        <v>0</v>
      </c>
    </row>
    <row r="166" spans="1:15">
      <c r="A166" t="s">
        <v>282</v>
      </c>
      <c r="B166" t="s">
        <v>104</v>
      </c>
      <c r="C166" t="s">
        <v>105</v>
      </c>
      <c r="D166" t="s">
        <v>71</v>
      </c>
      <c r="E166" t="s">
        <v>65</v>
      </c>
      <c r="F166">
        <v>40</v>
      </c>
      <c r="G166" t="s">
        <v>95</v>
      </c>
      <c r="H166" s="24">
        <v>39872</v>
      </c>
      <c r="I166">
        <v>242919</v>
      </c>
      <c r="J166">
        <v>0.31</v>
      </c>
      <c r="K166">
        <v>318224</v>
      </c>
      <c r="L166" t="s">
        <v>66</v>
      </c>
      <c r="M166" t="s">
        <v>67</v>
      </c>
      <c r="N166" s="25"/>
      <c r="O166">
        <v>0</v>
      </c>
    </row>
    <row r="167" spans="1:15">
      <c r="A167" t="s">
        <v>283</v>
      </c>
      <c r="B167" t="s">
        <v>69</v>
      </c>
      <c r="C167" t="s">
        <v>98</v>
      </c>
      <c r="D167" t="s">
        <v>71</v>
      </c>
      <c r="E167" t="s">
        <v>65</v>
      </c>
      <c r="F167">
        <v>30</v>
      </c>
      <c r="G167" t="s">
        <v>76</v>
      </c>
      <c r="H167" s="24">
        <v>43240</v>
      </c>
      <c r="I167">
        <v>184368</v>
      </c>
      <c r="J167">
        <v>0.29</v>
      </c>
      <c r="K167">
        <v>237835</v>
      </c>
      <c r="L167" t="s">
        <v>60</v>
      </c>
      <c r="M167" t="s">
        <v>91</v>
      </c>
      <c r="N167" s="25"/>
      <c r="O167">
        <v>0</v>
      </c>
    </row>
    <row r="168" spans="1:15">
      <c r="A168" t="s">
        <v>284</v>
      </c>
      <c r="B168" t="s">
        <v>55</v>
      </c>
      <c r="C168" t="s">
        <v>70</v>
      </c>
      <c r="D168" t="s">
        <v>83</v>
      </c>
      <c r="E168" t="s">
        <v>65</v>
      </c>
      <c r="F168">
        <v>45</v>
      </c>
      <c r="G168" t="s">
        <v>72</v>
      </c>
      <c r="H168" s="24">
        <v>44554</v>
      </c>
      <c r="I168">
        <v>144754</v>
      </c>
      <c r="J168">
        <v>0.15</v>
      </c>
      <c r="K168">
        <v>166467</v>
      </c>
      <c r="L168" t="s">
        <v>60</v>
      </c>
      <c r="M168" t="s">
        <v>79</v>
      </c>
      <c r="N168" s="25"/>
      <c r="O168">
        <v>0</v>
      </c>
    </row>
    <row r="169" spans="1:15">
      <c r="A169" t="s">
        <v>285</v>
      </c>
      <c r="B169" t="s">
        <v>225</v>
      </c>
      <c r="C169" t="s">
        <v>82</v>
      </c>
      <c r="D169" t="s">
        <v>57</v>
      </c>
      <c r="E169" t="s">
        <v>58</v>
      </c>
      <c r="F169">
        <v>30</v>
      </c>
      <c r="G169" t="s">
        <v>76</v>
      </c>
      <c r="H169" s="24">
        <v>42722</v>
      </c>
      <c r="I169">
        <v>89458</v>
      </c>
      <c r="J169">
        <v>0</v>
      </c>
      <c r="K169">
        <v>89458</v>
      </c>
      <c r="L169" t="s">
        <v>60</v>
      </c>
      <c r="M169" t="s">
        <v>91</v>
      </c>
      <c r="N169" s="25"/>
      <c r="O169">
        <v>0</v>
      </c>
    </row>
    <row r="170" spans="1:15">
      <c r="A170" t="s">
        <v>286</v>
      </c>
      <c r="B170" t="s">
        <v>104</v>
      </c>
      <c r="C170" t="s">
        <v>90</v>
      </c>
      <c r="D170" t="s">
        <v>83</v>
      </c>
      <c r="E170" t="s">
        <v>58</v>
      </c>
      <c r="F170">
        <v>56</v>
      </c>
      <c r="G170" t="s">
        <v>59</v>
      </c>
      <c r="H170" s="24">
        <v>41714</v>
      </c>
      <c r="I170">
        <v>190815</v>
      </c>
      <c r="J170">
        <v>0.4</v>
      </c>
      <c r="K170">
        <v>267141</v>
      </c>
      <c r="L170" t="s">
        <v>60</v>
      </c>
      <c r="M170" t="s">
        <v>91</v>
      </c>
      <c r="N170" s="25"/>
      <c r="O170">
        <v>0</v>
      </c>
    </row>
    <row r="171" spans="1:15">
      <c r="A171" t="s">
        <v>287</v>
      </c>
      <c r="B171" t="s">
        <v>55</v>
      </c>
      <c r="C171" t="s">
        <v>82</v>
      </c>
      <c r="D171" t="s">
        <v>57</v>
      </c>
      <c r="E171" t="s">
        <v>58</v>
      </c>
      <c r="F171">
        <v>62</v>
      </c>
      <c r="G171" t="s">
        <v>59</v>
      </c>
      <c r="H171" s="24">
        <v>36374</v>
      </c>
      <c r="I171">
        <v>137995</v>
      </c>
      <c r="J171">
        <v>0.14</v>
      </c>
      <c r="K171">
        <v>157314</v>
      </c>
      <c r="L171" t="s">
        <v>60</v>
      </c>
      <c r="M171" t="s">
        <v>91</v>
      </c>
      <c r="N171" s="25"/>
      <c r="O171">
        <v>0</v>
      </c>
    </row>
    <row r="172" spans="1:15">
      <c r="A172" t="s">
        <v>288</v>
      </c>
      <c r="B172" t="s">
        <v>143</v>
      </c>
      <c r="C172" t="s">
        <v>94</v>
      </c>
      <c r="D172" t="s">
        <v>64</v>
      </c>
      <c r="E172" t="s">
        <v>58</v>
      </c>
      <c r="F172">
        <v>45</v>
      </c>
      <c r="G172" t="s">
        <v>72</v>
      </c>
      <c r="H172" s="24">
        <v>39437</v>
      </c>
      <c r="I172">
        <v>93840</v>
      </c>
      <c r="J172">
        <v>0</v>
      </c>
      <c r="K172">
        <v>93840</v>
      </c>
      <c r="L172" t="s">
        <v>113</v>
      </c>
      <c r="M172" t="s">
        <v>114</v>
      </c>
      <c r="N172" s="25"/>
      <c r="O172">
        <v>0</v>
      </c>
    </row>
    <row r="173" spans="1:15">
      <c r="A173" t="s">
        <v>289</v>
      </c>
      <c r="B173" t="s">
        <v>63</v>
      </c>
      <c r="C173" t="s">
        <v>56</v>
      </c>
      <c r="D173" t="s">
        <v>57</v>
      </c>
      <c r="E173" t="s">
        <v>65</v>
      </c>
      <c r="F173">
        <v>46</v>
      </c>
      <c r="G173" t="s">
        <v>72</v>
      </c>
      <c r="H173" s="24">
        <v>44495</v>
      </c>
      <c r="I173">
        <v>94790</v>
      </c>
      <c r="J173">
        <v>0</v>
      </c>
      <c r="K173">
        <v>94790</v>
      </c>
      <c r="L173" t="s">
        <v>66</v>
      </c>
      <c r="M173" t="s">
        <v>67</v>
      </c>
      <c r="N173" s="25"/>
      <c r="O173">
        <v>0</v>
      </c>
    </row>
    <row r="174" spans="1:15">
      <c r="A174" t="s">
        <v>290</v>
      </c>
      <c r="B174" t="s">
        <v>104</v>
      </c>
      <c r="C174" t="s">
        <v>94</v>
      </c>
      <c r="D174" t="s">
        <v>57</v>
      </c>
      <c r="E174" t="s">
        <v>65</v>
      </c>
      <c r="F174">
        <v>48</v>
      </c>
      <c r="G174" t="s">
        <v>72</v>
      </c>
      <c r="H174" s="24">
        <v>41706</v>
      </c>
      <c r="I174">
        <v>197367</v>
      </c>
      <c r="J174">
        <v>0.39</v>
      </c>
      <c r="K174">
        <v>274340</v>
      </c>
      <c r="L174" t="s">
        <v>60</v>
      </c>
      <c r="M174" t="s">
        <v>91</v>
      </c>
      <c r="N174" s="25"/>
      <c r="O174">
        <v>0</v>
      </c>
    </row>
    <row r="175" spans="1:15">
      <c r="A175" t="s">
        <v>291</v>
      </c>
      <c r="B175" t="s">
        <v>69</v>
      </c>
      <c r="C175" t="s">
        <v>90</v>
      </c>
      <c r="D175" t="s">
        <v>64</v>
      </c>
      <c r="E175" t="s">
        <v>58</v>
      </c>
      <c r="F175">
        <v>27</v>
      </c>
      <c r="G175" t="s">
        <v>76</v>
      </c>
      <c r="H175" s="24">
        <v>43276</v>
      </c>
      <c r="I175">
        <v>174097</v>
      </c>
      <c r="J175">
        <v>0.21</v>
      </c>
      <c r="K175">
        <v>210657</v>
      </c>
      <c r="L175" t="s">
        <v>60</v>
      </c>
      <c r="M175" t="s">
        <v>79</v>
      </c>
      <c r="N175" s="25"/>
      <c r="O175">
        <v>0</v>
      </c>
    </row>
    <row r="176" spans="1:15">
      <c r="A176" t="s">
        <v>292</v>
      </c>
      <c r="B176" t="s">
        <v>85</v>
      </c>
      <c r="C176" t="s">
        <v>56</v>
      </c>
      <c r="D176" t="s">
        <v>71</v>
      </c>
      <c r="E176" t="s">
        <v>65</v>
      </c>
      <c r="F176">
        <v>53</v>
      </c>
      <c r="G176" t="s">
        <v>72</v>
      </c>
      <c r="H176" s="24">
        <v>39021</v>
      </c>
      <c r="I176">
        <v>120128</v>
      </c>
      <c r="J176">
        <v>0.1</v>
      </c>
      <c r="K176">
        <v>132141</v>
      </c>
      <c r="L176" t="s">
        <v>60</v>
      </c>
      <c r="M176" t="s">
        <v>91</v>
      </c>
      <c r="N176" s="25"/>
      <c r="O176">
        <v>0</v>
      </c>
    </row>
    <row r="177" spans="1:15">
      <c r="A177" t="s">
        <v>293</v>
      </c>
      <c r="B177" t="s">
        <v>85</v>
      </c>
      <c r="C177" t="s">
        <v>105</v>
      </c>
      <c r="D177" t="s">
        <v>64</v>
      </c>
      <c r="E177" t="s">
        <v>58</v>
      </c>
      <c r="F177">
        <v>59</v>
      </c>
      <c r="G177" t="s">
        <v>59</v>
      </c>
      <c r="H177" s="24">
        <v>39197</v>
      </c>
      <c r="I177">
        <v>129708</v>
      </c>
      <c r="J177">
        <v>0.05</v>
      </c>
      <c r="K177">
        <v>136193</v>
      </c>
      <c r="L177" t="s">
        <v>60</v>
      </c>
      <c r="M177" t="s">
        <v>88</v>
      </c>
      <c r="N177" s="25"/>
      <c r="O177">
        <v>0</v>
      </c>
    </row>
    <row r="178" spans="1:15">
      <c r="A178" t="s">
        <v>294</v>
      </c>
      <c r="B178" t="s">
        <v>85</v>
      </c>
      <c r="C178" t="s">
        <v>105</v>
      </c>
      <c r="D178" t="s">
        <v>57</v>
      </c>
      <c r="E178" t="s">
        <v>65</v>
      </c>
      <c r="F178">
        <v>55</v>
      </c>
      <c r="G178" t="s">
        <v>59</v>
      </c>
      <c r="H178" s="24">
        <v>34595</v>
      </c>
      <c r="I178">
        <v>102270</v>
      </c>
      <c r="J178">
        <v>0.1</v>
      </c>
      <c r="K178">
        <v>112497</v>
      </c>
      <c r="L178" t="s">
        <v>60</v>
      </c>
      <c r="M178" t="s">
        <v>73</v>
      </c>
      <c r="N178" s="25"/>
      <c r="O178">
        <v>0</v>
      </c>
    </row>
    <row r="179" spans="1:15">
      <c r="A179" t="s">
        <v>295</v>
      </c>
      <c r="B179" t="s">
        <v>104</v>
      </c>
      <c r="C179" t="s">
        <v>70</v>
      </c>
      <c r="D179" t="s">
        <v>71</v>
      </c>
      <c r="E179" t="s">
        <v>58</v>
      </c>
      <c r="F179">
        <v>43</v>
      </c>
      <c r="G179" t="s">
        <v>95</v>
      </c>
      <c r="H179" s="24">
        <v>38564</v>
      </c>
      <c r="I179">
        <v>249686</v>
      </c>
      <c r="J179">
        <v>0.31</v>
      </c>
      <c r="K179">
        <v>327089</v>
      </c>
      <c r="L179" t="s">
        <v>66</v>
      </c>
      <c r="M179" t="s">
        <v>67</v>
      </c>
      <c r="N179" s="25"/>
      <c r="O179">
        <v>0</v>
      </c>
    </row>
    <row r="180" spans="1:15">
      <c r="A180" t="s">
        <v>296</v>
      </c>
      <c r="B180" t="s">
        <v>87</v>
      </c>
      <c r="C180" t="s">
        <v>70</v>
      </c>
      <c r="D180" t="s">
        <v>64</v>
      </c>
      <c r="E180" t="s">
        <v>58</v>
      </c>
      <c r="F180">
        <v>55</v>
      </c>
      <c r="G180" t="s">
        <v>59</v>
      </c>
      <c r="H180" s="24">
        <v>37343</v>
      </c>
      <c r="I180">
        <v>50475</v>
      </c>
      <c r="J180">
        <v>0</v>
      </c>
      <c r="K180">
        <v>50475</v>
      </c>
      <c r="L180" t="s">
        <v>60</v>
      </c>
      <c r="M180" t="s">
        <v>110</v>
      </c>
      <c r="N180" s="25"/>
      <c r="O180">
        <v>0</v>
      </c>
    </row>
    <row r="181" spans="1:15">
      <c r="A181" t="s">
        <v>297</v>
      </c>
      <c r="B181" t="s">
        <v>85</v>
      </c>
      <c r="C181" t="s">
        <v>105</v>
      </c>
      <c r="D181" t="s">
        <v>57</v>
      </c>
      <c r="E181" t="s">
        <v>65</v>
      </c>
      <c r="F181">
        <v>51</v>
      </c>
      <c r="G181" t="s">
        <v>72</v>
      </c>
      <c r="H181" s="24">
        <v>44014</v>
      </c>
      <c r="I181">
        <v>100099</v>
      </c>
      <c r="J181">
        <v>0.08</v>
      </c>
      <c r="K181">
        <v>108107</v>
      </c>
      <c r="L181" t="s">
        <v>60</v>
      </c>
      <c r="M181" t="s">
        <v>88</v>
      </c>
      <c r="N181" s="25"/>
      <c r="O181">
        <v>0</v>
      </c>
    </row>
    <row r="182" spans="1:15">
      <c r="A182" t="s">
        <v>298</v>
      </c>
      <c r="B182" t="s">
        <v>129</v>
      </c>
      <c r="C182" t="s">
        <v>56</v>
      </c>
      <c r="D182" t="s">
        <v>64</v>
      </c>
      <c r="E182" t="s">
        <v>58</v>
      </c>
      <c r="F182">
        <v>54</v>
      </c>
      <c r="G182" t="s">
        <v>72</v>
      </c>
      <c r="H182" s="24">
        <v>42731</v>
      </c>
      <c r="I182">
        <v>41673</v>
      </c>
      <c r="J182">
        <v>0</v>
      </c>
      <c r="K182">
        <v>41673</v>
      </c>
      <c r="L182" t="s">
        <v>60</v>
      </c>
      <c r="M182" t="s">
        <v>88</v>
      </c>
      <c r="N182" s="25"/>
      <c r="O182">
        <v>0</v>
      </c>
    </row>
    <row r="183" spans="1:15">
      <c r="A183" t="s">
        <v>299</v>
      </c>
      <c r="B183" t="s">
        <v>78</v>
      </c>
      <c r="C183" t="s">
        <v>105</v>
      </c>
      <c r="D183" t="s">
        <v>71</v>
      </c>
      <c r="E183" t="s">
        <v>58</v>
      </c>
      <c r="F183">
        <v>47</v>
      </c>
      <c r="G183" t="s">
        <v>72</v>
      </c>
      <c r="H183" s="24">
        <v>42928</v>
      </c>
      <c r="I183">
        <v>70996</v>
      </c>
      <c r="J183">
        <v>0</v>
      </c>
      <c r="K183">
        <v>70996</v>
      </c>
      <c r="L183" t="s">
        <v>66</v>
      </c>
      <c r="M183" t="s">
        <v>138</v>
      </c>
      <c r="N183" s="25"/>
      <c r="O183">
        <v>0</v>
      </c>
    </row>
    <row r="184" spans="1:15">
      <c r="A184" t="s">
        <v>300</v>
      </c>
      <c r="B184" t="s">
        <v>87</v>
      </c>
      <c r="C184" t="s">
        <v>105</v>
      </c>
      <c r="D184" t="s">
        <v>83</v>
      </c>
      <c r="E184" t="s">
        <v>65</v>
      </c>
      <c r="F184">
        <v>55</v>
      </c>
      <c r="G184" t="s">
        <v>59</v>
      </c>
      <c r="H184" s="24">
        <v>38328</v>
      </c>
      <c r="I184">
        <v>40752</v>
      </c>
      <c r="J184">
        <v>0</v>
      </c>
      <c r="K184">
        <v>40752</v>
      </c>
      <c r="L184" t="s">
        <v>60</v>
      </c>
      <c r="M184" t="s">
        <v>79</v>
      </c>
      <c r="N184" s="25"/>
      <c r="O184">
        <v>0</v>
      </c>
    </row>
    <row r="185" spans="1:15">
      <c r="A185" t="s">
        <v>301</v>
      </c>
      <c r="B185" t="s">
        <v>202</v>
      </c>
      <c r="C185" t="s">
        <v>56</v>
      </c>
      <c r="D185" t="s">
        <v>64</v>
      </c>
      <c r="E185" t="s">
        <v>58</v>
      </c>
      <c r="F185">
        <v>50</v>
      </c>
      <c r="G185" t="s">
        <v>72</v>
      </c>
      <c r="H185" s="24">
        <v>36914</v>
      </c>
      <c r="I185">
        <v>97537</v>
      </c>
      <c r="J185">
        <v>0</v>
      </c>
      <c r="K185">
        <v>97537</v>
      </c>
      <c r="L185" t="s">
        <v>66</v>
      </c>
      <c r="M185" t="s">
        <v>138</v>
      </c>
      <c r="N185" s="25"/>
      <c r="O185">
        <v>0</v>
      </c>
    </row>
    <row r="186" spans="1:15">
      <c r="A186" t="s">
        <v>302</v>
      </c>
      <c r="B186" t="s">
        <v>303</v>
      </c>
      <c r="C186" t="s">
        <v>56</v>
      </c>
      <c r="D186" t="s">
        <v>57</v>
      </c>
      <c r="E186" t="s">
        <v>65</v>
      </c>
      <c r="F186">
        <v>31</v>
      </c>
      <c r="G186" t="s">
        <v>76</v>
      </c>
      <c r="H186" s="24">
        <v>44086</v>
      </c>
      <c r="I186">
        <v>96567</v>
      </c>
      <c r="J186">
        <v>0</v>
      </c>
      <c r="K186">
        <v>96567</v>
      </c>
      <c r="L186" t="s">
        <v>66</v>
      </c>
      <c r="M186" t="s">
        <v>101</v>
      </c>
      <c r="N186" s="25"/>
      <c r="O186">
        <v>0</v>
      </c>
    </row>
    <row r="187" spans="1:15">
      <c r="A187" t="s">
        <v>304</v>
      </c>
      <c r="B187" t="s">
        <v>244</v>
      </c>
      <c r="C187" t="s">
        <v>56</v>
      </c>
      <c r="D187" t="s">
        <v>71</v>
      </c>
      <c r="E187" t="s">
        <v>65</v>
      </c>
      <c r="F187">
        <v>47</v>
      </c>
      <c r="G187" t="s">
        <v>72</v>
      </c>
      <c r="H187" s="24">
        <v>36229</v>
      </c>
      <c r="I187">
        <v>49404</v>
      </c>
      <c r="J187">
        <v>0</v>
      </c>
      <c r="K187">
        <v>49404</v>
      </c>
      <c r="L187" t="s">
        <v>66</v>
      </c>
      <c r="M187" t="s">
        <v>126</v>
      </c>
      <c r="N187" s="25"/>
      <c r="O187">
        <v>0</v>
      </c>
    </row>
    <row r="188" spans="1:15">
      <c r="A188" t="s">
        <v>305</v>
      </c>
      <c r="B188" t="s">
        <v>303</v>
      </c>
      <c r="C188" t="s">
        <v>56</v>
      </c>
      <c r="D188" t="s">
        <v>57</v>
      </c>
      <c r="E188" t="s">
        <v>65</v>
      </c>
      <c r="F188">
        <v>29</v>
      </c>
      <c r="G188" t="s">
        <v>76</v>
      </c>
      <c r="H188" s="24">
        <v>43753</v>
      </c>
      <c r="I188">
        <v>66819</v>
      </c>
      <c r="J188">
        <v>0</v>
      </c>
      <c r="K188">
        <v>66819</v>
      </c>
      <c r="L188" t="s">
        <v>113</v>
      </c>
      <c r="M188" t="s">
        <v>117</v>
      </c>
      <c r="N188" s="25"/>
      <c r="O188">
        <v>0</v>
      </c>
    </row>
    <row r="189" spans="1:15">
      <c r="A189" t="s">
        <v>306</v>
      </c>
      <c r="B189" t="s">
        <v>87</v>
      </c>
      <c r="C189" t="s">
        <v>105</v>
      </c>
      <c r="D189" t="s">
        <v>71</v>
      </c>
      <c r="E189" t="s">
        <v>65</v>
      </c>
      <c r="F189">
        <v>38</v>
      </c>
      <c r="G189" t="s">
        <v>95</v>
      </c>
      <c r="H189" s="24">
        <v>42492</v>
      </c>
      <c r="I189">
        <v>50784</v>
      </c>
      <c r="J189">
        <v>0</v>
      </c>
      <c r="K189">
        <v>50784</v>
      </c>
      <c r="L189" t="s">
        <v>113</v>
      </c>
      <c r="M189" t="s">
        <v>117</v>
      </c>
      <c r="N189" s="25"/>
      <c r="O189">
        <v>0</v>
      </c>
    </row>
    <row r="190" spans="1:15">
      <c r="A190" t="s">
        <v>307</v>
      </c>
      <c r="B190" t="s">
        <v>55</v>
      </c>
      <c r="C190" t="s">
        <v>94</v>
      </c>
      <c r="D190" t="s">
        <v>57</v>
      </c>
      <c r="E190" t="s">
        <v>65</v>
      </c>
      <c r="F190">
        <v>29</v>
      </c>
      <c r="G190" t="s">
        <v>76</v>
      </c>
      <c r="H190" s="24">
        <v>43594</v>
      </c>
      <c r="I190">
        <v>125828</v>
      </c>
      <c r="J190">
        <v>0.15</v>
      </c>
      <c r="K190">
        <v>144702</v>
      </c>
      <c r="L190" t="s">
        <v>113</v>
      </c>
      <c r="M190" t="s">
        <v>184</v>
      </c>
      <c r="N190" s="25"/>
      <c r="O190">
        <v>0</v>
      </c>
    </row>
    <row r="191" spans="1:15">
      <c r="A191" t="s">
        <v>308</v>
      </c>
      <c r="B191" t="s">
        <v>143</v>
      </c>
      <c r="C191" t="s">
        <v>94</v>
      </c>
      <c r="D191" t="s">
        <v>64</v>
      </c>
      <c r="E191" t="s">
        <v>65</v>
      </c>
      <c r="F191">
        <v>33</v>
      </c>
      <c r="G191" t="s">
        <v>76</v>
      </c>
      <c r="H191" s="24">
        <v>42951</v>
      </c>
      <c r="I191">
        <v>92610</v>
      </c>
      <c r="J191">
        <v>0</v>
      </c>
      <c r="K191">
        <v>92610</v>
      </c>
      <c r="L191" t="s">
        <v>60</v>
      </c>
      <c r="M191" t="s">
        <v>110</v>
      </c>
      <c r="N191" s="25"/>
      <c r="O191">
        <v>0</v>
      </c>
    </row>
    <row r="192" spans="1:15">
      <c r="A192" t="s">
        <v>309</v>
      </c>
      <c r="B192" t="s">
        <v>55</v>
      </c>
      <c r="C192" t="s">
        <v>82</v>
      </c>
      <c r="D192" t="s">
        <v>71</v>
      </c>
      <c r="E192" t="s">
        <v>65</v>
      </c>
      <c r="F192">
        <v>50</v>
      </c>
      <c r="G192" t="s">
        <v>72</v>
      </c>
      <c r="H192" s="24">
        <v>37705</v>
      </c>
      <c r="I192">
        <v>123405</v>
      </c>
      <c r="J192">
        <v>0.13</v>
      </c>
      <c r="K192">
        <v>139448</v>
      </c>
      <c r="L192" t="s">
        <v>60</v>
      </c>
      <c r="M192" t="s">
        <v>110</v>
      </c>
      <c r="N192" s="25"/>
      <c r="O192">
        <v>0</v>
      </c>
    </row>
    <row r="193" spans="1:15">
      <c r="A193" t="s">
        <v>310</v>
      </c>
      <c r="B193" t="s">
        <v>81</v>
      </c>
      <c r="C193" t="s">
        <v>82</v>
      </c>
      <c r="D193" t="s">
        <v>64</v>
      </c>
      <c r="E193" t="s">
        <v>58</v>
      </c>
      <c r="F193">
        <v>46</v>
      </c>
      <c r="G193" t="s">
        <v>72</v>
      </c>
      <c r="H193" s="24">
        <v>38066</v>
      </c>
      <c r="I193">
        <v>73004</v>
      </c>
      <c r="J193">
        <v>0</v>
      </c>
      <c r="K193">
        <v>73004</v>
      </c>
      <c r="L193" t="s">
        <v>66</v>
      </c>
      <c r="M193" t="s">
        <v>126</v>
      </c>
      <c r="N193" s="25"/>
      <c r="O193">
        <v>0</v>
      </c>
    </row>
    <row r="194" spans="1:15">
      <c r="A194" t="s">
        <v>311</v>
      </c>
      <c r="B194" t="s">
        <v>125</v>
      </c>
      <c r="C194" t="s">
        <v>98</v>
      </c>
      <c r="D194" t="s">
        <v>83</v>
      </c>
      <c r="E194" t="s">
        <v>65</v>
      </c>
      <c r="F194">
        <v>57</v>
      </c>
      <c r="G194" t="s">
        <v>59</v>
      </c>
      <c r="H194" s="24">
        <v>36275</v>
      </c>
      <c r="I194">
        <v>95061</v>
      </c>
      <c r="J194">
        <v>0.1</v>
      </c>
      <c r="K194">
        <v>104567</v>
      </c>
      <c r="L194" t="s">
        <v>66</v>
      </c>
      <c r="M194" t="s">
        <v>101</v>
      </c>
      <c r="N194" s="25"/>
      <c r="O194">
        <v>0</v>
      </c>
    </row>
    <row r="195" spans="1:15">
      <c r="A195" t="s">
        <v>312</v>
      </c>
      <c r="B195" t="s">
        <v>69</v>
      </c>
      <c r="C195" t="s">
        <v>82</v>
      </c>
      <c r="D195" t="s">
        <v>83</v>
      </c>
      <c r="E195" t="s">
        <v>58</v>
      </c>
      <c r="F195">
        <v>49</v>
      </c>
      <c r="G195" t="s">
        <v>72</v>
      </c>
      <c r="H195" s="24">
        <v>35887</v>
      </c>
      <c r="I195">
        <v>160832</v>
      </c>
      <c r="J195">
        <v>0.3</v>
      </c>
      <c r="K195">
        <v>209082</v>
      </c>
      <c r="L195" t="s">
        <v>60</v>
      </c>
      <c r="M195" t="s">
        <v>79</v>
      </c>
      <c r="N195" s="25"/>
      <c r="O195">
        <v>0</v>
      </c>
    </row>
    <row r="196" spans="1:15">
      <c r="A196" t="s">
        <v>313</v>
      </c>
      <c r="B196" t="s">
        <v>314</v>
      </c>
      <c r="C196" t="s">
        <v>56</v>
      </c>
      <c r="D196" t="s">
        <v>64</v>
      </c>
      <c r="E196" t="s">
        <v>65</v>
      </c>
      <c r="F196">
        <v>54</v>
      </c>
      <c r="G196" t="s">
        <v>72</v>
      </c>
      <c r="H196" s="24">
        <v>40540</v>
      </c>
      <c r="I196">
        <v>64417</v>
      </c>
      <c r="J196">
        <v>0</v>
      </c>
      <c r="K196">
        <v>64417</v>
      </c>
      <c r="L196" t="s">
        <v>60</v>
      </c>
      <c r="M196" t="s">
        <v>110</v>
      </c>
      <c r="N196" s="25"/>
      <c r="O196">
        <v>0</v>
      </c>
    </row>
    <row r="197" spans="1:15">
      <c r="A197" t="s">
        <v>315</v>
      </c>
      <c r="B197" t="s">
        <v>85</v>
      </c>
      <c r="C197" t="s">
        <v>82</v>
      </c>
      <c r="D197" t="s">
        <v>83</v>
      </c>
      <c r="E197" t="s">
        <v>65</v>
      </c>
      <c r="F197">
        <v>28</v>
      </c>
      <c r="G197" t="s">
        <v>76</v>
      </c>
      <c r="H197" s="24">
        <v>44274</v>
      </c>
      <c r="I197">
        <v>127543</v>
      </c>
      <c r="J197">
        <v>0.06</v>
      </c>
      <c r="K197">
        <v>135196</v>
      </c>
      <c r="L197" t="s">
        <v>66</v>
      </c>
      <c r="M197" t="s">
        <v>101</v>
      </c>
      <c r="N197" s="25"/>
      <c r="O197">
        <v>0</v>
      </c>
    </row>
    <row r="198" spans="1:15">
      <c r="A198" t="s">
        <v>316</v>
      </c>
      <c r="B198" t="s">
        <v>87</v>
      </c>
      <c r="C198" t="s">
        <v>105</v>
      </c>
      <c r="D198" t="s">
        <v>64</v>
      </c>
      <c r="E198" t="s">
        <v>65</v>
      </c>
      <c r="F198">
        <v>30</v>
      </c>
      <c r="G198" t="s">
        <v>76</v>
      </c>
      <c r="H198" s="24">
        <v>43272</v>
      </c>
      <c r="I198">
        <v>56154</v>
      </c>
      <c r="J198">
        <v>0</v>
      </c>
      <c r="K198">
        <v>56154</v>
      </c>
      <c r="L198" t="s">
        <v>113</v>
      </c>
      <c r="M198" t="s">
        <v>184</v>
      </c>
      <c r="N198" s="25"/>
      <c r="O198">
        <v>0</v>
      </c>
    </row>
    <row r="199" spans="1:15">
      <c r="A199" t="s">
        <v>317</v>
      </c>
      <c r="B199" t="s">
        <v>104</v>
      </c>
      <c r="C199" t="s">
        <v>82</v>
      </c>
      <c r="D199" t="s">
        <v>64</v>
      </c>
      <c r="E199" t="s">
        <v>58</v>
      </c>
      <c r="F199">
        <v>36</v>
      </c>
      <c r="G199" t="s">
        <v>95</v>
      </c>
      <c r="H199" s="24">
        <v>41692</v>
      </c>
      <c r="I199">
        <v>218530</v>
      </c>
      <c r="J199">
        <v>0.3</v>
      </c>
      <c r="K199">
        <v>284089</v>
      </c>
      <c r="L199" t="s">
        <v>66</v>
      </c>
      <c r="M199" t="s">
        <v>101</v>
      </c>
      <c r="N199" s="25"/>
      <c r="O199">
        <v>0</v>
      </c>
    </row>
    <row r="200" spans="1:15">
      <c r="A200" t="s">
        <v>318</v>
      </c>
      <c r="B200" t="s">
        <v>314</v>
      </c>
      <c r="C200" t="s">
        <v>56</v>
      </c>
      <c r="D200" t="s">
        <v>64</v>
      </c>
      <c r="E200" t="s">
        <v>58</v>
      </c>
      <c r="F200">
        <v>36</v>
      </c>
      <c r="G200" t="s">
        <v>95</v>
      </c>
      <c r="H200" s="24">
        <v>43818</v>
      </c>
      <c r="I200">
        <v>91954</v>
      </c>
      <c r="J200">
        <v>0</v>
      </c>
      <c r="K200">
        <v>91954</v>
      </c>
      <c r="L200" t="s">
        <v>60</v>
      </c>
      <c r="M200" t="s">
        <v>110</v>
      </c>
      <c r="N200" s="25"/>
      <c r="O200">
        <v>0</v>
      </c>
    </row>
    <row r="201" spans="1:15">
      <c r="A201" t="s">
        <v>319</v>
      </c>
      <c r="B201" t="s">
        <v>104</v>
      </c>
      <c r="C201" t="s">
        <v>105</v>
      </c>
      <c r="D201" t="s">
        <v>83</v>
      </c>
      <c r="E201" t="s">
        <v>58</v>
      </c>
      <c r="F201">
        <v>30</v>
      </c>
      <c r="G201" t="s">
        <v>76</v>
      </c>
      <c r="H201" s="24">
        <v>42634</v>
      </c>
      <c r="I201">
        <v>221217</v>
      </c>
      <c r="J201">
        <v>0.32</v>
      </c>
      <c r="K201">
        <v>292006</v>
      </c>
      <c r="L201" t="s">
        <v>60</v>
      </c>
      <c r="M201" t="s">
        <v>110</v>
      </c>
      <c r="N201" s="25">
        <v>43003</v>
      </c>
      <c r="O201">
        <v>1</v>
      </c>
    </row>
    <row r="202" spans="1:15">
      <c r="A202" t="s">
        <v>320</v>
      </c>
      <c r="B202" t="s">
        <v>228</v>
      </c>
      <c r="C202" t="s">
        <v>56</v>
      </c>
      <c r="D202" t="s">
        <v>64</v>
      </c>
      <c r="E202" t="s">
        <v>65</v>
      </c>
      <c r="F202">
        <v>29</v>
      </c>
      <c r="G202" t="s">
        <v>76</v>
      </c>
      <c r="H202" s="24">
        <v>42866</v>
      </c>
      <c r="I202">
        <v>87536</v>
      </c>
      <c r="J202">
        <v>0</v>
      </c>
      <c r="K202">
        <v>87536</v>
      </c>
      <c r="L202" t="s">
        <v>60</v>
      </c>
      <c r="M202" t="s">
        <v>61</v>
      </c>
      <c r="N202" s="25"/>
      <c r="O202">
        <v>0</v>
      </c>
    </row>
    <row r="203" spans="1:15">
      <c r="A203" t="s">
        <v>321</v>
      </c>
      <c r="B203" t="s">
        <v>87</v>
      </c>
      <c r="C203" t="s">
        <v>82</v>
      </c>
      <c r="D203" t="s">
        <v>83</v>
      </c>
      <c r="E203" t="s">
        <v>58</v>
      </c>
      <c r="F203">
        <v>47</v>
      </c>
      <c r="G203" t="s">
        <v>72</v>
      </c>
      <c r="H203" s="24">
        <v>42164</v>
      </c>
      <c r="I203">
        <v>41429</v>
      </c>
      <c r="J203">
        <v>0</v>
      </c>
      <c r="K203">
        <v>41429</v>
      </c>
      <c r="L203" t="s">
        <v>60</v>
      </c>
      <c r="M203" t="s">
        <v>61</v>
      </c>
      <c r="N203" s="25"/>
      <c r="O203">
        <v>0</v>
      </c>
    </row>
    <row r="204" spans="1:15">
      <c r="A204" t="s">
        <v>322</v>
      </c>
      <c r="B204" t="s">
        <v>104</v>
      </c>
      <c r="C204" t="s">
        <v>98</v>
      </c>
      <c r="D204" t="s">
        <v>64</v>
      </c>
      <c r="E204" t="s">
        <v>65</v>
      </c>
      <c r="F204">
        <v>35</v>
      </c>
      <c r="G204" t="s">
        <v>95</v>
      </c>
      <c r="H204" s="24">
        <v>40826</v>
      </c>
      <c r="I204">
        <v>245482</v>
      </c>
      <c r="J204">
        <v>0.39</v>
      </c>
      <c r="K204">
        <v>341220</v>
      </c>
      <c r="L204" t="s">
        <v>60</v>
      </c>
      <c r="M204" t="s">
        <v>61</v>
      </c>
      <c r="N204" s="25"/>
      <c r="O204">
        <v>0</v>
      </c>
    </row>
    <row r="205" spans="1:15">
      <c r="A205" t="s">
        <v>323</v>
      </c>
      <c r="B205" t="s">
        <v>216</v>
      </c>
      <c r="C205" t="s">
        <v>98</v>
      </c>
      <c r="D205" t="s">
        <v>64</v>
      </c>
      <c r="E205" t="s">
        <v>58</v>
      </c>
      <c r="F205">
        <v>25</v>
      </c>
      <c r="G205" t="s">
        <v>76</v>
      </c>
      <c r="H205" s="24">
        <v>43850</v>
      </c>
      <c r="I205">
        <v>71359</v>
      </c>
      <c r="J205">
        <v>0</v>
      </c>
      <c r="K205">
        <v>71359</v>
      </c>
      <c r="L205" t="s">
        <v>60</v>
      </c>
      <c r="M205" t="s">
        <v>79</v>
      </c>
      <c r="N205" s="25"/>
      <c r="O205">
        <v>0</v>
      </c>
    </row>
    <row r="206" spans="1:15">
      <c r="A206" t="s">
        <v>324</v>
      </c>
      <c r="B206" t="s">
        <v>69</v>
      </c>
      <c r="C206" t="s">
        <v>98</v>
      </c>
      <c r="D206" t="s">
        <v>71</v>
      </c>
      <c r="E206" t="s">
        <v>65</v>
      </c>
      <c r="F206">
        <v>45</v>
      </c>
      <c r="G206" t="s">
        <v>72</v>
      </c>
      <c r="H206" s="24">
        <v>41879</v>
      </c>
      <c r="I206">
        <v>183161</v>
      </c>
      <c r="J206">
        <v>0.22</v>
      </c>
      <c r="K206">
        <v>223456</v>
      </c>
      <c r="L206" t="s">
        <v>60</v>
      </c>
      <c r="M206" t="s">
        <v>88</v>
      </c>
      <c r="N206" s="25"/>
      <c r="O206">
        <v>0</v>
      </c>
    </row>
    <row r="207" spans="1:15">
      <c r="A207" t="s">
        <v>325</v>
      </c>
      <c r="B207" t="s">
        <v>326</v>
      </c>
      <c r="C207" t="s">
        <v>56</v>
      </c>
      <c r="D207" t="s">
        <v>83</v>
      </c>
      <c r="E207" t="s">
        <v>65</v>
      </c>
      <c r="F207">
        <v>58</v>
      </c>
      <c r="G207" t="s">
        <v>59</v>
      </c>
      <c r="H207" s="24">
        <v>34176</v>
      </c>
      <c r="I207">
        <v>69260</v>
      </c>
      <c r="J207">
        <v>0</v>
      </c>
      <c r="K207">
        <v>69260</v>
      </c>
      <c r="L207" t="s">
        <v>60</v>
      </c>
      <c r="M207" t="s">
        <v>79</v>
      </c>
      <c r="N207" s="25"/>
      <c r="O207">
        <v>0</v>
      </c>
    </row>
    <row r="208" spans="1:15">
      <c r="A208" t="s">
        <v>327</v>
      </c>
      <c r="B208" t="s">
        <v>164</v>
      </c>
      <c r="C208" t="s">
        <v>98</v>
      </c>
      <c r="D208" t="s">
        <v>71</v>
      </c>
      <c r="E208" t="s">
        <v>65</v>
      </c>
      <c r="F208">
        <v>51</v>
      </c>
      <c r="G208" t="s">
        <v>72</v>
      </c>
      <c r="H208" s="24">
        <v>36442</v>
      </c>
      <c r="I208">
        <v>95639</v>
      </c>
      <c r="J208">
        <v>0</v>
      </c>
      <c r="K208">
        <v>95639</v>
      </c>
      <c r="L208" t="s">
        <v>60</v>
      </c>
      <c r="M208" t="s">
        <v>91</v>
      </c>
      <c r="N208" s="25"/>
      <c r="O208">
        <v>0</v>
      </c>
    </row>
    <row r="209" spans="1:15">
      <c r="A209" t="s">
        <v>328</v>
      </c>
      <c r="B209" t="s">
        <v>85</v>
      </c>
      <c r="C209" t="s">
        <v>94</v>
      </c>
      <c r="D209" t="s">
        <v>57</v>
      </c>
      <c r="E209" t="s">
        <v>65</v>
      </c>
      <c r="F209">
        <v>48</v>
      </c>
      <c r="G209" t="s">
        <v>72</v>
      </c>
      <c r="H209" s="24">
        <v>38168</v>
      </c>
      <c r="I209">
        <v>120660</v>
      </c>
      <c r="J209">
        <v>0.07</v>
      </c>
      <c r="K209">
        <v>129106</v>
      </c>
      <c r="L209" t="s">
        <v>66</v>
      </c>
      <c r="M209" t="s">
        <v>138</v>
      </c>
      <c r="N209" s="25"/>
      <c r="O209">
        <v>0</v>
      </c>
    </row>
    <row r="210" spans="1:15">
      <c r="A210" t="s">
        <v>329</v>
      </c>
      <c r="B210" t="s">
        <v>78</v>
      </c>
      <c r="C210" t="s">
        <v>82</v>
      </c>
      <c r="D210" t="s">
        <v>83</v>
      </c>
      <c r="E210" t="s">
        <v>65</v>
      </c>
      <c r="F210">
        <v>36</v>
      </c>
      <c r="G210" t="s">
        <v>95</v>
      </c>
      <c r="H210" s="24">
        <v>44556</v>
      </c>
      <c r="I210">
        <v>75119</v>
      </c>
      <c r="J210">
        <v>0</v>
      </c>
      <c r="K210">
        <v>75119</v>
      </c>
      <c r="L210" t="s">
        <v>60</v>
      </c>
      <c r="M210" t="s">
        <v>73</v>
      </c>
      <c r="N210" s="25"/>
      <c r="O210">
        <v>0</v>
      </c>
    </row>
    <row r="211" spans="1:15">
      <c r="A211" t="s">
        <v>330</v>
      </c>
      <c r="B211" t="s">
        <v>104</v>
      </c>
      <c r="C211" t="s">
        <v>90</v>
      </c>
      <c r="D211" t="s">
        <v>57</v>
      </c>
      <c r="E211" t="s">
        <v>65</v>
      </c>
      <c r="F211">
        <v>59</v>
      </c>
      <c r="G211" t="s">
        <v>59</v>
      </c>
      <c r="H211" s="24">
        <v>40681</v>
      </c>
      <c r="I211">
        <v>192213</v>
      </c>
      <c r="J211">
        <v>0.4</v>
      </c>
      <c r="K211">
        <v>269098</v>
      </c>
      <c r="L211" t="s">
        <v>60</v>
      </c>
      <c r="M211" t="s">
        <v>73</v>
      </c>
      <c r="N211" s="25"/>
      <c r="O211">
        <v>0</v>
      </c>
    </row>
    <row r="212" spans="1:15">
      <c r="A212" t="s">
        <v>331</v>
      </c>
      <c r="B212" t="s">
        <v>81</v>
      </c>
      <c r="C212" t="s">
        <v>82</v>
      </c>
      <c r="D212" t="s">
        <v>71</v>
      </c>
      <c r="E212" t="s">
        <v>58</v>
      </c>
      <c r="F212">
        <v>45</v>
      </c>
      <c r="G212" t="s">
        <v>72</v>
      </c>
      <c r="H212" s="24">
        <v>41769</v>
      </c>
      <c r="I212">
        <v>65047</v>
      </c>
      <c r="J212">
        <v>0</v>
      </c>
      <c r="K212">
        <v>65047</v>
      </c>
      <c r="L212" t="s">
        <v>113</v>
      </c>
      <c r="M212" t="s">
        <v>184</v>
      </c>
      <c r="N212" s="25"/>
      <c r="O212">
        <v>0</v>
      </c>
    </row>
    <row r="213" spans="1:15">
      <c r="A213" t="s">
        <v>332</v>
      </c>
      <c r="B213" t="s">
        <v>55</v>
      </c>
      <c r="C213" t="s">
        <v>82</v>
      </c>
      <c r="D213" t="s">
        <v>64</v>
      </c>
      <c r="E213" t="s">
        <v>65</v>
      </c>
      <c r="F213">
        <v>29</v>
      </c>
      <c r="G213" t="s">
        <v>76</v>
      </c>
      <c r="H213" s="24">
        <v>42810</v>
      </c>
      <c r="I213">
        <v>151413</v>
      </c>
      <c r="J213">
        <v>0.15</v>
      </c>
      <c r="K213">
        <v>174125</v>
      </c>
      <c r="L213" t="s">
        <v>60</v>
      </c>
      <c r="M213" t="s">
        <v>61</v>
      </c>
      <c r="N213" s="25"/>
      <c r="O213">
        <v>0</v>
      </c>
    </row>
    <row r="214" spans="1:15">
      <c r="A214" t="s">
        <v>333</v>
      </c>
      <c r="B214" t="s">
        <v>78</v>
      </c>
      <c r="C214" t="s">
        <v>90</v>
      </c>
      <c r="D214" t="s">
        <v>71</v>
      </c>
      <c r="E214" t="s">
        <v>65</v>
      </c>
      <c r="F214">
        <v>62</v>
      </c>
      <c r="G214" t="s">
        <v>59</v>
      </c>
      <c r="H214" s="24">
        <v>37733</v>
      </c>
      <c r="I214">
        <v>76906</v>
      </c>
      <c r="J214">
        <v>0</v>
      </c>
      <c r="K214">
        <v>76906</v>
      </c>
      <c r="L214" t="s">
        <v>60</v>
      </c>
      <c r="M214" t="s">
        <v>61</v>
      </c>
      <c r="N214" s="25"/>
      <c r="O214">
        <v>0</v>
      </c>
    </row>
    <row r="215" spans="1:15">
      <c r="A215" t="s">
        <v>334</v>
      </c>
      <c r="B215" t="s">
        <v>85</v>
      </c>
      <c r="C215" t="s">
        <v>56</v>
      </c>
      <c r="D215" t="s">
        <v>83</v>
      </c>
      <c r="E215" t="s">
        <v>65</v>
      </c>
      <c r="F215">
        <v>51</v>
      </c>
      <c r="G215" t="s">
        <v>72</v>
      </c>
      <c r="H215" s="24">
        <v>34388</v>
      </c>
      <c r="I215">
        <v>122802</v>
      </c>
      <c r="J215">
        <v>0.05</v>
      </c>
      <c r="K215">
        <v>128942</v>
      </c>
      <c r="L215" t="s">
        <v>66</v>
      </c>
      <c r="M215" t="s">
        <v>101</v>
      </c>
      <c r="N215" s="25"/>
      <c r="O215">
        <v>0</v>
      </c>
    </row>
    <row r="216" spans="1:15">
      <c r="A216" t="s">
        <v>335</v>
      </c>
      <c r="B216" t="s">
        <v>216</v>
      </c>
      <c r="C216" t="s">
        <v>98</v>
      </c>
      <c r="D216" t="s">
        <v>57</v>
      </c>
      <c r="E216" t="s">
        <v>65</v>
      </c>
      <c r="F216">
        <v>47</v>
      </c>
      <c r="G216" t="s">
        <v>72</v>
      </c>
      <c r="H216" s="24">
        <v>35990</v>
      </c>
      <c r="I216">
        <v>99091</v>
      </c>
      <c r="J216">
        <v>0</v>
      </c>
      <c r="K216">
        <v>99091</v>
      </c>
      <c r="L216" t="s">
        <v>60</v>
      </c>
      <c r="M216" t="s">
        <v>91</v>
      </c>
      <c r="N216" s="25"/>
      <c r="O216">
        <v>0</v>
      </c>
    </row>
    <row r="217" spans="1:15">
      <c r="A217" t="s">
        <v>336</v>
      </c>
      <c r="B217" t="s">
        <v>97</v>
      </c>
      <c r="C217" t="s">
        <v>98</v>
      </c>
      <c r="D217" t="s">
        <v>64</v>
      </c>
      <c r="E217" t="s">
        <v>65</v>
      </c>
      <c r="F217">
        <v>40</v>
      </c>
      <c r="G217" t="s">
        <v>95</v>
      </c>
      <c r="H217" s="24">
        <v>39506</v>
      </c>
      <c r="I217">
        <v>113987</v>
      </c>
      <c r="J217">
        <v>0</v>
      </c>
      <c r="K217">
        <v>113987</v>
      </c>
      <c r="L217" t="s">
        <v>113</v>
      </c>
      <c r="M217" t="s">
        <v>114</v>
      </c>
      <c r="N217" s="25"/>
      <c r="O217">
        <v>0</v>
      </c>
    </row>
    <row r="218" spans="1:15">
      <c r="A218" t="s">
        <v>337</v>
      </c>
      <c r="B218" t="s">
        <v>78</v>
      </c>
      <c r="C218" t="s">
        <v>70</v>
      </c>
      <c r="D218" t="s">
        <v>83</v>
      </c>
      <c r="E218" t="s">
        <v>58</v>
      </c>
      <c r="F218">
        <v>28</v>
      </c>
      <c r="G218" t="s">
        <v>76</v>
      </c>
      <c r="H218" s="24">
        <v>44078</v>
      </c>
      <c r="I218">
        <v>95045</v>
      </c>
      <c r="J218">
        <v>0</v>
      </c>
      <c r="K218">
        <v>95045</v>
      </c>
      <c r="L218" t="s">
        <v>60</v>
      </c>
      <c r="M218" t="s">
        <v>73</v>
      </c>
      <c r="N218" s="25"/>
      <c r="O218">
        <v>0</v>
      </c>
    </row>
    <row r="219" spans="1:15">
      <c r="A219" t="s">
        <v>338</v>
      </c>
      <c r="B219" t="s">
        <v>104</v>
      </c>
      <c r="C219" t="s">
        <v>105</v>
      </c>
      <c r="D219" t="s">
        <v>71</v>
      </c>
      <c r="E219" t="s">
        <v>58</v>
      </c>
      <c r="F219">
        <v>29</v>
      </c>
      <c r="G219" t="s">
        <v>76</v>
      </c>
      <c r="H219" s="24">
        <v>42740</v>
      </c>
      <c r="I219">
        <v>190401</v>
      </c>
      <c r="J219">
        <v>0.37</v>
      </c>
      <c r="K219">
        <v>260849</v>
      </c>
      <c r="L219" t="s">
        <v>60</v>
      </c>
      <c r="M219" t="s">
        <v>110</v>
      </c>
      <c r="N219" s="25"/>
      <c r="O219">
        <v>0</v>
      </c>
    </row>
    <row r="220" spans="1:15">
      <c r="A220" t="s">
        <v>339</v>
      </c>
      <c r="B220" t="s">
        <v>78</v>
      </c>
      <c r="C220" t="s">
        <v>70</v>
      </c>
      <c r="D220" t="s">
        <v>83</v>
      </c>
      <c r="E220" t="s">
        <v>65</v>
      </c>
      <c r="F220">
        <v>46</v>
      </c>
      <c r="G220" t="s">
        <v>72</v>
      </c>
      <c r="H220" s="24">
        <v>41294</v>
      </c>
      <c r="I220">
        <v>86061</v>
      </c>
      <c r="J220">
        <v>0</v>
      </c>
      <c r="K220">
        <v>86061</v>
      </c>
      <c r="L220" t="s">
        <v>113</v>
      </c>
      <c r="M220" t="s">
        <v>117</v>
      </c>
      <c r="N220" s="25"/>
      <c r="O220">
        <v>0</v>
      </c>
    </row>
    <row r="221" spans="1:15">
      <c r="A221" t="s">
        <v>340</v>
      </c>
      <c r="B221" t="s">
        <v>225</v>
      </c>
      <c r="C221" t="s">
        <v>82</v>
      </c>
      <c r="D221" t="s">
        <v>71</v>
      </c>
      <c r="E221" t="s">
        <v>65</v>
      </c>
      <c r="F221">
        <v>45</v>
      </c>
      <c r="G221" t="s">
        <v>72</v>
      </c>
      <c r="H221" s="24">
        <v>44237</v>
      </c>
      <c r="I221">
        <v>79882</v>
      </c>
      <c r="J221">
        <v>0</v>
      </c>
      <c r="K221">
        <v>79882</v>
      </c>
      <c r="L221" t="s">
        <v>60</v>
      </c>
      <c r="M221" t="s">
        <v>79</v>
      </c>
      <c r="N221" s="25"/>
      <c r="O221">
        <v>0</v>
      </c>
    </row>
    <row r="222" spans="1:15">
      <c r="A222" t="s">
        <v>341</v>
      </c>
      <c r="B222" t="s">
        <v>104</v>
      </c>
      <c r="C222" t="s">
        <v>98</v>
      </c>
      <c r="D222" t="s">
        <v>64</v>
      </c>
      <c r="E222" t="s">
        <v>58</v>
      </c>
      <c r="F222">
        <v>30</v>
      </c>
      <c r="G222" t="s">
        <v>76</v>
      </c>
      <c r="H222" s="24">
        <v>43165</v>
      </c>
      <c r="I222">
        <v>255431</v>
      </c>
      <c r="J222">
        <v>0.36</v>
      </c>
      <c r="K222">
        <v>347386</v>
      </c>
      <c r="L222" t="s">
        <v>60</v>
      </c>
      <c r="M222" t="s">
        <v>110</v>
      </c>
      <c r="N222" s="25"/>
      <c r="O222">
        <v>0</v>
      </c>
    </row>
    <row r="223" spans="1:15">
      <c r="A223" t="s">
        <v>342</v>
      </c>
      <c r="B223" t="s">
        <v>314</v>
      </c>
      <c r="C223" t="s">
        <v>56</v>
      </c>
      <c r="D223" t="s">
        <v>64</v>
      </c>
      <c r="E223" t="s">
        <v>58</v>
      </c>
      <c r="F223">
        <v>48</v>
      </c>
      <c r="G223" t="s">
        <v>72</v>
      </c>
      <c r="H223" s="24">
        <v>37855</v>
      </c>
      <c r="I223">
        <v>82017</v>
      </c>
      <c r="J223">
        <v>0</v>
      </c>
      <c r="K223">
        <v>82017</v>
      </c>
      <c r="L223" t="s">
        <v>66</v>
      </c>
      <c r="M223" t="s">
        <v>126</v>
      </c>
      <c r="N223" s="25"/>
      <c r="O223">
        <v>0</v>
      </c>
    </row>
    <row r="224" spans="1:15">
      <c r="A224" t="s">
        <v>343</v>
      </c>
      <c r="B224" t="s">
        <v>87</v>
      </c>
      <c r="C224" t="s">
        <v>70</v>
      </c>
      <c r="D224" t="s">
        <v>64</v>
      </c>
      <c r="E224" t="s">
        <v>58</v>
      </c>
      <c r="F224">
        <v>51</v>
      </c>
      <c r="G224" t="s">
        <v>72</v>
      </c>
      <c r="H224" s="24">
        <v>42753</v>
      </c>
      <c r="I224">
        <v>53799</v>
      </c>
      <c r="J224">
        <v>0</v>
      </c>
      <c r="K224">
        <v>53799</v>
      </c>
      <c r="L224" t="s">
        <v>60</v>
      </c>
      <c r="M224" t="s">
        <v>110</v>
      </c>
      <c r="N224" s="25"/>
      <c r="O224">
        <v>0</v>
      </c>
    </row>
    <row r="225" spans="1:15">
      <c r="A225" t="s">
        <v>344</v>
      </c>
      <c r="B225" t="s">
        <v>78</v>
      </c>
      <c r="C225" t="s">
        <v>82</v>
      </c>
      <c r="D225" t="s">
        <v>83</v>
      </c>
      <c r="E225" t="s">
        <v>58</v>
      </c>
      <c r="F225">
        <v>28</v>
      </c>
      <c r="G225" t="s">
        <v>76</v>
      </c>
      <c r="H225" s="24">
        <v>44380</v>
      </c>
      <c r="I225">
        <v>82739</v>
      </c>
      <c r="J225">
        <v>0</v>
      </c>
      <c r="K225">
        <v>82739</v>
      </c>
      <c r="L225" t="s">
        <v>60</v>
      </c>
      <c r="M225" t="s">
        <v>79</v>
      </c>
      <c r="N225" s="25"/>
      <c r="O225">
        <v>0</v>
      </c>
    </row>
    <row r="226" spans="1:15">
      <c r="A226" t="s">
        <v>345</v>
      </c>
      <c r="B226" t="s">
        <v>178</v>
      </c>
      <c r="C226" t="s">
        <v>56</v>
      </c>
      <c r="D226" t="s">
        <v>64</v>
      </c>
      <c r="E226" t="s">
        <v>58</v>
      </c>
      <c r="F226">
        <v>36</v>
      </c>
      <c r="G226" t="s">
        <v>95</v>
      </c>
      <c r="H226" s="24">
        <v>41789</v>
      </c>
      <c r="I226">
        <v>99080</v>
      </c>
      <c r="J226">
        <v>0</v>
      </c>
      <c r="K226">
        <v>99080</v>
      </c>
      <c r="L226" t="s">
        <v>60</v>
      </c>
      <c r="M226" t="s">
        <v>73</v>
      </c>
      <c r="N226" s="25"/>
      <c r="O226">
        <v>0</v>
      </c>
    </row>
    <row r="227" spans="1:15">
      <c r="A227" t="s">
        <v>346</v>
      </c>
      <c r="B227" t="s">
        <v>225</v>
      </c>
      <c r="C227" t="s">
        <v>82</v>
      </c>
      <c r="D227" t="s">
        <v>83</v>
      </c>
      <c r="E227" t="s">
        <v>58</v>
      </c>
      <c r="F227">
        <v>40</v>
      </c>
      <c r="G227" t="s">
        <v>95</v>
      </c>
      <c r="H227" s="24">
        <v>40563</v>
      </c>
      <c r="I227">
        <v>96719</v>
      </c>
      <c r="J227">
        <v>0</v>
      </c>
      <c r="K227">
        <v>96719</v>
      </c>
      <c r="L227" t="s">
        <v>66</v>
      </c>
      <c r="M227" t="s">
        <v>138</v>
      </c>
      <c r="N227" s="25"/>
      <c r="O227">
        <v>0</v>
      </c>
    </row>
    <row r="228" spans="1:15">
      <c r="A228" t="s">
        <v>347</v>
      </c>
      <c r="B228" t="s">
        <v>69</v>
      </c>
      <c r="C228" t="s">
        <v>94</v>
      </c>
      <c r="D228" t="s">
        <v>57</v>
      </c>
      <c r="E228" t="s">
        <v>58</v>
      </c>
      <c r="F228">
        <v>51</v>
      </c>
      <c r="G228" t="s">
        <v>72</v>
      </c>
      <c r="H228" s="24">
        <v>44283</v>
      </c>
      <c r="I228">
        <v>180687</v>
      </c>
      <c r="J228">
        <v>0.19</v>
      </c>
      <c r="K228">
        <v>215018</v>
      </c>
      <c r="L228" t="s">
        <v>60</v>
      </c>
      <c r="M228" t="s">
        <v>79</v>
      </c>
      <c r="N228" s="25"/>
      <c r="O228">
        <v>0</v>
      </c>
    </row>
    <row r="229" spans="1:15">
      <c r="A229" t="s">
        <v>348</v>
      </c>
      <c r="B229" t="s">
        <v>125</v>
      </c>
      <c r="C229" t="s">
        <v>98</v>
      </c>
      <c r="D229" t="s">
        <v>83</v>
      </c>
      <c r="E229" t="s">
        <v>65</v>
      </c>
      <c r="F229">
        <v>45</v>
      </c>
      <c r="G229" t="s">
        <v>72</v>
      </c>
      <c r="H229" s="24">
        <v>36993</v>
      </c>
      <c r="I229">
        <v>95743</v>
      </c>
      <c r="J229">
        <v>0.15</v>
      </c>
      <c r="K229">
        <v>110104</v>
      </c>
      <c r="L229" t="s">
        <v>60</v>
      </c>
      <c r="M229" t="s">
        <v>91</v>
      </c>
      <c r="N229" s="25">
        <v>40193</v>
      </c>
      <c r="O229">
        <v>1</v>
      </c>
    </row>
    <row r="230" spans="1:15">
      <c r="A230" t="s">
        <v>349</v>
      </c>
      <c r="B230" t="s">
        <v>216</v>
      </c>
      <c r="C230" t="s">
        <v>98</v>
      </c>
      <c r="D230" t="s">
        <v>57</v>
      </c>
      <c r="E230" t="s">
        <v>58</v>
      </c>
      <c r="F230">
        <v>44</v>
      </c>
      <c r="G230" t="s">
        <v>95</v>
      </c>
      <c r="H230" s="24">
        <v>40060</v>
      </c>
      <c r="I230">
        <v>89695</v>
      </c>
      <c r="J230">
        <v>0</v>
      </c>
      <c r="K230">
        <v>89695</v>
      </c>
      <c r="L230" t="s">
        <v>60</v>
      </c>
      <c r="M230" t="s">
        <v>91</v>
      </c>
      <c r="N230" s="25"/>
      <c r="O230">
        <v>0</v>
      </c>
    </row>
    <row r="231" spans="1:15">
      <c r="A231" t="s">
        <v>350</v>
      </c>
      <c r="B231" t="s">
        <v>85</v>
      </c>
      <c r="C231" t="s">
        <v>70</v>
      </c>
      <c r="D231" t="s">
        <v>64</v>
      </c>
      <c r="E231" t="s">
        <v>65</v>
      </c>
      <c r="F231">
        <v>64</v>
      </c>
      <c r="G231" t="s">
        <v>59</v>
      </c>
      <c r="H231" s="24">
        <v>35996</v>
      </c>
      <c r="I231">
        <v>122753</v>
      </c>
      <c r="J231">
        <v>0.09</v>
      </c>
      <c r="K231">
        <v>133801</v>
      </c>
      <c r="L231" t="s">
        <v>66</v>
      </c>
      <c r="M231" t="s">
        <v>67</v>
      </c>
      <c r="N231" s="25"/>
      <c r="O231">
        <v>0</v>
      </c>
    </row>
    <row r="232" spans="1:15">
      <c r="A232" t="s">
        <v>351</v>
      </c>
      <c r="B232" t="s">
        <v>143</v>
      </c>
      <c r="C232" t="s">
        <v>94</v>
      </c>
      <c r="D232" t="s">
        <v>57</v>
      </c>
      <c r="E232" t="s">
        <v>65</v>
      </c>
      <c r="F232">
        <v>30</v>
      </c>
      <c r="G232" t="s">
        <v>76</v>
      </c>
      <c r="H232" s="24">
        <v>42078</v>
      </c>
      <c r="I232">
        <v>93734</v>
      </c>
      <c r="J232">
        <v>0</v>
      </c>
      <c r="K232">
        <v>93734</v>
      </c>
      <c r="L232" t="s">
        <v>60</v>
      </c>
      <c r="M232" t="s">
        <v>79</v>
      </c>
      <c r="N232" s="25"/>
      <c r="O232">
        <v>0</v>
      </c>
    </row>
    <row r="233" spans="1:15">
      <c r="A233" t="s">
        <v>352</v>
      </c>
      <c r="B233" t="s">
        <v>87</v>
      </c>
      <c r="C233" t="s">
        <v>90</v>
      </c>
      <c r="D233" t="s">
        <v>83</v>
      </c>
      <c r="E233" t="s">
        <v>65</v>
      </c>
      <c r="F233">
        <v>28</v>
      </c>
      <c r="G233" t="s">
        <v>76</v>
      </c>
      <c r="H233" s="24">
        <v>42867</v>
      </c>
      <c r="I233">
        <v>52069</v>
      </c>
      <c r="J233">
        <v>0</v>
      </c>
      <c r="K233">
        <v>52069</v>
      </c>
      <c r="L233" t="s">
        <v>66</v>
      </c>
      <c r="M233" t="s">
        <v>67</v>
      </c>
      <c r="N233" s="25"/>
      <c r="O233">
        <v>0</v>
      </c>
    </row>
    <row r="234" spans="1:15">
      <c r="A234" t="s">
        <v>353</v>
      </c>
      <c r="B234" t="s">
        <v>104</v>
      </c>
      <c r="C234" t="s">
        <v>90</v>
      </c>
      <c r="D234" t="s">
        <v>83</v>
      </c>
      <c r="E234" t="s">
        <v>58</v>
      </c>
      <c r="F234">
        <v>33</v>
      </c>
      <c r="G234" t="s">
        <v>76</v>
      </c>
      <c r="H234" s="24">
        <v>44181</v>
      </c>
      <c r="I234">
        <v>258426</v>
      </c>
      <c r="J234">
        <v>0.4</v>
      </c>
      <c r="K234">
        <v>361796</v>
      </c>
      <c r="L234" t="s">
        <v>113</v>
      </c>
      <c r="M234" t="s">
        <v>117</v>
      </c>
      <c r="N234" s="25"/>
      <c r="O234">
        <v>0</v>
      </c>
    </row>
    <row r="235" spans="1:15">
      <c r="A235" t="s">
        <v>354</v>
      </c>
      <c r="B235" t="s">
        <v>85</v>
      </c>
      <c r="C235" t="s">
        <v>70</v>
      </c>
      <c r="D235" t="s">
        <v>71</v>
      </c>
      <c r="E235" t="s">
        <v>65</v>
      </c>
      <c r="F235">
        <v>51</v>
      </c>
      <c r="G235" t="s">
        <v>72</v>
      </c>
      <c r="H235" s="24">
        <v>34746</v>
      </c>
      <c r="I235">
        <v>125375</v>
      </c>
      <c r="J235">
        <v>0.09</v>
      </c>
      <c r="K235">
        <v>136659</v>
      </c>
      <c r="L235" t="s">
        <v>60</v>
      </c>
      <c r="M235" t="s">
        <v>73</v>
      </c>
      <c r="N235" s="25"/>
      <c r="O235">
        <v>0</v>
      </c>
    </row>
    <row r="236" spans="1:15">
      <c r="A236" t="s">
        <v>355</v>
      </c>
      <c r="B236" t="s">
        <v>104</v>
      </c>
      <c r="C236" t="s">
        <v>90</v>
      </c>
      <c r="D236" t="s">
        <v>64</v>
      </c>
      <c r="E236" t="s">
        <v>65</v>
      </c>
      <c r="F236">
        <v>25</v>
      </c>
      <c r="G236" t="s">
        <v>76</v>
      </c>
      <c r="H236" s="24">
        <v>44235</v>
      </c>
      <c r="I236">
        <v>198243</v>
      </c>
      <c r="J236">
        <v>0.31</v>
      </c>
      <c r="K236">
        <v>259698</v>
      </c>
      <c r="L236" t="s">
        <v>60</v>
      </c>
      <c r="M236" t="s">
        <v>88</v>
      </c>
      <c r="N236" s="25"/>
      <c r="O236">
        <v>0</v>
      </c>
    </row>
    <row r="237" spans="1:15">
      <c r="A237" t="s">
        <v>356</v>
      </c>
      <c r="B237" t="s">
        <v>187</v>
      </c>
      <c r="C237" t="s">
        <v>98</v>
      </c>
      <c r="D237" t="s">
        <v>57</v>
      </c>
      <c r="E237" t="s">
        <v>58</v>
      </c>
      <c r="F237">
        <v>42</v>
      </c>
      <c r="G237" t="s">
        <v>95</v>
      </c>
      <c r="H237" s="24">
        <v>43062</v>
      </c>
      <c r="I237">
        <v>96023</v>
      </c>
      <c r="J237">
        <v>0</v>
      </c>
      <c r="K237">
        <v>96023</v>
      </c>
      <c r="L237" t="s">
        <v>60</v>
      </c>
      <c r="M237" t="s">
        <v>88</v>
      </c>
      <c r="N237" s="25"/>
      <c r="O237">
        <v>0</v>
      </c>
    </row>
    <row r="238" spans="1:15">
      <c r="A238" t="s">
        <v>357</v>
      </c>
      <c r="B238" t="s">
        <v>78</v>
      </c>
      <c r="C238" t="s">
        <v>105</v>
      </c>
      <c r="D238" t="s">
        <v>57</v>
      </c>
      <c r="E238" t="s">
        <v>58</v>
      </c>
      <c r="F238">
        <v>34</v>
      </c>
      <c r="G238" t="s">
        <v>76</v>
      </c>
      <c r="H238" s="24">
        <v>41085</v>
      </c>
      <c r="I238">
        <v>83066</v>
      </c>
      <c r="J238">
        <v>0</v>
      </c>
      <c r="K238">
        <v>83066</v>
      </c>
      <c r="L238" t="s">
        <v>60</v>
      </c>
      <c r="M238" t="s">
        <v>73</v>
      </c>
      <c r="N238" s="25">
        <v>41430</v>
      </c>
      <c r="O238">
        <v>1</v>
      </c>
    </row>
    <row r="239" spans="1:15">
      <c r="A239" t="s">
        <v>358</v>
      </c>
      <c r="B239" t="s">
        <v>132</v>
      </c>
      <c r="C239" t="s">
        <v>82</v>
      </c>
      <c r="D239" t="s">
        <v>57</v>
      </c>
      <c r="E239" t="s">
        <v>58</v>
      </c>
      <c r="F239">
        <v>48</v>
      </c>
      <c r="G239" t="s">
        <v>72</v>
      </c>
      <c r="H239" s="24">
        <v>41773</v>
      </c>
      <c r="I239">
        <v>61216</v>
      </c>
      <c r="J239">
        <v>0</v>
      </c>
      <c r="K239">
        <v>61216</v>
      </c>
      <c r="L239" t="s">
        <v>60</v>
      </c>
      <c r="M239" t="s">
        <v>61</v>
      </c>
      <c r="N239" s="25"/>
      <c r="O239">
        <v>0</v>
      </c>
    </row>
    <row r="240" spans="1:15">
      <c r="A240" t="s">
        <v>359</v>
      </c>
      <c r="B240" t="s">
        <v>55</v>
      </c>
      <c r="C240" t="s">
        <v>90</v>
      </c>
      <c r="D240" t="s">
        <v>83</v>
      </c>
      <c r="E240" t="s">
        <v>65</v>
      </c>
      <c r="F240">
        <v>33</v>
      </c>
      <c r="G240" t="s">
        <v>76</v>
      </c>
      <c r="H240" s="24">
        <v>41315</v>
      </c>
      <c r="I240">
        <v>144231</v>
      </c>
      <c r="J240">
        <v>0.14</v>
      </c>
      <c r="K240">
        <v>164423</v>
      </c>
      <c r="L240" t="s">
        <v>60</v>
      </c>
      <c r="M240" t="s">
        <v>110</v>
      </c>
      <c r="N240" s="25">
        <v>44029</v>
      </c>
      <c r="O240">
        <v>1</v>
      </c>
    </row>
    <row r="241" spans="1:15">
      <c r="A241" t="s">
        <v>360</v>
      </c>
      <c r="B241" t="s">
        <v>154</v>
      </c>
      <c r="C241" t="s">
        <v>94</v>
      </c>
      <c r="D241" t="s">
        <v>57</v>
      </c>
      <c r="E241" t="s">
        <v>65</v>
      </c>
      <c r="F241">
        <v>41</v>
      </c>
      <c r="G241" t="s">
        <v>95</v>
      </c>
      <c r="H241" s="24">
        <v>39379</v>
      </c>
      <c r="I241">
        <v>51630</v>
      </c>
      <c r="J241">
        <v>0</v>
      </c>
      <c r="K241">
        <v>51630</v>
      </c>
      <c r="L241" t="s">
        <v>66</v>
      </c>
      <c r="M241" t="s">
        <v>126</v>
      </c>
      <c r="N241" s="25"/>
      <c r="O241">
        <v>0</v>
      </c>
    </row>
    <row r="242" spans="1:15">
      <c r="A242" t="s">
        <v>361</v>
      </c>
      <c r="B242" t="s">
        <v>55</v>
      </c>
      <c r="C242" t="s">
        <v>82</v>
      </c>
      <c r="D242" t="s">
        <v>83</v>
      </c>
      <c r="E242" t="s">
        <v>65</v>
      </c>
      <c r="F242">
        <v>55</v>
      </c>
      <c r="G242" t="s">
        <v>59</v>
      </c>
      <c r="H242" s="24">
        <v>41594</v>
      </c>
      <c r="I242">
        <v>124129</v>
      </c>
      <c r="J242">
        <v>0.15</v>
      </c>
      <c r="K242">
        <v>142748</v>
      </c>
      <c r="L242" t="s">
        <v>113</v>
      </c>
      <c r="M242" t="s">
        <v>184</v>
      </c>
      <c r="N242" s="25"/>
      <c r="O242">
        <v>0</v>
      </c>
    </row>
    <row r="243" spans="1:15">
      <c r="A243" t="s">
        <v>362</v>
      </c>
      <c r="B243" t="s">
        <v>187</v>
      </c>
      <c r="C243" t="s">
        <v>98</v>
      </c>
      <c r="D243" t="s">
        <v>64</v>
      </c>
      <c r="E243" t="s">
        <v>65</v>
      </c>
      <c r="F243">
        <v>36</v>
      </c>
      <c r="G243" t="s">
        <v>95</v>
      </c>
      <c r="H243" s="24">
        <v>39912</v>
      </c>
      <c r="I243">
        <v>60055</v>
      </c>
      <c r="J243">
        <v>0</v>
      </c>
      <c r="K243">
        <v>60055</v>
      </c>
      <c r="L243" t="s">
        <v>60</v>
      </c>
      <c r="M243" t="s">
        <v>61</v>
      </c>
      <c r="N243" s="25"/>
      <c r="O243">
        <v>0</v>
      </c>
    </row>
    <row r="244" spans="1:15">
      <c r="A244" t="s">
        <v>363</v>
      </c>
      <c r="B244" t="s">
        <v>69</v>
      </c>
      <c r="C244" t="s">
        <v>98</v>
      </c>
      <c r="D244" t="s">
        <v>57</v>
      </c>
      <c r="E244" t="s">
        <v>65</v>
      </c>
      <c r="F244">
        <v>31</v>
      </c>
      <c r="G244" t="s">
        <v>76</v>
      </c>
      <c r="H244" s="24">
        <v>44069</v>
      </c>
      <c r="I244">
        <v>189290</v>
      </c>
      <c r="J244">
        <v>0.22</v>
      </c>
      <c r="K244">
        <v>230934</v>
      </c>
      <c r="L244" t="s">
        <v>113</v>
      </c>
      <c r="M244" t="s">
        <v>184</v>
      </c>
      <c r="N244" s="25">
        <v>44099</v>
      </c>
      <c r="O244">
        <v>1</v>
      </c>
    </row>
    <row r="245" spans="1:15">
      <c r="A245" t="s">
        <v>364</v>
      </c>
      <c r="B245" t="s">
        <v>104</v>
      </c>
      <c r="C245" t="s">
        <v>56</v>
      </c>
      <c r="D245" t="s">
        <v>83</v>
      </c>
      <c r="E245" t="s">
        <v>58</v>
      </c>
      <c r="F245">
        <v>53</v>
      </c>
      <c r="G245" t="s">
        <v>72</v>
      </c>
      <c r="H245" s="24">
        <v>39568</v>
      </c>
      <c r="I245">
        <v>182202</v>
      </c>
      <c r="J245">
        <v>0.3</v>
      </c>
      <c r="K245">
        <v>236863</v>
      </c>
      <c r="L245" t="s">
        <v>60</v>
      </c>
      <c r="M245" t="s">
        <v>91</v>
      </c>
      <c r="N245" s="25"/>
      <c r="O245">
        <v>0</v>
      </c>
    </row>
    <row r="246" spans="1:15">
      <c r="A246" t="s">
        <v>365</v>
      </c>
      <c r="B246" t="s">
        <v>85</v>
      </c>
      <c r="C246" t="s">
        <v>82</v>
      </c>
      <c r="D246" t="s">
        <v>71</v>
      </c>
      <c r="E246" t="s">
        <v>65</v>
      </c>
      <c r="F246">
        <v>43</v>
      </c>
      <c r="G246" t="s">
        <v>95</v>
      </c>
      <c r="H246" s="24">
        <v>38748</v>
      </c>
      <c r="I246">
        <v>117518</v>
      </c>
      <c r="J246">
        <v>0.07</v>
      </c>
      <c r="K246">
        <v>125744</v>
      </c>
      <c r="L246" t="s">
        <v>60</v>
      </c>
      <c r="M246" t="s">
        <v>61</v>
      </c>
      <c r="N246" s="25"/>
      <c r="O246">
        <v>0</v>
      </c>
    </row>
    <row r="247" spans="1:15">
      <c r="A247" t="s">
        <v>366</v>
      </c>
      <c r="B247" t="s">
        <v>55</v>
      </c>
      <c r="C247" t="s">
        <v>70</v>
      </c>
      <c r="D247" t="s">
        <v>64</v>
      </c>
      <c r="E247" t="s">
        <v>58</v>
      </c>
      <c r="F247">
        <v>37</v>
      </c>
      <c r="G247" t="s">
        <v>95</v>
      </c>
      <c r="H247" s="24">
        <v>41329</v>
      </c>
      <c r="I247">
        <v>157474</v>
      </c>
      <c r="J247">
        <v>0.11</v>
      </c>
      <c r="K247">
        <v>174796</v>
      </c>
      <c r="L247" t="s">
        <v>113</v>
      </c>
      <c r="M247" t="s">
        <v>117</v>
      </c>
      <c r="N247" s="25"/>
      <c r="O247">
        <v>0</v>
      </c>
    </row>
    <row r="248" spans="1:15">
      <c r="A248" t="s">
        <v>367</v>
      </c>
      <c r="B248" t="s">
        <v>85</v>
      </c>
      <c r="C248" t="s">
        <v>105</v>
      </c>
      <c r="D248" t="s">
        <v>64</v>
      </c>
      <c r="E248" t="s">
        <v>65</v>
      </c>
      <c r="F248">
        <v>38</v>
      </c>
      <c r="G248" t="s">
        <v>95</v>
      </c>
      <c r="H248" s="24">
        <v>39544</v>
      </c>
      <c r="I248">
        <v>126856</v>
      </c>
      <c r="J248">
        <v>0.06</v>
      </c>
      <c r="K248">
        <v>134467</v>
      </c>
      <c r="L248" t="s">
        <v>60</v>
      </c>
      <c r="M248" t="s">
        <v>110</v>
      </c>
      <c r="N248" s="25"/>
      <c r="O248">
        <v>0</v>
      </c>
    </row>
    <row r="249" spans="1:15">
      <c r="A249" t="s">
        <v>368</v>
      </c>
      <c r="B249" t="s">
        <v>55</v>
      </c>
      <c r="C249" t="s">
        <v>90</v>
      </c>
      <c r="D249" t="s">
        <v>64</v>
      </c>
      <c r="E249" t="s">
        <v>58</v>
      </c>
      <c r="F249">
        <v>49</v>
      </c>
      <c r="G249" t="s">
        <v>72</v>
      </c>
      <c r="H249" s="24">
        <v>36983</v>
      </c>
      <c r="I249">
        <v>129124</v>
      </c>
      <c r="J249">
        <v>0.12</v>
      </c>
      <c r="K249">
        <v>144619</v>
      </c>
      <c r="L249" t="s">
        <v>66</v>
      </c>
      <c r="M249" t="s">
        <v>101</v>
      </c>
      <c r="N249" s="25"/>
      <c r="O249">
        <v>0</v>
      </c>
    </row>
    <row r="250" spans="1:15">
      <c r="A250" t="s">
        <v>369</v>
      </c>
      <c r="B250" t="s">
        <v>69</v>
      </c>
      <c r="C250" t="s">
        <v>82</v>
      </c>
      <c r="D250" t="s">
        <v>57</v>
      </c>
      <c r="E250" t="s">
        <v>58</v>
      </c>
      <c r="F250">
        <v>45</v>
      </c>
      <c r="G250" t="s">
        <v>72</v>
      </c>
      <c r="H250" s="24">
        <v>37316</v>
      </c>
      <c r="I250">
        <v>165181</v>
      </c>
      <c r="J250">
        <v>0.16</v>
      </c>
      <c r="K250">
        <v>191610</v>
      </c>
      <c r="L250" t="s">
        <v>60</v>
      </c>
      <c r="M250" t="s">
        <v>61</v>
      </c>
      <c r="N250" s="25"/>
      <c r="O250">
        <v>0</v>
      </c>
    </row>
    <row r="251" spans="1:15">
      <c r="A251" t="s">
        <v>370</v>
      </c>
      <c r="B251" t="s">
        <v>104</v>
      </c>
      <c r="C251" t="s">
        <v>70</v>
      </c>
      <c r="D251" t="s">
        <v>83</v>
      </c>
      <c r="E251" t="s">
        <v>65</v>
      </c>
      <c r="F251">
        <v>50</v>
      </c>
      <c r="G251" t="s">
        <v>72</v>
      </c>
      <c r="H251" s="24">
        <v>38004</v>
      </c>
      <c r="I251">
        <v>247939</v>
      </c>
      <c r="J251">
        <v>0.35</v>
      </c>
      <c r="K251">
        <v>334718</v>
      </c>
      <c r="L251" t="s">
        <v>113</v>
      </c>
      <c r="M251" t="s">
        <v>117</v>
      </c>
      <c r="N251" s="25"/>
      <c r="O251">
        <v>0</v>
      </c>
    </row>
    <row r="252" spans="1:15">
      <c r="A252" t="s">
        <v>371</v>
      </c>
      <c r="B252" t="s">
        <v>69</v>
      </c>
      <c r="C252" t="s">
        <v>98</v>
      </c>
      <c r="D252" t="s">
        <v>71</v>
      </c>
      <c r="E252" t="s">
        <v>65</v>
      </c>
      <c r="F252">
        <v>64</v>
      </c>
      <c r="G252" t="s">
        <v>59</v>
      </c>
      <c r="H252" s="24">
        <v>42972</v>
      </c>
      <c r="I252">
        <v>169509</v>
      </c>
      <c r="J252">
        <v>0.18</v>
      </c>
      <c r="K252">
        <v>200021</v>
      </c>
      <c r="L252" t="s">
        <v>113</v>
      </c>
      <c r="M252" t="s">
        <v>114</v>
      </c>
      <c r="N252" s="25"/>
      <c r="O252">
        <v>0</v>
      </c>
    </row>
    <row r="253" spans="1:15">
      <c r="A253" t="s">
        <v>372</v>
      </c>
      <c r="B253" t="s">
        <v>55</v>
      </c>
      <c r="C253" t="s">
        <v>90</v>
      </c>
      <c r="D253" t="s">
        <v>64</v>
      </c>
      <c r="E253" t="s">
        <v>58</v>
      </c>
      <c r="F253">
        <v>55</v>
      </c>
      <c r="G253" t="s">
        <v>59</v>
      </c>
      <c r="H253" s="24">
        <v>40552</v>
      </c>
      <c r="I253">
        <v>138521</v>
      </c>
      <c r="J253">
        <v>0.1</v>
      </c>
      <c r="K253">
        <v>152373</v>
      </c>
      <c r="L253" t="s">
        <v>60</v>
      </c>
      <c r="M253" t="s">
        <v>88</v>
      </c>
      <c r="N253" s="25"/>
      <c r="O253">
        <v>0</v>
      </c>
    </row>
    <row r="254" spans="1:15">
      <c r="A254" t="s">
        <v>373</v>
      </c>
      <c r="B254" t="s">
        <v>125</v>
      </c>
      <c r="C254" t="s">
        <v>98</v>
      </c>
      <c r="D254" t="s">
        <v>71</v>
      </c>
      <c r="E254" t="s">
        <v>58</v>
      </c>
      <c r="F254">
        <v>45</v>
      </c>
      <c r="G254" t="s">
        <v>72</v>
      </c>
      <c r="H254" s="24">
        <v>41712</v>
      </c>
      <c r="I254">
        <v>113873</v>
      </c>
      <c r="J254">
        <v>0.11</v>
      </c>
      <c r="K254">
        <v>126399</v>
      </c>
      <c r="L254" t="s">
        <v>113</v>
      </c>
      <c r="M254" t="s">
        <v>117</v>
      </c>
      <c r="N254" s="25"/>
      <c r="O254">
        <v>0</v>
      </c>
    </row>
    <row r="255" spans="1:15">
      <c r="A255" t="s">
        <v>374</v>
      </c>
      <c r="B255" t="s">
        <v>136</v>
      </c>
      <c r="C255" t="s">
        <v>56</v>
      </c>
      <c r="D255" t="s">
        <v>83</v>
      </c>
      <c r="E255" t="s">
        <v>58</v>
      </c>
      <c r="F255">
        <v>39</v>
      </c>
      <c r="G255" t="s">
        <v>95</v>
      </c>
      <c r="H255" s="24">
        <v>43229</v>
      </c>
      <c r="I255">
        <v>73317</v>
      </c>
      <c r="J255">
        <v>0</v>
      </c>
      <c r="K255">
        <v>73317</v>
      </c>
      <c r="L255" t="s">
        <v>60</v>
      </c>
      <c r="M255" t="s">
        <v>88</v>
      </c>
      <c r="N255" s="25"/>
      <c r="O255">
        <v>0</v>
      </c>
    </row>
    <row r="256" spans="1:15">
      <c r="A256" t="s">
        <v>375</v>
      </c>
      <c r="B256" t="s">
        <v>314</v>
      </c>
      <c r="C256" t="s">
        <v>56</v>
      </c>
      <c r="D256" t="s">
        <v>71</v>
      </c>
      <c r="E256" t="s">
        <v>58</v>
      </c>
      <c r="F256">
        <v>40</v>
      </c>
      <c r="G256" t="s">
        <v>95</v>
      </c>
      <c r="H256" s="24">
        <v>41451</v>
      </c>
      <c r="I256">
        <v>69096</v>
      </c>
      <c r="J256">
        <v>0</v>
      </c>
      <c r="K256">
        <v>69096</v>
      </c>
      <c r="L256" t="s">
        <v>60</v>
      </c>
      <c r="M256" t="s">
        <v>61</v>
      </c>
      <c r="N256" s="25"/>
      <c r="O256">
        <v>0</v>
      </c>
    </row>
    <row r="257" spans="1:15">
      <c r="A257" t="s">
        <v>376</v>
      </c>
      <c r="B257" t="s">
        <v>143</v>
      </c>
      <c r="C257" t="s">
        <v>94</v>
      </c>
      <c r="D257" t="s">
        <v>64</v>
      </c>
      <c r="E257" t="s">
        <v>65</v>
      </c>
      <c r="F257">
        <v>48</v>
      </c>
      <c r="G257" t="s">
        <v>72</v>
      </c>
      <c r="H257" s="24">
        <v>38454</v>
      </c>
      <c r="I257">
        <v>87158</v>
      </c>
      <c r="J257">
        <v>0</v>
      </c>
      <c r="K257">
        <v>87158</v>
      </c>
      <c r="L257" t="s">
        <v>113</v>
      </c>
      <c r="M257" t="s">
        <v>114</v>
      </c>
      <c r="N257" s="25"/>
      <c r="O257">
        <v>0</v>
      </c>
    </row>
    <row r="258" spans="1:15">
      <c r="A258" t="s">
        <v>377</v>
      </c>
      <c r="B258" t="s">
        <v>187</v>
      </c>
      <c r="C258" t="s">
        <v>98</v>
      </c>
      <c r="D258" t="s">
        <v>83</v>
      </c>
      <c r="E258" t="s">
        <v>65</v>
      </c>
      <c r="F258">
        <v>64</v>
      </c>
      <c r="G258" t="s">
        <v>59</v>
      </c>
      <c r="H258" s="24">
        <v>33875</v>
      </c>
      <c r="I258">
        <v>70778</v>
      </c>
      <c r="J258">
        <v>0</v>
      </c>
      <c r="K258">
        <v>70778</v>
      </c>
      <c r="L258" t="s">
        <v>60</v>
      </c>
      <c r="M258" t="s">
        <v>91</v>
      </c>
      <c r="N258" s="25"/>
      <c r="O258">
        <v>0</v>
      </c>
    </row>
    <row r="259" spans="1:15">
      <c r="A259" t="s">
        <v>378</v>
      </c>
      <c r="B259" t="s">
        <v>69</v>
      </c>
      <c r="C259" t="s">
        <v>94</v>
      </c>
      <c r="D259" t="s">
        <v>71</v>
      </c>
      <c r="E259" t="s">
        <v>58</v>
      </c>
      <c r="F259">
        <v>65</v>
      </c>
      <c r="G259" t="s">
        <v>107</v>
      </c>
      <c r="H259" s="24">
        <v>38130</v>
      </c>
      <c r="I259">
        <v>153938</v>
      </c>
      <c r="J259">
        <v>0.2</v>
      </c>
      <c r="K259">
        <v>184726</v>
      </c>
      <c r="L259" t="s">
        <v>60</v>
      </c>
      <c r="M259" t="s">
        <v>79</v>
      </c>
      <c r="N259" s="25"/>
      <c r="O259">
        <v>0</v>
      </c>
    </row>
    <row r="260" spans="1:15">
      <c r="A260" t="s">
        <v>379</v>
      </c>
      <c r="B260" t="s">
        <v>244</v>
      </c>
      <c r="C260" t="s">
        <v>56</v>
      </c>
      <c r="D260" t="s">
        <v>57</v>
      </c>
      <c r="E260" t="s">
        <v>65</v>
      </c>
      <c r="F260">
        <v>43</v>
      </c>
      <c r="G260" t="s">
        <v>95</v>
      </c>
      <c r="H260" s="24">
        <v>43224</v>
      </c>
      <c r="I260">
        <v>59888</v>
      </c>
      <c r="J260">
        <v>0</v>
      </c>
      <c r="K260">
        <v>59888</v>
      </c>
      <c r="L260" t="s">
        <v>66</v>
      </c>
      <c r="M260" t="s">
        <v>126</v>
      </c>
      <c r="N260" s="25"/>
      <c r="O260">
        <v>0</v>
      </c>
    </row>
    <row r="261" spans="1:15">
      <c r="A261" t="s">
        <v>380</v>
      </c>
      <c r="B261" t="s">
        <v>187</v>
      </c>
      <c r="C261" t="s">
        <v>98</v>
      </c>
      <c r="D261" t="s">
        <v>83</v>
      </c>
      <c r="E261" t="s">
        <v>65</v>
      </c>
      <c r="F261">
        <v>50</v>
      </c>
      <c r="G261" t="s">
        <v>72</v>
      </c>
      <c r="H261" s="24">
        <v>43447</v>
      </c>
      <c r="I261">
        <v>63098</v>
      </c>
      <c r="J261">
        <v>0</v>
      </c>
      <c r="K261">
        <v>63098</v>
      </c>
      <c r="L261" t="s">
        <v>60</v>
      </c>
      <c r="M261" t="s">
        <v>110</v>
      </c>
      <c r="N261" s="25"/>
      <c r="O261">
        <v>0</v>
      </c>
    </row>
    <row r="262" spans="1:15">
      <c r="A262" t="s">
        <v>381</v>
      </c>
      <c r="B262" t="s">
        <v>104</v>
      </c>
      <c r="C262" t="s">
        <v>70</v>
      </c>
      <c r="D262" t="s">
        <v>83</v>
      </c>
      <c r="E262" t="s">
        <v>58</v>
      </c>
      <c r="F262">
        <v>27</v>
      </c>
      <c r="G262" t="s">
        <v>76</v>
      </c>
      <c r="H262" s="24">
        <v>44545</v>
      </c>
      <c r="I262">
        <v>255369</v>
      </c>
      <c r="J262">
        <v>0.33</v>
      </c>
      <c r="K262">
        <v>339641</v>
      </c>
      <c r="L262" t="s">
        <v>113</v>
      </c>
      <c r="M262" t="s">
        <v>184</v>
      </c>
      <c r="N262" s="25"/>
      <c r="O262">
        <v>0</v>
      </c>
    </row>
    <row r="263" spans="1:15">
      <c r="A263" t="s">
        <v>382</v>
      </c>
      <c r="B263" t="s">
        <v>55</v>
      </c>
      <c r="C263" t="s">
        <v>94</v>
      </c>
      <c r="D263" t="s">
        <v>64</v>
      </c>
      <c r="E263" t="s">
        <v>58</v>
      </c>
      <c r="F263">
        <v>55</v>
      </c>
      <c r="G263" t="s">
        <v>59</v>
      </c>
      <c r="H263" s="24">
        <v>38301</v>
      </c>
      <c r="I263">
        <v>142318</v>
      </c>
      <c r="J263">
        <v>0.14</v>
      </c>
      <c r="K263">
        <v>162243</v>
      </c>
      <c r="L263" t="s">
        <v>60</v>
      </c>
      <c r="M263" t="s">
        <v>73</v>
      </c>
      <c r="N263" s="25"/>
      <c r="O263">
        <v>0</v>
      </c>
    </row>
    <row r="264" spans="1:15">
      <c r="A264" t="s">
        <v>383</v>
      </c>
      <c r="B264" t="s">
        <v>166</v>
      </c>
      <c r="C264" t="s">
        <v>94</v>
      </c>
      <c r="D264" t="s">
        <v>64</v>
      </c>
      <c r="E264" t="s">
        <v>65</v>
      </c>
      <c r="F264">
        <v>41</v>
      </c>
      <c r="G264" t="s">
        <v>95</v>
      </c>
      <c r="H264" s="24">
        <v>38219</v>
      </c>
      <c r="I264">
        <v>49186</v>
      </c>
      <c r="J264">
        <v>0</v>
      </c>
      <c r="K264">
        <v>49186</v>
      </c>
      <c r="L264" t="s">
        <v>60</v>
      </c>
      <c r="M264" t="s">
        <v>91</v>
      </c>
      <c r="N264" s="25">
        <v>39616</v>
      </c>
      <c r="O264">
        <v>1</v>
      </c>
    </row>
    <row r="265" spans="1:15">
      <c r="A265" t="s">
        <v>384</v>
      </c>
      <c r="B265" t="s">
        <v>104</v>
      </c>
      <c r="C265" t="s">
        <v>94</v>
      </c>
      <c r="D265" t="s">
        <v>57</v>
      </c>
      <c r="E265" t="s">
        <v>58</v>
      </c>
      <c r="F265">
        <v>34</v>
      </c>
      <c r="G265" t="s">
        <v>76</v>
      </c>
      <c r="H265" s="24">
        <v>43673</v>
      </c>
      <c r="I265">
        <v>220937</v>
      </c>
      <c r="J265">
        <v>0.38</v>
      </c>
      <c r="K265">
        <v>304893</v>
      </c>
      <c r="L265" t="s">
        <v>60</v>
      </c>
      <c r="M265" t="s">
        <v>91</v>
      </c>
      <c r="N265" s="25"/>
      <c r="O265">
        <v>0</v>
      </c>
    </row>
    <row r="266" spans="1:15">
      <c r="A266" t="s">
        <v>385</v>
      </c>
      <c r="B266" t="s">
        <v>69</v>
      </c>
      <c r="C266" t="s">
        <v>56</v>
      </c>
      <c r="D266" t="s">
        <v>71</v>
      </c>
      <c r="E266" t="s">
        <v>58</v>
      </c>
      <c r="F266">
        <v>47</v>
      </c>
      <c r="G266" t="s">
        <v>72</v>
      </c>
      <c r="H266" s="24">
        <v>41208</v>
      </c>
      <c r="I266">
        <v>183156</v>
      </c>
      <c r="J266">
        <v>0.3</v>
      </c>
      <c r="K266">
        <v>238103</v>
      </c>
      <c r="L266" t="s">
        <v>60</v>
      </c>
      <c r="M266" t="s">
        <v>61</v>
      </c>
      <c r="N266" s="25"/>
      <c r="O266">
        <v>0</v>
      </c>
    </row>
    <row r="267" spans="1:15">
      <c r="A267" t="s">
        <v>386</v>
      </c>
      <c r="B267" t="s">
        <v>104</v>
      </c>
      <c r="C267" t="s">
        <v>56</v>
      </c>
      <c r="D267" t="s">
        <v>71</v>
      </c>
      <c r="E267" t="s">
        <v>58</v>
      </c>
      <c r="F267">
        <v>32</v>
      </c>
      <c r="G267" t="s">
        <v>76</v>
      </c>
      <c r="H267" s="24">
        <v>44034</v>
      </c>
      <c r="I267">
        <v>192749</v>
      </c>
      <c r="J267">
        <v>0.31</v>
      </c>
      <c r="K267">
        <v>252501</v>
      </c>
      <c r="L267" t="s">
        <v>60</v>
      </c>
      <c r="M267" t="s">
        <v>73</v>
      </c>
      <c r="N267" s="25"/>
      <c r="O267">
        <v>0</v>
      </c>
    </row>
    <row r="268" spans="1:15">
      <c r="A268" t="s">
        <v>387</v>
      </c>
      <c r="B268" t="s">
        <v>55</v>
      </c>
      <c r="C268" t="s">
        <v>56</v>
      </c>
      <c r="D268" t="s">
        <v>64</v>
      </c>
      <c r="E268" t="s">
        <v>58</v>
      </c>
      <c r="F268">
        <v>39</v>
      </c>
      <c r="G268" t="s">
        <v>95</v>
      </c>
      <c r="H268" s="24">
        <v>42819</v>
      </c>
      <c r="I268">
        <v>135325</v>
      </c>
      <c r="J268">
        <v>0.14</v>
      </c>
      <c r="K268">
        <v>154270</v>
      </c>
      <c r="L268" t="s">
        <v>60</v>
      </c>
      <c r="M268" t="s">
        <v>79</v>
      </c>
      <c r="N268" s="25"/>
      <c r="O268">
        <v>0</v>
      </c>
    </row>
    <row r="269" spans="1:15">
      <c r="A269" t="s">
        <v>388</v>
      </c>
      <c r="B269" t="s">
        <v>78</v>
      </c>
      <c r="C269" t="s">
        <v>82</v>
      </c>
      <c r="D269" t="s">
        <v>71</v>
      </c>
      <c r="E269" t="s">
        <v>58</v>
      </c>
      <c r="F269">
        <v>26</v>
      </c>
      <c r="G269" t="s">
        <v>76</v>
      </c>
      <c r="H269" s="24">
        <v>43752</v>
      </c>
      <c r="I269">
        <v>79356</v>
      </c>
      <c r="J269">
        <v>0</v>
      </c>
      <c r="K269">
        <v>79356</v>
      </c>
      <c r="L269" t="s">
        <v>60</v>
      </c>
      <c r="M269" t="s">
        <v>79</v>
      </c>
      <c r="N269" s="25"/>
      <c r="O269">
        <v>0</v>
      </c>
    </row>
    <row r="270" spans="1:15">
      <c r="A270" t="s">
        <v>389</v>
      </c>
      <c r="B270" t="s">
        <v>216</v>
      </c>
      <c r="C270" t="s">
        <v>98</v>
      </c>
      <c r="D270" t="s">
        <v>64</v>
      </c>
      <c r="E270" t="s">
        <v>65</v>
      </c>
      <c r="F270">
        <v>40</v>
      </c>
      <c r="G270" t="s">
        <v>95</v>
      </c>
      <c r="H270" s="24">
        <v>38540</v>
      </c>
      <c r="I270">
        <v>74412</v>
      </c>
      <c r="J270">
        <v>0</v>
      </c>
      <c r="K270">
        <v>74412</v>
      </c>
      <c r="L270" t="s">
        <v>60</v>
      </c>
      <c r="M270" t="s">
        <v>61</v>
      </c>
      <c r="N270" s="25"/>
      <c r="O270">
        <v>0</v>
      </c>
    </row>
    <row r="271" spans="1:15">
      <c r="A271" t="s">
        <v>390</v>
      </c>
      <c r="B271" t="s">
        <v>75</v>
      </c>
      <c r="C271" t="s">
        <v>56</v>
      </c>
      <c r="D271" t="s">
        <v>64</v>
      </c>
      <c r="E271" t="s">
        <v>58</v>
      </c>
      <c r="F271">
        <v>32</v>
      </c>
      <c r="G271" t="s">
        <v>76</v>
      </c>
      <c r="H271" s="24">
        <v>43010</v>
      </c>
      <c r="I271">
        <v>61886</v>
      </c>
      <c r="J271">
        <v>0.09</v>
      </c>
      <c r="K271">
        <v>67456</v>
      </c>
      <c r="L271" t="s">
        <v>113</v>
      </c>
      <c r="M271" t="s">
        <v>117</v>
      </c>
      <c r="N271" s="25"/>
      <c r="O271">
        <v>0</v>
      </c>
    </row>
    <row r="272" spans="1:15">
      <c r="A272" t="s">
        <v>391</v>
      </c>
      <c r="B272" t="s">
        <v>69</v>
      </c>
      <c r="C272" t="s">
        <v>90</v>
      </c>
      <c r="D272" t="s">
        <v>57</v>
      </c>
      <c r="E272" t="s">
        <v>58</v>
      </c>
      <c r="F272">
        <v>58</v>
      </c>
      <c r="G272" t="s">
        <v>59</v>
      </c>
      <c r="H272" s="24">
        <v>37755</v>
      </c>
      <c r="I272">
        <v>173071</v>
      </c>
      <c r="J272">
        <v>0.29</v>
      </c>
      <c r="K272">
        <v>223262</v>
      </c>
      <c r="L272" t="s">
        <v>60</v>
      </c>
      <c r="M272" t="s">
        <v>110</v>
      </c>
      <c r="N272" s="25"/>
      <c r="O272">
        <v>0</v>
      </c>
    </row>
    <row r="273" spans="1:15">
      <c r="A273" t="s">
        <v>392</v>
      </c>
      <c r="B273" t="s">
        <v>160</v>
      </c>
      <c r="C273" t="s">
        <v>98</v>
      </c>
      <c r="D273" t="s">
        <v>57</v>
      </c>
      <c r="E273" t="s">
        <v>58</v>
      </c>
      <c r="F273">
        <v>58</v>
      </c>
      <c r="G273" t="s">
        <v>59</v>
      </c>
      <c r="H273" s="24">
        <v>34999</v>
      </c>
      <c r="I273">
        <v>70189</v>
      </c>
      <c r="J273">
        <v>0</v>
      </c>
      <c r="K273">
        <v>70189</v>
      </c>
      <c r="L273" t="s">
        <v>60</v>
      </c>
      <c r="M273" t="s">
        <v>110</v>
      </c>
      <c r="N273" s="25"/>
      <c r="O273">
        <v>0</v>
      </c>
    </row>
    <row r="274" spans="1:15">
      <c r="A274" t="s">
        <v>393</v>
      </c>
      <c r="B274" t="s">
        <v>104</v>
      </c>
      <c r="C274" t="s">
        <v>82</v>
      </c>
      <c r="D274" t="s">
        <v>57</v>
      </c>
      <c r="E274" t="s">
        <v>58</v>
      </c>
      <c r="F274">
        <v>42</v>
      </c>
      <c r="G274" t="s">
        <v>95</v>
      </c>
      <c r="H274" s="24">
        <v>41528</v>
      </c>
      <c r="I274">
        <v>181452</v>
      </c>
      <c r="J274">
        <v>0.3</v>
      </c>
      <c r="K274">
        <v>235888</v>
      </c>
      <c r="L274" t="s">
        <v>60</v>
      </c>
      <c r="M274" t="s">
        <v>110</v>
      </c>
      <c r="N274" s="25"/>
      <c r="O274">
        <v>0</v>
      </c>
    </row>
    <row r="275" spans="1:15">
      <c r="A275" t="s">
        <v>394</v>
      </c>
      <c r="B275" t="s">
        <v>154</v>
      </c>
      <c r="C275" t="s">
        <v>94</v>
      </c>
      <c r="D275" t="s">
        <v>71</v>
      </c>
      <c r="E275" t="s">
        <v>65</v>
      </c>
      <c r="F275">
        <v>26</v>
      </c>
      <c r="G275" t="s">
        <v>76</v>
      </c>
      <c r="H275" s="24">
        <v>44267</v>
      </c>
      <c r="I275">
        <v>70369</v>
      </c>
      <c r="J275">
        <v>0</v>
      </c>
      <c r="K275">
        <v>70369</v>
      </c>
      <c r="L275" t="s">
        <v>60</v>
      </c>
      <c r="M275" t="s">
        <v>61</v>
      </c>
      <c r="N275" s="25"/>
      <c r="O275">
        <v>0</v>
      </c>
    </row>
    <row r="276" spans="1:15">
      <c r="A276" t="s">
        <v>395</v>
      </c>
      <c r="B276" t="s">
        <v>78</v>
      </c>
      <c r="C276" t="s">
        <v>90</v>
      </c>
      <c r="D276" t="s">
        <v>64</v>
      </c>
      <c r="E276" t="s">
        <v>65</v>
      </c>
      <c r="F276">
        <v>38</v>
      </c>
      <c r="G276" t="s">
        <v>95</v>
      </c>
      <c r="H276" s="24">
        <v>39634</v>
      </c>
      <c r="I276">
        <v>78056</v>
      </c>
      <c r="J276">
        <v>0</v>
      </c>
      <c r="K276">
        <v>78056</v>
      </c>
      <c r="L276" t="s">
        <v>113</v>
      </c>
      <c r="M276" t="s">
        <v>184</v>
      </c>
      <c r="N276" s="25"/>
      <c r="O276">
        <v>0</v>
      </c>
    </row>
    <row r="277" spans="1:15">
      <c r="A277" t="s">
        <v>396</v>
      </c>
      <c r="B277" t="s">
        <v>69</v>
      </c>
      <c r="C277" t="s">
        <v>70</v>
      </c>
      <c r="D277" t="s">
        <v>57</v>
      </c>
      <c r="E277" t="s">
        <v>65</v>
      </c>
      <c r="F277">
        <v>64</v>
      </c>
      <c r="G277" t="s">
        <v>59</v>
      </c>
      <c r="H277" s="24">
        <v>35187</v>
      </c>
      <c r="I277">
        <v>189933</v>
      </c>
      <c r="J277">
        <v>0.23</v>
      </c>
      <c r="K277">
        <v>233618</v>
      </c>
      <c r="L277" t="s">
        <v>60</v>
      </c>
      <c r="M277" t="s">
        <v>88</v>
      </c>
      <c r="N277" s="25"/>
      <c r="O277">
        <v>0</v>
      </c>
    </row>
    <row r="278" spans="1:15">
      <c r="A278" t="s">
        <v>397</v>
      </c>
      <c r="B278" t="s">
        <v>162</v>
      </c>
      <c r="C278" t="s">
        <v>98</v>
      </c>
      <c r="D278" t="s">
        <v>71</v>
      </c>
      <c r="E278" t="s">
        <v>65</v>
      </c>
      <c r="F278">
        <v>38</v>
      </c>
      <c r="G278" t="s">
        <v>95</v>
      </c>
      <c r="H278" s="24">
        <v>40360</v>
      </c>
      <c r="I278">
        <v>78237</v>
      </c>
      <c r="J278">
        <v>0</v>
      </c>
      <c r="K278">
        <v>78237</v>
      </c>
      <c r="L278" t="s">
        <v>60</v>
      </c>
      <c r="M278" t="s">
        <v>79</v>
      </c>
      <c r="N278" s="25"/>
      <c r="O278">
        <v>0</v>
      </c>
    </row>
    <row r="279" spans="1:15">
      <c r="A279" t="s">
        <v>398</v>
      </c>
      <c r="B279" t="s">
        <v>87</v>
      </c>
      <c r="C279" t="s">
        <v>90</v>
      </c>
      <c r="D279" t="s">
        <v>57</v>
      </c>
      <c r="E279" t="s">
        <v>58</v>
      </c>
      <c r="F279">
        <v>55</v>
      </c>
      <c r="G279" t="s">
        <v>59</v>
      </c>
      <c r="H279" s="24">
        <v>35242</v>
      </c>
      <c r="I279">
        <v>48687</v>
      </c>
      <c r="J279">
        <v>0</v>
      </c>
      <c r="K279">
        <v>48687</v>
      </c>
      <c r="L279" t="s">
        <v>113</v>
      </c>
      <c r="M279" t="s">
        <v>117</v>
      </c>
      <c r="N279" s="25"/>
      <c r="O279">
        <v>0</v>
      </c>
    </row>
    <row r="280" spans="1:15">
      <c r="A280" t="s">
        <v>399</v>
      </c>
      <c r="B280" t="s">
        <v>55</v>
      </c>
      <c r="C280" t="s">
        <v>105</v>
      </c>
      <c r="D280" t="s">
        <v>64</v>
      </c>
      <c r="E280" t="s">
        <v>58</v>
      </c>
      <c r="F280">
        <v>45</v>
      </c>
      <c r="G280" t="s">
        <v>72</v>
      </c>
      <c r="H280" s="24">
        <v>38218</v>
      </c>
      <c r="I280">
        <v>121065</v>
      </c>
      <c r="J280">
        <v>0.15</v>
      </c>
      <c r="K280">
        <v>139225</v>
      </c>
      <c r="L280" t="s">
        <v>113</v>
      </c>
      <c r="M280" t="s">
        <v>117</v>
      </c>
      <c r="N280" s="25"/>
      <c r="O280">
        <v>0</v>
      </c>
    </row>
    <row r="281" spans="1:15">
      <c r="A281" t="s">
        <v>400</v>
      </c>
      <c r="B281" t="s">
        <v>78</v>
      </c>
      <c r="C281" t="s">
        <v>82</v>
      </c>
      <c r="D281" t="s">
        <v>83</v>
      </c>
      <c r="E281" t="s">
        <v>65</v>
      </c>
      <c r="F281">
        <v>43</v>
      </c>
      <c r="G281" t="s">
        <v>95</v>
      </c>
      <c r="H281" s="24">
        <v>38093</v>
      </c>
      <c r="I281">
        <v>94246</v>
      </c>
      <c r="J281">
        <v>0</v>
      </c>
      <c r="K281">
        <v>94246</v>
      </c>
      <c r="L281" t="s">
        <v>60</v>
      </c>
      <c r="M281" t="s">
        <v>91</v>
      </c>
      <c r="N281" s="25"/>
      <c r="O281">
        <v>0</v>
      </c>
    </row>
    <row r="282" spans="1:15">
      <c r="A282" t="s">
        <v>401</v>
      </c>
      <c r="B282" t="s">
        <v>244</v>
      </c>
      <c r="C282" t="s">
        <v>56</v>
      </c>
      <c r="D282" t="s">
        <v>64</v>
      </c>
      <c r="E282" t="s">
        <v>58</v>
      </c>
      <c r="F282">
        <v>34</v>
      </c>
      <c r="G282" t="s">
        <v>76</v>
      </c>
      <c r="H282" s="24">
        <v>42512</v>
      </c>
      <c r="I282">
        <v>44614</v>
      </c>
      <c r="J282">
        <v>0</v>
      </c>
      <c r="K282">
        <v>44614</v>
      </c>
      <c r="L282" t="s">
        <v>60</v>
      </c>
      <c r="M282" t="s">
        <v>88</v>
      </c>
      <c r="N282" s="25"/>
      <c r="O282">
        <v>0</v>
      </c>
    </row>
    <row r="283" spans="1:15">
      <c r="A283" t="s">
        <v>402</v>
      </c>
      <c r="B283" t="s">
        <v>104</v>
      </c>
      <c r="C283" t="s">
        <v>56</v>
      </c>
      <c r="D283" t="s">
        <v>57</v>
      </c>
      <c r="E283" t="s">
        <v>65</v>
      </c>
      <c r="F283">
        <v>40</v>
      </c>
      <c r="G283" t="s">
        <v>95</v>
      </c>
      <c r="H283" s="24">
        <v>44143</v>
      </c>
      <c r="I283">
        <v>234469</v>
      </c>
      <c r="J283">
        <v>0.31</v>
      </c>
      <c r="K283">
        <v>307154</v>
      </c>
      <c r="L283" t="s">
        <v>66</v>
      </c>
      <c r="M283" t="s">
        <v>138</v>
      </c>
      <c r="N283" s="25"/>
      <c r="O283">
        <v>0</v>
      </c>
    </row>
    <row r="284" spans="1:15">
      <c r="A284" t="s">
        <v>403</v>
      </c>
      <c r="B284" t="s">
        <v>162</v>
      </c>
      <c r="C284" t="s">
        <v>98</v>
      </c>
      <c r="D284" t="s">
        <v>57</v>
      </c>
      <c r="E284" t="s">
        <v>65</v>
      </c>
      <c r="F284">
        <v>52</v>
      </c>
      <c r="G284" t="s">
        <v>72</v>
      </c>
      <c r="H284" s="24">
        <v>44022</v>
      </c>
      <c r="I284">
        <v>88272</v>
      </c>
      <c r="J284">
        <v>0</v>
      </c>
      <c r="K284">
        <v>88272</v>
      </c>
      <c r="L284" t="s">
        <v>113</v>
      </c>
      <c r="M284" t="s">
        <v>184</v>
      </c>
      <c r="N284" s="25"/>
      <c r="O284">
        <v>0</v>
      </c>
    </row>
    <row r="285" spans="1:15">
      <c r="A285" t="s">
        <v>404</v>
      </c>
      <c r="B285" t="s">
        <v>132</v>
      </c>
      <c r="C285" t="s">
        <v>70</v>
      </c>
      <c r="D285" t="s">
        <v>83</v>
      </c>
      <c r="E285" t="s">
        <v>65</v>
      </c>
      <c r="F285">
        <v>52</v>
      </c>
      <c r="G285" t="s">
        <v>72</v>
      </c>
      <c r="H285" s="24">
        <v>42992</v>
      </c>
      <c r="I285">
        <v>74449</v>
      </c>
      <c r="J285">
        <v>0</v>
      </c>
      <c r="K285">
        <v>74449</v>
      </c>
      <c r="L285" t="s">
        <v>66</v>
      </c>
      <c r="M285" t="s">
        <v>126</v>
      </c>
      <c r="N285" s="25"/>
      <c r="O285">
        <v>0</v>
      </c>
    </row>
    <row r="286" spans="1:15">
      <c r="A286" t="s">
        <v>405</v>
      </c>
      <c r="B286" t="s">
        <v>104</v>
      </c>
      <c r="C286" t="s">
        <v>98</v>
      </c>
      <c r="D286" t="s">
        <v>71</v>
      </c>
      <c r="E286" t="s">
        <v>65</v>
      </c>
      <c r="F286">
        <v>47</v>
      </c>
      <c r="G286" t="s">
        <v>72</v>
      </c>
      <c r="H286" s="24">
        <v>41071</v>
      </c>
      <c r="I286">
        <v>222941</v>
      </c>
      <c r="J286">
        <v>0.39</v>
      </c>
      <c r="K286">
        <v>309888</v>
      </c>
      <c r="L286" t="s">
        <v>66</v>
      </c>
      <c r="M286" t="s">
        <v>126</v>
      </c>
      <c r="N286" s="25"/>
      <c r="O286">
        <v>0</v>
      </c>
    </row>
    <row r="287" spans="1:15">
      <c r="A287" t="s">
        <v>406</v>
      </c>
      <c r="B287" t="s">
        <v>87</v>
      </c>
      <c r="C287" t="s">
        <v>105</v>
      </c>
      <c r="D287" t="s">
        <v>64</v>
      </c>
      <c r="E287" t="s">
        <v>58</v>
      </c>
      <c r="F287">
        <v>65</v>
      </c>
      <c r="G287" t="s">
        <v>107</v>
      </c>
      <c r="H287" s="24">
        <v>41543</v>
      </c>
      <c r="I287">
        <v>50341</v>
      </c>
      <c r="J287">
        <v>0</v>
      </c>
      <c r="K287">
        <v>50341</v>
      </c>
      <c r="L287" t="s">
        <v>66</v>
      </c>
      <c r="M287" t="s">
        <v>126</v>
      </c>
      <c r="N287" s="25"/>
      <c r="O287">
        <v>0</v>
      </c>
    </row>
    <row r="288" spans="1:15">
      <c r="A288" t="s">
        <v>407</v>
      </c>
      <c r="B288" t="s">
        <v>154</v>
      </c>
      <c r="C288" t="s">
        <v>94</v>
      </c>
      <c r="D288" t="s">
        <v>83</v>
      </c>
      <c r="E288" t="s">
        <v>58</v>
      </c>
      <c r="F288">
        <v>31</v>
      </c>
      <c r="G288" t="s">
        <v>76</v>
      </c>
      <c r="H288" s="24">
        <v>44297</v>
      </c>
      <c r="I288">
        <v>72235</v>
      </c>
      <c r="J288">
        <v>0</v>
      </c>
      <c r="K288">
        <v>72235</v>
      </c>
      <c r="L288" t="s">
        <v>113</v>
      </c>
      <c r="M288" t="s">
        <v>114</v>
      </c>
      <c r="N288" s="25"/>
      <c r="O288">
        <v>0</v>
      </c>
    </row>
    <row r="289" spans="1:15">
      <c r="A289" t="s">
        <v>408</v>
      </c>
      <c r="B289" t="s">
        <v>78</v>
      </c>
      <c r="C289" t="s">
        <v>90</v>
      </c>
      <c r="D289" t="s">
        <v>83</v>
      </c>
      <c r="E289" t="s">
        <v>58</v>
      </c>
      <c r="F289">
        <v>41</v>
      </c>
      <c r="G289" t="s">
        <v>95</v>
      </c>
      <c r="H289" s="24">
        <v>42533</v>
      </c>
      <c r="I289">
        <v>70165</v>
      </c>
      <c r="J289">
        <v>0</v>
      </c>
      <c r="K289">
        <v>70165</v>
      </c>
      <c r="L289" t="s">
        <v>60</v>
      </c>
      <c r="M289" t="s">
        <v>110</v>
      </c>
      <c r="N289" s="25"/>
      <c r="O289">
        <v>0</v>
      </c>
    </row>
    <row r="290" spans="1:15">
      <c r="A290" t="s">
        <v>409</v>
      </c>
      <c r="B290" t="s">
        <v>55</v>
      </c>
      <c r="C290" t="s">
        <v>105</v>
      </c>
      <c r="D290" t="s">
        <v>71</v>
      </c>
      <c r="E290" t="s">
        <v>65</v>
      </c>
      <c r="F290">
        <v>30</v>
      </c>
      <c r="G290" t="s">
        <v>76</v>
      </c>
      <c r="H290" s="24">
        <v>44030</v>
      </c>
      <c r="I290">
        <v>148485</v>
      </c>
      <c r="J290">
        <v>0.15</v>
      </c>
      <c r="K290">
        <v>170758</v>
      </c>
      <c r="L290" t="s">
        <v>60</v>
      </c>
      <c r="M290" t="s">
        <v>88</v>
      </c>
      <c r="N290" s="25"/>
      <c r="O290">
        <v>0</v>
      </c>
    </row>
    <row r="291" spans="1:15">
      <c r="A291" t="s">
        <v>410</v>
      </c>
      <c r="B291" t="s">
        <v>63</v>
      </c>
      <c r="C291" t="s">
        <v>56</v>
      </c>
      <c r="D291" t="s">
        <v>64</v>
      </c>
      <c r="E291" t="s">
        <v>58</v>
      </c>
      <c r="F291">
        <v>58</v>
      </c>
      <c r="G291" t="s">
        <v>59</v>
      </c>
      <c r="H291" s="24">
        <v>38521</v>
      </c>
      <c r="I291">
        <v>86089</v>
      </c>
      <c r="J291">
        <v>0</v>
      </c>
      <c r="K291">
        <v>86089</v>
      </c>
      <c r="L291" t="s">
        <v>60</v>
      </c>
      <c r="M291" t="s">
        <v>73</v>
      </c>
      <c r="N291" s="25"/>
      <c r="O291">
        <v>0</v>
      </c>
    </row>
    <row r="292" spans="1:15">
      <c r="A292" t="s">
        <v>411</v>
      </c>
      <c r="B292" t="s">
        <v>125</v>
      </c>
      <c r="C292" t="s">
        <v>98</v>
      </c>
      <c r="D292" t="s">
        <v>57</v>
      </c>
      <c r="E292" t="s">
        <v>65</v>
      </c>
      <c r="F292">
        <v>54</v>
      </c>
      <c r="G292" t="s">
        <v>72</v>
      </c>
      <c r="H292" s="24">
        <v>39382</v>
      </c>
      <c r="I292">
        <v>106313</v>
      </c>
      <c r="J292">
        <v>0.15</v>
      </c>
      <c r="K292">
        <v>122260</v>
      </c>
      <c r="L292" t="s">
        <v>60</v>
      </c>
      <c r="M292" t="s">
        <v>73</v>
      </c>
      <c r="N292" s="25"/>
      <c r="O292">
        <v>0</v>
      </c>
    </row>
    <row r="293" spans="1:15">
      <c r="A293" t="s">
        <v>412</v>
      </c>
      <c r="B293" t="s">
        <v>87</v>
      </c>
      <c r="C293" t="s">
        <v>105</v>
      </c>
      <c r="D293" t="s">
        <v>57</v>
      </c>
      <c r="E293" t="s">
        <v>58</v>
      </c>
      <c r="F293">
        <v>40</v>
      </c>
      <c r="G293" t="s">
        <v>95</v>
      </c>
      <c r="H293" s="24">
        <v>44251</v>
      </c>
      <c r="I293">
        <v>46833</v>
      </c>
      <c r="J293">
        <v>0</v>
      </c>
      <c r="K293">
        <v>46833</v>
      </c>
      <c r="L293" t="s">
        <v>66</v>
      </c>
      <c r="M293" t="s">
        <v>138</v>
      </c>
      <c r="N293" s="25">
        <v>44510</v>
      </c>
      <c r="O293">
        <v>1</v>
      </c>
    </row>
    <row r="294" spans="1:15">
      <c r="A294" t="s">
        <v>413</v>
      </c>
      <c r="B294" t="s">
        <v>69</v>
      </c>
      <c r="C294" t="s">
        <v>70</v>
      </c>
      <c r="D294" t="s">
        <v>57</v>
      </c>
      <c r="E294" t="s">
        <v>58</v>
      </c>
      <c r="F294">
        <v>63</v>
      </c>
      <c r="G294" t="s">
        <v>59</v>
      </c>
      <c r="H294" s="24">
        <v>36826</v>
      </c>
      <c r="I294">
        <v>155320</v>
      </c>
      <c r="J294">
        <v>0.17</v>
      </c>
      <c r="K294">
        <v>181724</v>
      </c>
      <c r="L294" t="s">
        <v>66</v>
      </c>
      <c r="M294" t="s">
        <v>67</v>
      </c>
      <c r="N294" s="25"/>
      <c r="O294">
        <v>0</v>
      </c>
    </row>
    <row r="295" spans="1:15">
      <c r="A295" t="s">
        <v>414</v>
      </c>
      <c r="B295" t="s">
        <v>78</v>
      </c>
      <c r="C295" t="s">
        <v>90</v>
      </c>
      <c r="D295" t="s">
        <v>64</v>
      </c>
      <c r="E295" t="s">
        <v>65</v>
      </c>
      <c r="F295">
        <v>40</v>
      </c>
      <c r="G295" t="s">
        <v>95</v>
      </c>
      <c r="H295" s="24">
        <v>42384</v>
      </c>
      <c r="I295">
        <v>89984</v>
      </c>
      <c r="J295">
        <v>0</v>
      </c>
      <c r="K295">
        <v>89984</v>
      </c>
      <c r="L295" t="s">
        <v>66</v>
      </c>
      <c r="M295" t="s">
        <v>138</v>
      </c>
      <c r="N295" s="25"/>
      <c r="O295">
        <v>0</v>
      </c>
    </row>
    <row r="296" spans="1:15">
      <c r="A296" t="s">
        <v>415</v>
      </c>
      <c r="B296" t="s">
        <v>125</v>
      </c>
      <c r="C296" t="s">
        <v>98</v>
      </c>
      <c r="D296" t="s">
        <v>71</v>
      </c>
      <c r="E296" t="s">
        <v>58</v>
      </c>
      <c r="F296">
        <v>65</v>
      </c>
      <c r="G296" t="s">
        <v>107</v>
      </c>
      <c r="H296" s="24">
        <v>38792</v>
      </c>
      <c r="I296">
        <v>83756</v>
      </c>
      <c r="J296">
        <v>0.14</v>
      </c>
      <c r="K296">
        <v>95482</v>
      </c>
      <c r="L296" t="s">
        <v>66</v>
      </c>
      <c r="M296" t="s">
        <v>101</v>
      </c>
      <c r="N296" s="25"/>
      <c r="O296">
        <v>0</v>
      </c>
    </row>
    <row r="297" spans="1:15">
      <c r="A297" t="s">
        <v>416</v>
      </c>
      <c r="B297" t="s">
        <v>69</v>
      </c>
      <c r="C297" t="s">
        <v>94</v>
      </c>
      <c r="D297" t="s">
        <v>83</v>
      </c>
      <c r="E297" t="s">
        <v>58</v>
      </c>
      <c r="F297">
        <v>57</v>
      </c>
      <c r="G297" t="s">
        <v>59</v>
      </c>
      <c r="H297" s="24">
        <v>42667</v>
      </c>
      <c r="I297">
        <v>176324</v>
      </c>
      <c r="J297">
        <v>0.23</v>
      </c>
      <c r="K297">
        <v>216879</v>
      </c>
      <c r="L297" t="s">
        <v>66</v>
      </c>
      <c r="M297" t="s">
        <v>101</v>
      </c>
      <c r="N297" s="25"/>
      <c r="O297">
        <v>0</v>
      </c>
    </row>
    <row r="298" spans="1:15">
      <c r="A298" t="s">
        <v>417</v>
      </c>
      <c r="B298" t="s">
        <v>78</v>
      </c>
      <c r="C298" t="s">
        <v>90</v>
      </c>
      <c r="D298" t="s">
        <v>71</v>
      </c>
      <c r="E298" t="s">
        <v>65</v>
      </c>
      <c r="F298">
        <v>27</v>
      </c>
      <c r="G298" t="s">
        <v>76</v>
      </c>
      <c r="H298" s="24">
        <v>44482</v>
      </c>
      <c r="I298">
        <v>74077</v>
      </c>
      <c r="J298">
        <v>0</v>
      </c>
      <c r="K298">
        <v>74077</v>
      </c>
      <c r="L298" t="s">
        <v>60</v>
      </c>
      <c r="M298" t="s">
        <v>61</v>
      </c>
      <c r="N298" s="25"/>
      <c r="O298">
        <v>0</v>
      </c>
    </row>
    <row r="299" spans="1:15">
      <c r="A299" t="s">
        <v>418</v>
      </c>
      <c r="B299" t="s">
        <v>85</v>
      </c>
      <c r="C299" t="s">
        <v>94</v>
      </c>
      <c r="D299" t="s">
        <v>64</v>
      </c>
      <c r="E299" t="s">
        <v>58</v>
      </c>
      <c r="F299">
        <v>31</v>
      </c>
      <c r="G299" t="s">
        <v>76</v>
      </c>
      <c r="H299" s="24">
        <v>44214</v>
      </c>
      <c r="I299">
        <v>104162</v>
      </c>
      <c r="J299">
        <v>0.07</v>
      </c>
      <c r="K299">
        <v>111453</v>
      </c>
      <c r="L299" t="s">
        <v>60</v>
      </c>
      <c r="M299" t="s">
        <v>91</v>
      </c>
      <c r="N299" s="25"/>
      <c r="O299">
        <v>0</v>
      </c>
    </row>
    <row r="300" spans="1:15">
      <c r="A300" t="s">
        <v>419</v>
      </c>
      <c r="B300" t="s">
        <v>303</v>
      </c>
      <c r="C300" t="s">
        <v>56</v>
      </c>
      <c r="D300" t="s">
        <v>83</v>
      </c>
      <c r="E300" t="s">
        <v>58</v>
      </c>
      <c r="F300">
        <v>45</v>
      </c>
      <c r="G300" t="s">
        <v>72</v>
      </c>
      <c r="H300" s="24">
        <v>40418</v>
      </c>
      <c r="I300">
        <v>82162</v>
      </c>
      <c r="J300">
        <v>0</v>
      </c>
      <c r="K300">
        <v>82162</v>
      </c>
      <c r="L300" t="s">
        <v>66</v>
      </c>
      <c r="M300" t="s">
        <v>126</v>
      </c>
      <c r="N300" s="25">
        <v>44107</v>
      </c>
      <c r="O300">
        <v>1</v>
      </c>
    </row>
    <row r="301" spans="1:15">
      <c r="A301" t="s">
        <v>420</v>
      </c>
      <c r="B301" t="s">
        <v>81</v>
      </c>
      <c r="C301" t="s">
        <v>82</v>
      </c>
      <c r="D301" t="s">
        <v>71</v>
      </c>
      <c r="E301" t="s">
        <v>58</v>
      </c>
      <c r="F301">
        <v>47</v>
      </c>
      <c r="G301" t="s">
        <v>72</v>
      </c>
      <c r="H301" s="24">
        <v>42195</v>
      </c>
      <c r="I301">
        <v>63880</v>
      </c>
      <c r="J301">
        <v>0</v>
      </c>
      <c r="K301">
        <v>63880</v>
      </c>
      <c r="L301" t="s">
        <v>66</v>
      </c>
      <c r="M301" t="s">
        <v>67</v>
      </c>
      <c r="N301" s="25"/>
      <c r="O301">
        <v>0</v>
      </c>
    </row>
    <row r="302" spans="1:15">
      <c r="A302" t="s">
        <v>421</v>
      </c>
      <c r="B302" t="s">
        <v>187</v>
      </c>
      <c r="C302" t="s">
        <v>98</v>
      </c>
      <c r="D302" t="s">
        <v>57</v>
      </c>
      <c r="E302" t="s">
        <v>58</v>
      </c>
      <c r="F302">
        <v>55</v>
      </c>
      <c r="G302" t="s">
        <v>59</v>
      </c>
      <c r="H302" s="24">
        <v>41525</v>
      </c>
      <c r="I302">
        <v>73248</v>
      </c>
      <c r="J302">
        <v>0</v>
      </c>
      <c r="K302">
        <v>73248</v>
      </c>
      <c r="L302" t="s">
        <v>60</v>
      </c>
      <c r="M302" t="s">
        <v>110</v>
      </c>
      <c r="N302" s="25"/>
      <c r="O302">
        <v>0</v>
      </c>
    </row>
    <row r="303" spans="1:15">
      <c r="A303" t="s">
        <v>422</v>
      </c>
      <c r="B303" t="s">
        <v>78</v>
      </c>
      <c r="C303" t="s">
        <v>90</v>
      </c>
      <c r="D303" t="s">
        <v>64</v>
      </c>
      <c r="E303" t="s">
        <v>65</v>
      </c>
      <c r="F303">
        <v>51</v>
      </c>
      <c r="G303" t="s">
        <v>72</v>
      </c>
      <c r="H303" s="24">
        <v>44113</v>
      </c>
      <c r="I303">
        <v>91853</v>
      </c>
      <c r="J303">
        <v>0</v>
      </c>
      <c r="K303">
        <v>91853</v>
      </c>
      <c r="L303" t="s">
        <v>60</v>
      </c>
      <c r="M303" t="s">
        <v>73</v>
      </c>
      <c r="N303" s="25"/>
      <c r="O303">
        <v>0</v>
      </c>
    </row>
    <row r="304" spans="1:15">
      <c r="A304" t="s">
        <v>423</v>
      </c>
      <c r="B304" t="s">
        <v>69</v>
      </c>
      <c r="C304" t="s">
        <v>70</v>
      </c>
      <c r="D304" t="s">
        <v>71</v>
      </c>
      <c r="E304" t="s">
        <v>65</v>
      </c>
      <c r="F304">
        <v>25</v>
      </c>
      <c r="G304" t="s">
        <v>76</v>
      </c>
      <c r="H304" s="24">
        <v>43844</v>
      </c>
      <c r="I304">
        <v>168014</v>
      </c>
      <c r="J304">
        <v>0.27</v>
      </c>
      <c r="K304">
        <v>213378</v>
      </c>
      <c r="L304" t="s">
        <v>60</v>
      </c>
      <c r="M304" t="s">
        <v>73</v>
      </c>
      <c r="N304" s="25">
        <v>44404</v>
      </c>
      <c r="O304">
        <v>1</v>
      </c>
    </row>
    <row r="305" spans="1:15">
      <c r="A305" t="s">
        <v>424</v>
      </c>
      <c r="B305" t="s">
        <v>216</v>
      </c>
      <c r="C305" t="s">
        <v>98</v>
      </c>
      <c r="D305" t="s">
        <v>83</v>
      </c>
      <c r="E305" t="s">
        <v>58</v>
      </c>
      <c r="F305">
        <v>37</v>
      </c>
      <c r="G305" t="s">
        <v>95</v>
      </c>
      <c r="H305" s="24">
        <v>42995</v>
      </c>
      <c r="I305">
        <v>70770</v>
      </c>
      <c r="J305">
        <v>0</v>
      </c>
      <c r="K305">
        <v>70770</v>
      </c>
      <c r="L305" t="s">
        <v>60</v>
      </c>
      <c r="M305" t="s">
        <v>88</v>
      </c>
      <c r="N305" s="25"/>
      <c r="O305">
        <v>0</v>
      </c>
    </row>
    <row r="306" spans="1:15">
      <c r="A306" t="s">
        <v>425</v>
      </c>
      <c r="B306" t="s">
        <v>154</v>
      </c>
      <c r="C306" t="s">
        <v>94</v>
      </c>
      <c r="D306" t="s">
        <v>83</v>
      </c>
      <c r="E306" t="s">
        <v>65</v>
      </c>
      <c r="F306">
        <v>62</v>
      </c>
      <c r="G306" t="s">
        <v>59</v>
      </c>
      <c r="H306" s="24">
        <v>38271</v>
      </c>
      <c r="I306">
        <v>50825</v>
      </c>
      <c r="J306">
        <v>0</v>
      </c>
      <c r="K306">
        <v>50825</v>
      </c>
      <c r="L306" t="s">
        <v>60</v>
      </c>
      <c r="M306" t="s">
        <v>61</v>
      </c>
      <c r="N306" s="25"/>
      <c r="O306">
        <v>0</v>
      </c>
    </row>
    <row r="307" spans="1:15">
      <c r="A307" t="s">
        <v>426</v>
      </c>
      <c r="B307" t="s">
        <v>55</v>
      </c>
      <c r="C307" t="s">
        <v>70</v>
      </c>
      <c r="D307" t="s">
        <v>57</v>
      </c>
      <c r="E307" t="s">
        <v>65</v>
      </c>
      <c r="F307">
        <v>31</v>
      </c>
      <c r="G307" t="s">
        <v>76</v>
      </c>
      <c r="H307" s="24">
        <v>42266</v>
      </c>
      <c r="I307">
        <v>145846</v>
      </c>
      <c r="J307">
        <v>0.15</v>
      </c>
      <c r="K307">
        <v>167723</v>
      </c>
      <c r="L307" t="s">
        <v>113</v>
      </c>
      <c r="M307" t="s">
        <v>114</v>
      </c>
      <c r="N307" s="25"/>
      <c r="O307">
        <v>0</v>
      </c>
    </row>
    <row r="308" spans="1:15">
      <c r="A308" t="s">
        <v>427</v>
      </c>
      <c r="B308" t="s">
        <v>55</v>
      </c>
      <c r="C308" t="s">
        <v>94</v>
      </c>
      <c r="D308" t="s">
        <v>57</v>
      </c>
      <c r="E308" t="s">
        <v>58</v>
      </c>
      <c r="F308">
        <v>64</v>
      </c>
      <c r="G308" t="s">
        <v>59</v>
      </c>
      <c r="H308" s="24">
        <v>37962</v>
      </c>
      <c r="I308">
        <v>125807</v>
      </c>
      <c r="J308">
        <v>0.15</v>
      </c>
      <c r="K308">
        <v>144678</v>
      </c>
      <c r="L308" t="s">
        <v>60</v>
      </c>
      <c r="M308" t="s">
        <v>73</v>
      </c>
      <c r="N308" s="25"/>
      <c r="O308">
        <v>0</v>
      </c>
    </row>
    <row r="309" spans="1:15">
      <c r="A309" t="s">
        <v>428</v>
      </c>
      <c r="B309" t="s">
        <v>87</v>
      </c>
      <c r="C309" t="s">
        <v>82</v>
      </c>
      <c r="D309" t="s">
        <v>71</v>
      </c>
      <c r="E309" t="s">
        <v>65</v>
      </c>
      <c r="F309">
        <v>25</v>
      </c>
      <c r="G309" t="s">
        <v>76</v>
      </c>
      <c r="H309" s="24">
        <v>44405</v>
      </c>
      <c r="I309">
        <v>46845</v>
      </c>
      <c r="J309">
        <v>0</v>
      </c>
      <c r="K309">
        <v>46845</v>
      </c>
      <c r="L309" t="s">
        <v>60</v>
      </c>
      <c r="M309" t="s">
        <v>88</v>
      </c>
      <c r="N309" s="25"/>
      <c r="O309">
        <v>0</v>
      </c>
    </row>
    <row r="310" spans="1:15">
      <c r="A310" t="s">
        <v>429</v>
      </c>
      <c r="B310" t="s">
        <v>55</v>
      </c>
      <c r="C310" t="s">
        <v>105</v>
      </c>
      <c r="D310" t="s">
        <v>83</v>
      </c>
      <c r="E310" t="s">
        <v>58</v>
      </c>
      <c r="F310">
        <v>59</v>
      </c>
      <c r="G310" t="s">
        <v>59</v>
      </c>
      <c r="H310" s="24">
        <v>39689</v>
      </c>
      <c r="I310">
        <v>157969</v>
      </c>
      <c r="J310">
        <v>0.1</v>
      </c>
      <c r="K310">
        <v>173766</v>
      </c>
      <c r="L310" t="s">
        <v>66</v>
      </c>
      <c r="M310" t="s">
        <v>67</v>
      </c>
      <c r="N310" s="25"/>
      <c r="O310">
        <v>0</v>
      </c>
    </row>
    <row r="311" spans="1:15">
      <c r="A311" t="s">
        <v>430</v>
      </c>
      <c r="B311" t="s">
        <v>266</v>
      </c>
      <c r="C311" t="s">
        <v>56</v>
      </c>
      <c r="D311" t="s">
        <v>83</v>
      </c>
      <c r="E311" t="s">
        <v>58</v>
      </c>
      <c r="F311">
        <v>40</v>
      </c>
      <c r="G311" t="s">
        <v>95</v>
      </c>
      <c r="H311" s="24">
        <v>40522</v>
      </c>
      <c r="I311">
        <v>97807</v>
      </c>
      <c r="J311">
        <v>0</v>
      </c>
      <c r="K311">
        <v>97807</v>
      </c>
      <c r="L311" t="s">
        <v>60</v>
      </c>
      <c r="M311" t="s">
        <v>73</v>
      </c>
      <c r="N311" s="25"/>
      <c r="O311">
        <v>0</v>
      </c>
    </row>
    <row r="312" spans="1:15">
      <c r="A312" t="s">
        <v>431</v>
      </c>
      <c r="B312" t="s">
        <v>154</v>
      </c>
      <c r="C312" t="s">
        <v>94</v>
      </c>
      <c r="D312" t="s">
        <v>64</v>
      </c>
      <c r="E312" t="s">
        <v>65</v>
      </c>
      <c r="F312">
        <v>31</v>
      </c>
      <c r="G312" t="s">
        <v>76</v>
      </c>
      <c r="H312" s="24">
        <v>42347</v>
      </c>
      <c r="I312">
        <v>73854</v>
      </c>
      <c r="J312">
        <v>0</v>
      </c>
      <c r="K312">
        <v>73854</v>
      </c>
      <c r="L312" t="s">
        <v>60</v>
      </c>
      <c r="M312" t="s">
        <v>61</v>
      </c>
      <c r="N312" s="25"/>
      <c r="O312">
        <v>0</v>
      </c>
    </row>
    <row r="313" spans="1:15">
      <c r="A313" t="s">
        <v>432</v>
      </c>
      <c r="B313" t="s">
        <v>55</v>
      </c>
      <c r="C313" t="s">
        <v>90</v>
      </c>
      <c r="D313" t="s">
        <v>64</v>
      </c>
      <c r="E313" t="s">
        <v>65</v>
      </c>
      <c r="F313">
        <v>45</v>
      </c>
      <c r="G313" t="s">
        <v>72</v>
      </c>
      <c r="H313" s="24">
        <v>39063</v>
      </c>
      <c r="I313">
        <v>149537</v>
      </c>
      <c r="J313">
        <v>0.14</v>
      </c>
      <c r="K313">
        <v>170472</v>
      </c>
      <c r="L313" t="s">
        <v>60</v>
      </c>
      <c r="M313" t="s">
        <v>61</v>
      </c>
      <c r="N313" s="25"/>
      <c r="O313">
        <v>0</v>
      </c>
    </row>
    <row r="314" spans="1:15">
      <c r="A314" t="s">
        <v>433</v>
      </c>
      <c r="B314" t="s">
        <v>55</v>
      </c>
      <c r="C314" t="s">
        <v>82</v>
      </c>
      <c r="D314" t="s">
        <v>64</v>
      </c>
      <c r="E314" t="s">
        <v>58</v>
      </c>
      <c r="F314">
        <v>49</v>
      </c>
      <c r="G314" t="s">
        <v>72</v>
      </c>
      <c r="H314" s="24">
        <v>41379</v>
      </c>
      <c r="I314">
        <v>128303</v>
      </c>
      <c r="J314">
        <v>0.15</v>
      </c>
      <c r="K314">
        <v>147548</v>
      </c>
      <c r="L314" t="s">
        <v>60</v>
      </c>
      <c r="M314" t="s">
        <v>79</v>
      </c>
      <c r="N314" s="25"/>
      <c r="O314">
        <v>0</v>
      </c>
    </row>
    <row r="315" spans="1:15">
      <c r="A315" t="s">
        <v>434</v>
      </c>
      <c r="B315" t="s">
        <v>200</v>
      </c>
      <c r="C315" t="s">
        <v>56</v>
      </c>
      <c r="D315" t="s">
        <v>71</v>
      </c>
      <c r="E315" t="s">
        <v>65</v>
      </c>
      <c r="F315">
        <v>46</v>
      </c>
      <c r="G315" t="s">
        <v>72</v>
      </c>
      <c r="H315" s="24">
        <v>38513</v>
      </c>
      <c r="I315">
        <v>67374</v>
      </c>
      <c r="J315">
        <v>0</v>
      </c>
      <c r="K315">
        <v>67374</v>
      </c>
      <c r="L315" t="s">
        <v>60</v>
      </c>
      <c r="M315" t="s">
        <v>91</v>
      </c>
      <c r="N315" s="25"/>
      <c r="O315">
        <v>0</v>
      </c>
    </row>
    <row r="316" spans="1:15">
      <c r="A316" t="s">
        <v>435</v>
      </c>
      <c r="B316" t="s">
        <v>85</v>
      </c>
      <c r="C316" t="s">
        <v>94</v>
      </c>
      <c r="D316" t="s">
        <v>83</v>
      </c>
      <c r="E316" t="s">
        <v>65</v>
      </c>
      <c r="F316">
        <v>46</v>
      </c>
      <c r="G316" t="s">
        <v>72</v>
      </c>
      <c r="H316" s="24">
        <v>40810</v>
      </c>
      <c r="I316">
        <v>102167</v>
      </c>
      <c r="J316">
        <v>0.06</v>
      </c>
      <c r="K316">
        <v>108297</v>
      </c>
      <c r="L316" t="s">
        <v>113</v>
      </c>
      <c r="M316" t="s">
        <v>117</v>
      </c>
      <c r="N316" s="25"/>
      <c r="O316">
        <v>0</v>
      </c>
    </row>
    <row r="317" spans="1:15">
      <c r="A317" t="s">
        <v>436</v>
      </c>
      <c r="B317" t="s">
        <v>55</v>
      </c>
      <c r="C317" t="s">
        <v>82</v>
      </c>
      <c r="D317" t="s">
        <v>64</v>
      </c>
      <c r="E317" t="s">
        <v>65</v>
      </c>
      <c r="F317">
        <v>45</v>
      </c>
      <c r="G317" t="s">
        <v>72</v>
      </c>
      <c r="H317" s="24">
        <v>39332</v>
      </c>
      <c r="I317">
        <v>151027</v>
      </c>
      <c r="J317">
        <v>0.1</v>
      </c>
      <c r="K317">
        <v>166130</v>
      </c>
      <c r="L317" t="s">
        <v>66</v>
      </c>
      <c r="M317" t="s">
        <v>101</v>
      </c>
      <c r="N317" s="25"/>
      <c r="O317">
        <v>0</v>
      </c>
    </row>
    <row r="318" spans="1:15">
      <c r="A318" t="s">
        <v>437</v>
      </c>
      <c r="B318" t="s">
        <v>85</v>
      </c>
      <c r="C318" t="s">
        <v>90</v>
      </c>
      <c r="D318" t="s">
        <v>71</v>
      </c>
      <c r="E318" t="s">
        <v>65</v>
      </c>
      <c r="F318">
        <v>40</v>
      </c>
      <c r="G318" t="s">
        <v>95</v>
      </c>
      <c r="H318" s="24">
        <v>43147</v>
      </c>
      <c r="I318">
        <v>120905</v>
      </c>
      <c r="J318">
        <v>0.05</v>
      </c>
      <c r="K318">
        <v>126950</v>
      </c>
      <c r="L318" t="s">
        <v>60</v>
      </c>
      <c r="M318" t="s">
        <v>61</v>
      </c>
      <c r="N318" s="25"/>
      <c r="O318">
        <v>0</v>
      </c>
    </row>
    <row r="319" spans="1:15">
      <c r="A319" t="s">
        <v>438</v>
      </c>
      <c r="B319" t="s">
        <v>104</v>
      </c>
      <c r="C319" t="s">
        <v>70</v>
      </c>
      <c r="D319" t="s">
        <v>64</v>
      </c>
      <c r="E319" t="s">
        <v>58</v>
      </c>
      <c r="F319">
        <v>48</v>
      </c>
      <c r="G319" t="s">
        <v>72</v>
      </c>
      <c r="H319" s="24">
        <v>43253</v>
      </c>
      <c r="I319">
        <v>231567</v>
      </c>
      <c r="J319">
        <v>0.36</v>
      </c>
      <c r="K319">
        <v>314931</v>
      </c>
      <c r="L319" t="s">
        <v>60</v>
      </c>
      <c r="M319" t="s">
        <v>61</v>
      </c>
      <c r="N319" s="25"/>
      <c r="O319">
        <v>0</v>
      </c>
    </row>
    <row r="320" spans="1:15">
      <c r="A320" t="s">
        <v>439</v>
      </c>
      <c r="B320" t="s">
        <v>104</v>
      </c>
      <c r="C320" t="s">
        <v>56</v>
      </c>
      <c r="D320" t="s">
        <v>57</v>
      </c>
      <c r="E320" t="s">
        <v>65</v>
      </c>
      <c r="F320">
        <v>31</v>
      </c>
      <c r="G320" t="s">
        <v>76</v>
      </c>
      <c r="H320" s="24">
        <v>42197</v>
      </c>
      <c r="I320">
        <v>215388</v>
      </c>
      <c r="J320">
        <v>0.33</v>
      </c>
      <c r="K320">
        <v>286466</v>
      </c>
      <c r="L320" t="s">
        <v>60</v>
      </c>
      <c r="M320" t="s">
        <v>88</v>
      </c>
      <c r="N320" s="25"/>
      <c r="O320">
        <v>0</v>
      </c>
    </row>
    <row r="321" spans="1:15">
      <c r="A321" t="s">
        <v>440</v>
      </c>
      <c r="B321" t="s">
        <v>55</v>
      </c>
      <c r="C321" t="s">
        <v>82</v>
      </c>
      <c r="D321" t="s">
        <v>71</v>
      </c>
      <c r="E321" t="s">
        <v>58</v>
      </c>
      <c r="F321">
        <v>30</v>
      </c>
      <c r="G321" t="s">
        <v>76</v>
      </c>
      <c r="H321" s="24">
        <v>42168</v>
      </c>
      <c r="I321">
        <v>127972</v>
      </c>
      <c r="J321">
        <v>0.11</v>
      </c>
      <c r="K321">
        <v>142049</v>
      </c>
      <c r="L321" t="s">
        <v>60</v>
      </c>
      <c r="M321" t="s">
        <v>61</v>
      </c>
      <c r="N321" s="25"/>
      <c r="O321">
        <v>0</v>
      </c>
    </row>
    <row r="322" spans="1:15">
      <c r="A322" t="s">
        <v>441</v>
      </c>
      <c r="B322" t="s">
        <v>164</v>
      </c>
      <c r="C322" t="s">
        <v>98</v>
      </c>
      <c r="D322" t="s">
        <v>83</v>
      </c>
      <c r="E322" t="s">
        <v>58</v>
      </c>
      <c r="F322">
        <v>55</v>
      </c>
      <c r="G322" t="s">
        <v>59</v>
      </c>
      <c r="H322" s="24">
        <v>34915</v>
      </c>
      <c r="I322">
        <v>80701</v>
      </c>
      <c r="J322">
        <v>0</v>
      </c>
      <c r="K322">
        <v>80701</v>
      </c>
      <c r="L322" t="s">
        <v>60</v>
      </c>
      <c r="M322" t="s">
        <v>73</v>
      </c>
      <c r="N322" s="25">
        <v>38456</v>
      </c>
      <c r="O322">
        <v>1</v>
      </c>
    </row>
    <row r="323" spans="1:15">
      <c r="A323" t="s">
        <v>442</v>
      </c>
      <c r="B323" t="s">
        <v>85</v>
      </c>
      <c r="C323" t="s">
        <v>105</v>
      </c>
      <c r="D323" t="s">
        <v>83</v>
      </c>
      <c r="E323" t="s">
        <v>65</v>
      </c>
      <c r="F323">
        <v>28</v>
      </c>
      <c r="G323" t="s">
        <v>76</v>
      </c>
      <c r="H323" s="24">
        <v>43863</v>
      </c>
      <c r="I323">
        <v>115417</v>
      </c>
      <c r="J323">
        <v>0.06</v>
      </c>
      <c r="K323">
        <v>122342</v>
      </c>
      <c r="L323" t="s">
        <v>66</v>
      </c>
      <c r="M323" t="s">
        <v>101</v>
      </c>
      <c r="N323" s="25"/>
      <c r="O323">
        <v>0</v>
      </c>
    </row>
    <row r="324" spans="1:15">
      <c r="A324" t="s">
        <v>443</v>
      </c>
      <c r="B324" t="s">
        <v>122</v>
      </c>
      <c r="C324" t="s">
        <v>98</v>
      </c>
      <c r="D324" t="s">
        <v>83</v>
      </c>
      <c r="E324" t="s">
        <v>58</v>
      </c>
      <c r="F324">
        <v>45</v>
      </c>
      <c r="G324" t="s">
        <v>72</v>
      </c>
      <c r="H324" s="24">
        <v>43635</v>
      </c>
      <c r="I324">
        <v>88045</v>
      </c>
      <c r="J324">
        <v>0</v>
      </c>
      <c r="K324">
        <v>88045</v>
      </c>
      <c r="L324" t="s">
        <v>60</v>
      </c>
      <c r="M324" t="s">
        <v>73</v>
      </c>
      <c r="N324" s="25"/>
      <c r="O324">
        <v>0</v>
      </c>
    </row>
    <row r="325" spans="1:15">
      <c r="A325" t="s">
        <v>444</v>
      </c>
      <c r="B325" t="s">
        <v>75</v>
      </c>
      <c r="C325" t="s">
        <v>56</v>
      </c>
      <c r="D325" t="s">
        <v>71</v>
      </c>
      <c r="E325" t="s">
        <v>58</v>
      </c>
      <c r="F325">
        <v>45</v>
      </c>
      <c r="G325" t="s">
        <v>72</v>
      </c>
      <c r="H325" s="24">
        <v>43185</v>
      </c>
      <c r="I325">
        <v>86478</v>
      </c>
      <c r="J325">
        <v>0.06</v>
      </c>
      <c r="K325">
        <v>91667</v>
      </c>
      <c r="L325" t="s">
        <v>60</v>
      </c>
      <c r="M325" t="s">
        <v>91</v>
      </c>
      <c r="N325" s="25"/>
      <c r="O325">
        <v>0</v>
      </c>
    </row>
    <row r="326" spans="1:15">
      <c r="A326" t="s">
        <v>445</v>
      </c>
      <c r="B326" t="s">
        <v>104</v>
      </c>
      <c r="C326" t="s">
        <v>98</v>
      </c>
      <c r="D326" t="s">
        <v>64</v>
      </c>
      <c r="E326" t="s">
        <v>65</v>
      </c>
      <c r="F326">
        <v>63</v>
      </c>
      <c r="G326" t="s">
        <v>59</v>
      </c>
      <c r="H326" s="24">
        <v>42387</v>
      </c>
      <c r="I326">
        <v>180994</v>
      </c>
      <c r="J326">
        <v>0.39</v>
      </c>
      <c r="K326">
        <v>251582</v>
      </c>
      <c r="L326" t="s">
        <v>60</v>
      </c>
      <c r="M326" t="s">
        <v>61</v>
      </c>
      <c r="N326" s="25"/>
      <c r="O326">
        <v>0</v>
      </c>
    </row>
    <row r="327" spans="1:15">
      <c r="A327" t="s">
        <v>446</v>
      </c>
      <c r="B327" t="s">
        <v>132</v>
      </c>
      <c r="C327" t="s">
        <v>70</v>
      </c>
      <c r="D327" t="s">
        <v>57</v>
      </c>
      <c r="E327" t="s">
        <v>58</v>
      </c>
      <c r="F327">
        <v>55</v>
      </c>
      <c r="G327" t="s">
        <v>59</v>
      </c>
      <c r="H327" s="24">
        <v>39418</v>
      </c>
      <c r="I327">
        <v>64494</v>
      </c>
      <c r="J327">
        <v>0</v>
      </c>
      <c r="K327">
        <v>64494</v>
      </c>
      <c r="L327" t="s">
        <v>60</v>
      </c>
      <c r="M327" t="s">
        <v>110</v>
      </c>
      <c r="N327" s="25"/>
      <c r="O327">
        <v>0</v>
      </c>
    </row>
    <row r="328" spans="1:15">
      <c r="A328" t="s">
        <v>447</v>
      </c>
      <c r="B328" t="s">
        <v>81</v>
      </c>
      <c r="C328" t="s">
        <v>82</v>
      </c>
      <c r="D328" t="s">
        <v>64</v>
      </c>
      <c r="E328" t="s">
        <v>65</v>
      </c>
      <c r="F328">
        <v>47</v>
      </c>
      <c r="G328" t="s">
        <v>72</v>
      </c>
      <c r="H328" s="24">
        <v>37550</v>
      </c>
      <c r="I328">
        <v>70122</v>
      </c>
      <c r="J328">
        <v>0</v>
      </c>
      <c r="K328">
        <v>70122</v>
      </c>
      <c r="L328" t="s">
        <v>60</v>
      </c>
      <c r="M328" t="s">
        <v>110</v>
      </c>
      <c r="N328" s="25"/>
      <c r="O328">
        <v>0</v>
      </c>
    </row>
    <row r="329" spans="1:15">
      <c r="A329" t="s">
        <v>448</v>
      </c>
      <c r="B329" t="s">
        <v>69</v>
      </c>
      <c r="C329" t="s">
        <v>90</v>
      </c>
      <c r="D329" t="s">
        <v>64</v>
      </c>
      <c r="E329" t="s">
        <v>65</v>
      </c>
      <c r="F329">
        <v>29</v>
      </c>
      <c r="G329" t="s">
        <v>76</v>
      </c>
      <c r="H329" s="24">
        <v>42785</v>
      </c>
      <c r="I329">
        <v>181854</v>
      </c>
      <c r="J329">
        <v>0.29</v>
      </c>
      <c r="K329">
        <v>234592</v>
      </c>
      <c r="L329" t="s">
        <v>60</v>
      </c>
      <c r="M329" t="s">
        <v>61</v>
      </c>
      <c r="N329" s="25">
        <v>43945</v>
      </c>
      <c r="O329">
        <v>1</v>
      </c>
    </row>
    <row r="330" spans="1:15">
      <c r="A330" t="s">
        <v>449</v>
      </c>
      <c r="B330" t="s">
        <v>166</v>
      </c>
      <c r="C330" t="s">
        <v>94</v>
      </c>
      <c r="D330" t="s">
        <v>71</v>
      </c>
      <c r="E330" t="s">
        <v>58</v>
      </c>
      <c r="F330">
        <v>34</v>
      </c>
      <c r="G330" t="s">
        <v>76</v>
      </c>
      <c r="H330" s="24">
        <v>42664</v>
      </c>
      <c r="I330">
        <v>52811</v>
      </c>
      <c r="J330">
        <v>0</v>
      </c>
      <c r="K330">
        <v>52811</v>
      </c>
      <c r="L330" t="s">
        <v>60</v>
      </c>
      <c r="M330" t="s">
        <v>88</v>
      </c>
      <c r="N330" s="25"/>
      <c r="O330">
        <v>0</v>
      </c>
    </row>
    <row r="331" spans="1:15">
      <c r="A331" t="s">
        <v>450</v>
      </c>
      <c r="B331" t="s">
        <v>244</v>
      </c>
      <c r="C331" t="s">
        <v>56</v>
      </c>
      <c r="D331" t="s">
        <v>57</v>
      </c>
      <c r="E331" t="s">
        <v>58</v>
      </c>
      <c r="F331">
        <v>28</v>
      </c>
      <c r="G331" t="s">
        <v>76</v>
      </c>
      <c r="H331" s="24">
        <v>43763</v>
      </c>
      <c r="I331">
        <v>50111</v>
      </c>
      <c r="J331">
        <v>0</v>
      </c>
      <c r="K331">
        <v>50111</v>
      </c>
      <c r="L331" t="s">
        <v>66</v>
      </c>
      <c r="M331" t="s">
        <v>138</v>
      </c>
      <c r="N331" s="25"/>
      <c r="O331">
        <v>0</v>
      </c>
    </row>
    <row r="332" spans="1:15">
      <c r="A332" t="s">
        <v>451</v>
      </c>
      <c r="B332" t="s">
        <v>326</v>
      </c>
      <c r="C332" t="s">
        <v>56</v>
      </c>
      <c r="D332" t="s">
        <v>64</v>
      </c>
      <c r="E332" t="s">
        <v>65</v>
      </c>
      <c r="F332">
        <v>31</v>
      </c>
      <c r="G332" t="s">
        <v>76</v>
      </c>
      <c r="H332" s="24">
        <v>42497</v>
      </c>
      <c r="I332">
        <v>71192</v>
      </c>
      <c r="J332">
        <v>0</v>
      </c>
      <c r="K332">
        <v>71192</v>
      </c>
      <c r="L332" t="s">
        <v>60</v>
      </c>
      <c r="M332" t="s">
        <v>91</v>
      </c>
      <c r="N332" s="25"/>
      <c r="O332">
        <v>0</v>
      </c>
    </row>
    <row r="333" spans="1:15">
      <c r="A333" t="s">
        <v>452</v>
      </c>
      <c r="B333" t="s">
        <v>69</v>
      </c>
      <c r="C333" t="s">
        <v>82</v>
      </c>
      <c r="D333" t="s">
        <v>64</v>
      </c>
      <c r="E333" t="s">
        <v>58</v>
      </c>
      <c r="F333">
        <v>50</v>
      </c>
      <c r="G333" t="s">
        <v>72</v>
      </c>
      <c r="H333" s="24">
        <v>43452</v>
      </c>
      <c r="I333">
        <v>155351</v>
      </c>
      <c r="J333">
        <v>0.2</v>
      </c>
      <c r="K333">
        <v>186421</v>
      </c>
      <c r="L333" t="s">
        <v>60</v>
      </c>
      <c r="M333" t="s">
        <v>61</v>
      </c>
      <c r="N333" s="25"/>
      <c r="O333">
        <v>0</v>
      </c>
    </row>
    <row r="334" spans="1:15">
      <c r="A334" t="s">
        <v>453</v>
      </c>
      <c r="B334" t="s">
        <v>69</v>
      </c>
      <c r="C334" t="s">
        <v>94</v>
      </c>
      <c r="D334" t="s">
        <v>71</v>
      </c>
      <c r="E334" t="s">
        <v>65</v>
      </c>
      <c r="F334">
        <v>39</v>
      </c>
      <c r="G334" t="s">
        <v>95</v>
      </c>
      <c r="H334" s="24">
        <v>39049</v>
      </c>
      <c r="I334">
        <v>161690</v>
      </c>
      <c r="J334">
        <v>0.29</v>
      </c>
      <c r="K334">
        <v>208580</v>
      </c>
      <c r="L334" t="s">
        <v>66</v>
      </c>
      <c r="M334" t="s">
        <v>126</v>
      </c>
      <c r="N334" s="25"/>
      <c r="O334">
        <v>0</v>
      </c>
    </row>
    <row r="335" spans="1:15">
      <c r="A335" t="s">
        <v>454</v>
      </c>
      <c r="B335" t="s">
        <v>216</v>
      </c>
      <c r="C335" t="s">
        <v>98</v>
      </c>
      <c r="D335" t="s">
        <v>71</v>
      </c>
      <c r="E335" t="s">
        <v>58</v>
      </c>
      <c r="F335">
        <v>35</v>
      </c>
      <c r="G335" t="s">
        <v>95</v>
      </c>
      <c r="H335" s="24">
        <v>42776</v>
      </c>
      <c r="I335">
        <v>60132</v>
      </c>
      <c r="J335">
        <v>0</v>
      </c>
      <c r="K335">
        <v>60132</v>
      </c>
      <c r="L335" t="s">
        <v>66</v>
      </c>
      <c r="M335" t="s">
        <v>67</v>
      </c>
      <c r="N335" s="25"/>
      <c r="O335">
        <v>0</v>
      </c>
    </row>
    <row r="336" spans="1:15">
      <c r="A336" t="s">
        <v>455</v>
      </c>
      <c r="B336" t="s">
        <v>200</v>
      </c>
      <c r="C336" t="s">
        <v>56</v>
      </c>
      <c r="D336" t="s">
        <v>64</v>
      </c>
      <c r="E336" t="s">
        <v>65</v>
      </c>
      <c r="F336">
        <v>54</v>
      </c>
      <c r="G336" t="s">
        <v>72</v>
      </c>
      <c r="H336" s="24">
        <v>34631</v>
      </c>
      <c r="I336">
        <v>87216</v>
      </c>
      <c r="J336">
        <v>0</v>
      </c>
      <c r="K336">
        <v>87216</v>
      </c>
      <c r="L336" t="s">
        <v>60</v>
      </c>
      <c r="M336" t="s">
        <v>88</v>
      </c>
      <c r="N336" s="25"/>
      <c r="O336">
        <v>0</v>
      </c>
    </row>
    <row r="337" spans="1:15">
      <c r="A337" t="s">
        <v>456</v>
      </c>
      <c r="B337" t="s">
        <v>244</v>
      </c>
      <c r="C337" t="s">
        <v>56</v>
      </c>
      <c r="D337" t="s">
        <v>83</v>
      </c>
      <c r="E337" t="s">
        <v>65</v>
      </c>
      <c r="F337">
        <v>47</v>
      </c>
      <c r="G337" t="s">
        <v>72</v>
      </c>
      <c r="H337" s="24">
        <v>43944</v>
      </c>
      <c r="I337">
        <v>50069</v>
      </c>
      <c r="J337">
        <v>0</v>
      </c>
      <c r="K337">
        <v>50069</v>
      </c>
      <c r="L337" t="s">
        <v>60</v>
      </c>
      <c r="M337" t="s">
        <v>61</v>
      </c>
      <c r="N337" s="25"/>
      <c r="O337">
        <v>0</v>
      </c>
    </row>
    <row r="338" spans="1:15">
      <c r="A338" t="s">
        <v>457</v>
      </c>
      <c r="B338" t="s">
        <v>69</v>
      </c>
      <c r="C338" t="s">
        <v>56</v>
      </c>
      <c r="D338" t="s">
        <v>71</v>
      </c>
      <c r="E338" t="s">
        <v>58</v>
      </c>
      <c r="F338">
        <v>26</v>
      </c>
      <c r="G338" t="s">
        <v>76</v>
      </c>
      <c r="H338" s="24">
        <v>44403</v>
      </c>
      <c r="I338">
        <v>151108</v>
      </c>
      <c r="J338">
        <v>0.22</v>
      </c>
      <c r="K338">
        <v>184352</v>
      </c>
      <c r="L338" t="s">
        <v>60</v>
      </c>
      <c r="M338" t="s">
        <v>79</v>
      </c>
      <c r="N338" s="25"/>
      <c r="O338">
        <v>0</v>
      </c>
    </row>
    <row r="339" spans="1:15">
      <c r="A339" t="s">
        <v>458</v>
      </c>
      <c r="B339" t="s">
        <v>75</v>
      </c>
      <c r="C339" t="s">
        <v>56</v>
      </c>
      <c r="D339" t="s">
        <v>64</v>
      </c>
      <c r="E339" t="s">
        <v>58</v>
      </c>
      <c r="F339">
        <v>42</v>
      </c>
      <c r="G339" t="s">
        <v>95</v>
      </c>
      <c r="H339" s="24">
        <v>38640</v>
      </c>
      <c r="I339">
        <v>67398</v>
      </c>
      <c r="J339">
        <v>0.07</v>
      </c>
      <c r="K339">
        <v>72116</v>
      </c>
      <c r="L339" t="s">
        <v>60</v>
      </c>
      <c r="M339" t="s">
        <v>79</v>
      </c>
      <c r="N339" s="25"/>
      <c r="O339">
        <v>0</v>
      </c>
    </row>
    <row r="340" spans="1:15">
      <c r="A340" t="s">
        <v>459</v>
      </c>
      <c r="B340" t="s">
        <v>216</v>
      </c>
      <c r="C340" t="s">
        <v>98</v>
      </c>
      <c r="D340" t="s">
        <v>57</v>
      </c>
      <c r="E340" t="s">
        <v>58</v>
      </c>
      <c r="F340">
        <v>47</v>
      </c>
      <c r="G340" t="s">
        <v>72</v>
      </c>
      <c r="H340" s="24">
        <v>42245</v>
      </c>
      <c r="I340">
        <v>68488</v>
      </c>
      <c r="J340">
        <v>0</v>
      </c>
      <c r="K340">
        <v>68488</v>
      </c>
      <c r="L340" t="s">
        <v>60</v>
      </c>
      <c r="M340" t="s">
        <v>61</v>
      </c>
      <c r="N340" s="25"/>
      <c r="O340">
        <v>0</v>
      </c>
    </row>
    <row r="341" spans="1:15">
      <c r="A341" t="s">
        <v>460</v>
      </c>
      <c r="B341" t="s">
        <v>122</v>
      </c>
      <c r="C341" t="s">
        <v>98</v>
      </c>
      <c r="D341" t="s">
        <v>64</v>
      </c>
      <c r="E341" t="s">
        <v>58</v>
      </c>
      <c r="F341">
        <v>60</v>
      </c>
      <c r="G341" t="s">
        <v>59</v>
      </c>
      <c r="H341" s="24">
        <v>35992</v>
      </c>
      <c r="I341">
        <v>92932</v>
      </c>
      <c r="J341">
        <v>0</v>
      </c>
      <c r="K341">
        <v>92932</v>
      </c>
      <c r="L341" t="s">
        <v>60</v>
      </c>
      <c r="M341" t="s">
        <v>110</v>
      </c>
      <c r="N341" s="25"/>
      <c r="O341">
        <v>0</v>
      </c>
    </row>
    <row r="342" spans="1:15">
      <c r="A342" t="s">
        <v>461</v>
      </c>
      <c r="B342" t="s">
        <v>87</v>
      </c>
      <c r="C342" t="s">
        <v>70</v>
      </c>
      <c r="D342" t="s">
        <v>83</v>
      </c>
      <c r="E342" t="s">
        <v>58</v>
      </c>
      <c r="F342">
        <v>36</v>
      </c>
      <c r="G342" t="s">
        <v>95</v>
      </c>
      <c r="H342" s="24">
        <v>39994</v>
      </c>
      <c r="I342">
        <v>43363</v>
      </c>
      <c r="J342">
        <v>0</v>
      </c>
      <c r="K342">
        <v>43363</v>
      </c>
      <c r="L342" t="s">
        <v>60</v>
      </c>
      <c r="M342" t="s">
        <v>91</v>
      </c>
      <c r="N342" s="25"/>
      <c r="O342">
        <v>0</v>
      </c>
    </row>
    <row r="343" spans="1:15">
      <c r="A343" t="s">
        <v>462</v>
      </c>
      <c r="B343" t="s">
        <v>314</v>
      </c>
      <c r="C343" t="s">
        <v>56</v>
      </c>
      <c r="D343" t="s">
        <v>71</v>
      </c>
      <c r="E343" t="s">
        <v>65</v>
      </c>
      <c r="F343">
        <v>31</v>
      </c>
      <c r="G343" t="s">
        <v>76</v>
      </c>
      <c r="H343" s="24">
        <v>42780</v>
      </c>
      <c r="I343">
        <v>95963</v>
      </c>
      <c r="J343">
        <v>0</v>
      </c>
      <c r="K343">
        <v>95963</v>
      </c>
      <c r="L343" t="s">
        <v>66</v>
      </c>
      <c r="M343" t="s">
        <v>138</v>
      </c>
      <c r="N343" s="25"/>
      <c r="O343">
        <v>0</v>
      </c>
    </row>
    <row r="344" spans="1:15">
      <c r="A344" t="s">
        <v>463</v>
      </c>
      <c r="B344" t="s">
        <v>85</v>
      </c>
      <c r="C344" t="s">
        <v>70</v>
      </c>
      <c r="D344" t="s">
        <v>71</v>
      </c>
      <c r="E344" t="s">
        <v>58</v>
      </c>
      <c r="F344">
        <v>55</v>
      </c>
      <c r="G344" t="s">
        <v>59</v>
      </c>
      <c r="H344" s="24">
        <v>40297</v>
      </c>
      <c r="I344">
        <v>111038</v>
      </c>
      <c r="J344">
        <v>0.05</v>
      </c>
      <c r="K344">
        <v>116590</v>
      </c>
      <c r="L344" t="s">
        <v>113</v>
      </c>
      <c r="M344" t="s">
        <v>184</v>
      </c>
      <c r="N344" s="25"/>
      <c r="O344">
        <v>0</v>
      </c>
    </row>
    <row r="345" spans="1:15">
      <c r="A345" t="s">
        <v>464</v>
      </c>
      <c r="B345" t="s">
        <v>104</v>
      </c>
      <c r="C345" t="s">
        <v>98</v>
      </c>
      <c r="D345" t="s">
        <v>57</v>
      </c>
      <c r="E345" t="s">
        <v>58</v>
      </c>
      <c r="F345">
        <v>51</v>
      </c>
      <c r="G345" t="s">
        <v>72</v>
      </c>
      <c r="H345" s="24">
        <v>35230</v>
      </c>
      <c r="I345">
        <v>200246</v>
      </c>
      <c r="J345">
        <v>0.34</v>
      </c>
      <c r="K345">
        <v>268330</v>
      </c>
      <c r="L345" t="s">
        <v>60</v>
      </c>
      <c r="M345" t="s">
        <v>110</v>
      </c>
      <c r="N345" s="25"/>
      <c r="O345">
        <v>0</v>
      </c>
    </row>
    <row r="346" spans="1:15">
      <c r="A346" t="s">
        <v>465</v>
      </c>
      <c r="B346" t="s">
        <v>104</v>
      </c>
      <c r="C346" t="s">
        <v>56</v>
      </c>
      <c r="D346" t="s">
        <v>83</v>
      </c>
      <c r="E346" t="s">
        <v>58</v>
      </c>
      <c r="F346">
        <v>48</v>
      </c>
      <c r="G346" t="s">
        <v>72</v>
      </c>
      <c r="H346" s="24">
        <v>42053</v>
      </c>
      <c r="I346">
        <v>194871</v>
      </c>
      <c r="J346">
        <v>0.35</v>
      </c>
      <c r="K346">
        <v>263076</v>
      </c>
      <c r="L346" t="s">
        <v>60</v>
      </c>
      <c r="M346" t="s">
        <v>110</v>
      </c>
      <c r="N346" s="25"/>
      <c r="O346">
        <v>0</v>
      </c>
    </row>
    <row r="347" spans="1:15">
      <c r="A347" t="s">
        <v>466</v>
      </c>
      <c r="B347" t="s">
        <v>78</v>
      </c>
      <c r="C347" t="s">
        <v>90</v>
      </c>
      <c r="D347" t="s">
        <v>57</v>
      </c>
      <c r="E347" t="s">
        <v>65</v>
      </c>
      <c r="F347">
        <v>58</v>
      </c>
      <c r="G347" t="s">
        <v>59</v>
      </c>
      <c r="H347" s="24">
        <v>34592</v>
      </c>
      <c r="I347">
        <v>98769</v>
      </c>
      <c r="J347">
        <v>0</v>
      </c>
      <c r="K347">
        <v>98769</v>
      </c>
      <c r="L347" t="s">
        <v>113</v>
      </c>
      <c r="M347" t="s">
        <v>117</v>
      </c>
      <c r="N347" s="25">
        <v>42646</v>
      </c>
      <c r="O347">
        <v>1</v>
      </c>
    </row>
    <row r="348" spans="1:15">
      <c r="A348" t="s">
        <v>467</v>
      </c>
      <c r="B348" t="s">
        <v>81</v>
      </c>
      <c r="C348" t="s">
        <v>82</v>
      </c>
      <c r="D348" t="s">
        <v>57</v>
      </c>
      <c r="E348" t="s">
        <v>58</v>
      </c>
      <c r="F348">
        <v>29</v>
      </c>
      <c r="G348" t="s">
        <v>76</v>
      </c>
      <c r="H348" s="24">
        <v>43239</v>
      </c>
      <c r="I348">
        <v>65334</v>
      </c>
      <c r="J348">
        <v>0</v>
      </c>
      <c r="K348">
        <v>65334</v>
      </c>
      <c r="L348" t="s">
        <v>113</v>
      </c>
      <c r="M348" t="s">
        <v>117</v>
      </c>
      <c r="N348" s="25"/>
      <c r="O348">
        <v>0</v>
      </c>
    </row>
    <row r="349" spans="1:15">
      <c r="A349" t="s">
        <v>468</v>
      </c>
      <c r="B349" t="s">
        <v>63</v>
      </c>
      <c r="C349" t="s">
        <v>56</v>
      </c>
      <c r="D349" t="s">
        <v>64</v>
      </c>
      <c r="E349" t="s">
        <v>58</v>
      </c>
      <c r="F349">
        <v>25</v>
      </c>
      <c r="G349" t="s">
        <v>76</v>
      </c>
      <c r="H349" s="24">
        <v>44327</v>
      </c>
      <c r="I349">
        <v>83934</v>
      </c>
      <c r="J349">
        <v>0</v>
      </c>
      <c r="K349">
        <v>83934</v>
      </c>
      <c r="L349" t="s">
        <v>60</v>
      </c>
      <c r="M349" t="s">
        <v>88</v>
      </c>
      <c r="N349" s="25"/>
      <c r="O349">
        <v>0</v>
      </c>
    </row>
    <row r="350" spans="1:15">
      <c r="A350" t="s">
        <v>469</v>
      </c>
      <c r="B350" t="s">
        <v>69</v>
      </c>
      <c r="C350" t="s">
        <v>90</v>
      </c>
      <c r="D350" t="s">
        <v>57</v>
      </c>
      <c r="E350" t="s">
        <v>65</v>
      </c>
      <c r="F350">
        <v>36</v>
      </c>
      <c r="G350" t="s">
        <v>95</v>
      </c>
      <c r="H350" s="24">
        <v>42616</v>
      </c>
      <c r="I350">
        <v>150399</v>
      </c>
      <c r="J350">
        <v>0.28</v>
      </c>
      <c r="K350">
        <v>192511</v>
      </c>
      <c r="L350" t="s">
        <v>60</v>
      </c>
      <c r="M350" t="s">
        <v>73</v>
      </c>
      <c r="N350" s="25"/>
      <c r="O350">
        <v>0</v>
      </c>
    </row>
    <row r="351" spans="1:15">
      <c r="A351" t="s">
        <v>470</v>
      </c>
      <c r="B351" t="s">
        <v>69</v>
      </c>
      <c r="C351" t="s">
        <v>94</v>
      </c>
      <c r="D351" t="s">
        <v>57</v>
      </c>
      <c r="E351" t="s">
        <v>65</v>
      </c>
      <c r="F351">
        <v>37</v>
      </c>
      <c r="G351" t="s">
        <v>95</v>
      </c>
      <c r="H351" s="24">
        <v>41048</v>
      </c>
      <c r="I351">
        <v>160280</v>
      </c>
      <c r="J351">
        <v>0.19</v>
      </c>
      <c r="K351">
        <v>190733</v>
      </c>
      <c r="L351" t="s">
        <v>66</v>
      </c>
      <c r="M351" t="s">
        <v>126</v>
      </c>
      <c r="N351" s="25"/>
      <c r="O351">
        <v>0</v>
      </c>
    </row>
    <row r="352" spans="1:15">
      <c r="A352" t="s">
        <v>471</v>
      </c>
      <c r="B352" t="s">
        <v>166</v>
      </c>
      <c r="C352" t="s">
        <v>94</v>
      </c>
      <c r="D352" t="s">
        <v>71</v>
      </c>
      <c r="E352" t="s">
        <v>65</v>
      </c>
      <c r="F352">
        <v>57</v>
      </c>
      <c r="G352" t="s">
        <v>59</v>
      </c>
      <c r="H352" s="24">
        <v>35548</v>
      </c>
      <c r="I352">
        <v>54051</v>
      </c>
      <c r="J352">
        <v>0</v>
      </c>
      <c r="K352">
        <v>54051</v>
      </c>
      <c r="L352" t="s">
        <v>60</v>
      </c>
      <c r="M352" t="s">
        <v>88</v>
      </c>
      <c r="N352" s="25">
        <v>36079</v>
      </c>
      <c r="O352">
        <v>1</v>
      </c>
    </row>
    <row r="353" spans="1:15">
      <c r="A353" t="s">
        <v>472</v>
      </c>
      <c r="B353" t="s">
        <v>69</v>
      </c>
      <c r="C353" t="s">
        <v>98</v>
      </c>
      <c r="D353" t="s">
        <v>57</v>
      </c>
      <c r="E353" t="s">
        <v>58</v>
      </c>
      <c r="F353">
        <v>59</v>
      </c>
      <c r="G353" t="s">
        <v>59</v>
      </c>
      <c r="H353" s="24">
        <v>37726</v>
      </c>
      <c r="I353">
        <v>150699</v>
      </c>
      <c r="J353">
        <v>0.29</v>
      </c>
      <c r="K353">
        <v>194402</v>
      </c>
      <c r="L353" t="s">
        <v>113</v>
      </c>
      <c r="M353" t="s">
        <v>184</v>
      </c>
      <c r="N353" s="25"/>
      <c r="O353">
        <v>0</v>
      </c>
    </row>
    <row r="354" spans="1:15">
      <c r="A354" t="s">
        <v>473</v>
      </c>
      <c r="B354" t="s">
        <v>132</v>
      </c>
      <c r="C354" t="s">
        <v>105</v>
      </c>
      <c r="D354" t="s">
        <v>71</v>
      </c>
      <c r="E354" t="s">
        <v>65</v>
      </c>
      <c r="F354">
        <v>37</v>
      </c>
      <c r="G354" t="s">
        <v>95</v>
      </c>
      <c r="H354" s="24">
        <v>41363</v>
      </c>
      <c r="I354">
        <v>69570</v>
      </c>
      <c r="J354">
        <v>0</v>
      </c>
      <c r="K354">
        <v>69570</v>
      </c>
      <c r="L354" t="s">
        <v>60</v>
      </c>
      <c r="M354" t="s">
        <v>88</v>
      </c>
      <c r="N354" s="25"/>
      <c r="O354">
        <v>0</v>
      </c>
    </row>
    <row r="355" spans="1:15">
      <c r="A355" t="s">
        <v>474</v>
      </c>
      <c r="B355" t="s">
        <v>314</v>
      </c>
      <c r="C355" t="s">
        <v>56</v>
      </c>
      <c r="D355" t="s">
        <v>64</v>
      </c>
      <c r="E355" t="s">
        <v>58</v>
      </c>
      <c r="F355">
        <v>30</v>
      </c>
      <c r="G355" t="s">
        <v>76</v>
      </c>
      <c r="H355" s="24">
        <v>43553</v>
      </c>
      <c r="I355">
        <v>86774</v>
      </c>
      <c r="J355">
        <v>0</v>
      </c>
      <c r="K355">
        <v>86774</v>
      </c>
      <c r="L355" t="s">
        <v>66</v>
      </c>
      <c r="M355" t="s">
        <v>138</v>
      </c>
      <c r="N355" s="25"/>
      <c r="O355">
        <v>0</v>
      </c>
    </row>
    <row r="356" spans="1:15">
      <c r="A356" t="s">
        <v>475</v>
      </c>
      <c r="B356" t="s">
        <v>154</v>
      </c>
      <c r="C356" t="s">
        <v>94</v>
      </c>
      <c r="D356" t="s">
        <v>64</v>
      </c>
      <c r="E356" t="s">
        <v>65</v>
      </c>
      <c r="F356">
        <v>49</v>
      </c>
      <c r="G356" t="s">
        <v>72</v>
      </c>
      <c r="H356" s="24">
        <v>36979</v>
      </c>
      <c r="I356">
        <v>57606</v>
      </c>
      <c r="J356">
        <v>0</v>
      </c>
      <c r="K356">
        <v>57606</v>
      </c>
      <c r="L356" t="s">
        <v>60</v>
      </c>
      <c r="M356" t="s">
        <v>88</v>
      </c>
      <c r="N356" s="25"/>
      <c r="O356">
        <v>0</v>
      </c>
    </row>
    <row r="357" spans="1:15">
      <c r="A357" t="s">
        <v>476</v>
      </c>
      <c r="B357" t="s">
        <v>55</v>
      </c>
      <c r="C357" t="s">
        <v>70</v>
      </c>
      <c r="D357" t="s">
        <v>83</v>
      </c>
      <c r="E357" t="s">
        <v>58</v>
      </c>
      <c r="F357">
        <v>48</v>
      </c>
      <c r="G357" t="s">
        <v>72</v>
      </c>
      <c r="H357" s="24">
        <v>37144</v>
      </c>
      <c r="I357">
        <v>125730</v>
      </c>
      <c r="J357">
        <v>0.11</v>
      </c>
      <c r="K357">
        <v>139560</v>
      </c>
      <c r="L357" t="s">
        <v>66</v>
      </c>
      <c r="M357" t="s">
        <v>67</v>
      </c>
      <c r="N357" s="25"/>
      <c r="O357">
        <v>0</v>
      </c>
    </row>
    <row r="358" spans="1:15">
      <c r="A358" t="s">
        <v>477</v>
      </c>
      <c r="B358" t="s">
        <v>228</v>
      </c>
      <c r="C358" t="s">
        <v>56</v>
      </c>
      <c r="D358" t="s">
        <v>57</v>
      </c>
      <c r="E358" t="s">
        <v>58</v>
      </c>
      <c r="F358">
        <v>51</v>
      </c>
      <c r="G358" t="s">
        <v>72</v>
      </c>
      <c r="H358" s="24">
        <v>40964</v>
      </c>
      <c r="I358">
        <v>64170</v>
      </c>
      <c r="J358">
        <v>0</v>
      </c>
      <c r="K358">
        <v>64170</v>
      </c>
      <c r="L358" t="s">
        <v>60</v>
      </c>
      <c r="M358" t="s">
        <v>110</v>
      </c>
      <c r="N358" s="25"/>
      <c r="O358">
        <v>0</v>
      </c>
    </row>
    <row r="359" spans="1:15">
      <c r="A359" t="s">
        <v>478</v>
      </c>
      <c r="B359" t="s">
        <v>143</v>
      </c>
      <c r="C359" t="s">
        <v>94</v>
      </c>
      <c r="D359" t="s">
        <v>71</v>
      </c>
      <c r="E359" t="s">
        <v>65</v>
      </c>
      <c r="F359">
        <v>56</v>
      </c>
      <c r="G359" t="s">
        <v>59</v>
      </c>
      <c r="H359" s="24">
        <v>35816</v>
      </c>
      <c r="I359">
        <v>72303</v>
      </c>
      <c r="J359">
        <v>0</v>
      </c>
      <c r="K359">
        <v>72303</v>
      </c>
      <c r="L359" t="s">
        <v>60</v>
      </c>
      <c r="M359" t="s">
        <v>79</v>
      </c>
      <c r="N359" s="25"/>
      <c r="O359">
        <v>0</v>
      </c>
    </row>
    <row r="360" spans="1:15">
      <c r="A360" t="s">
        <v>479</v>
      </c>
      <c r="B360" t="s">
        <v>85</v>
      </c>
      <c r="C360" t="s">
        <v>82</v>
      </c>
      <c r="D360" t="s">
        <v>57</v>
      </c>
      <c r="E360" t="s">
        <v>65</v>
      </c>
      <c r="F360">
        <v>36</v>
      </c>
      <c r="G360" t="s">
        <v>95</v>
      </c>
      <c r="H360" s="24">
        <v>41116</v>
      </c>
      <c r="I360">
        <v>105891</v>
      </c>
      <c r="J360">
        <v>0.07</v>
      </c>
      <c r="K360">
        <v>113303</v>
      </c>
      <c r="L360" t="s">
        <v>60</v>
      </c>
      <c r="M360" t="s">
        <v>61</v>
      </c>
      <c r="N360" s="25"/>
      <c r="O360">
        <v>0</v>
      </c>
    </row>
    <row r="361" spans="1:15">
      <c r="A361" t="s">
        <v>480</v>
      </c>
      <c r="B361" t="s">
        <v>104</v>
      </c>
      <c r="C361" t="s">
        <v>105</v>
      </c>
      <c r="D361" t="s">
        <v>71</v>
      </c>
      <c r="E361" t="s">
        <v>65</v>
      </c>
      <c r="F361">
        <v>38</v>
      </c>
      <c r="G361" t="s">
        <v>95</v>
      </c>
      <c r="H361" s="24">
        <v>44433</v>
      </c>
      <c r="I361">
        <v>255230</v>
      </c>
      <c r="J361">
        <v>0.36</v>
      </c>
      <c r="K361">
        <v>347113</v>
      </c>
      <c r="L361" t="s">
        <v>60</v>
      </c>
      <c r="M361" t="s">
        <v>91</v>
      </c>
      <c r="N361" s="25"/>
      <c r="O361">
        <v>0</v>
      </c>
    </row>
    <row r="362" spans="1:15">
      <c r="A362" t="s">
        <v>481</v>
      </c>
      <c r="B362" t="s">
        <v>132</v>
      </c>
      <c r="C362" t="s">
        <v>82</v>
      </c>
      <c r="D362" t="s">
        <v>64</v>
      </c>
      <c r="E362" t="s">
        <v>58</v>
      </c>
      <c r="F362">
        <v>56</v>
      </c>
      <c r="G362" t="s">
        <v>59</v>
      </c>
      <c r="H362" s="24">
        <v>33770</v>
      </c>
      <c r="I362">
        <v>59591</v>
      </c>
      <c r="J362">
        <v>0</v>
      </c>
      <c r="K362">
        <v>59591</v>
      </c>
      <c r="L362" t="s">
        <v>113</v>
      </c>
      <c r="M362" t="s">
        <v>184</v>
      </c>
      <c r="N362" s="25"/>
      <c r="O362">
        <v>0</v>
      </c>
    </row>
    <row r="363" spans="1:15">
      <c r="A363" t="s">
        <v>482</v>
      </c>
      <c r="B363" t="s">
        <v>104</v>
      </c>
      <c r="C363" t="s">
        <v>94</v>
      </c>
      <c r="D363" t="s">
        <v>64</v>
      </c>
      <c r="E363" t="s">
        <v>58</v>
      </c>
      <c r="F363">
        <v>52</v>
      </c>
      <c r="G363" t="s">
        <v>72</v>
      </c>
      <c r="H363" s="24">
        <v>41113</v>
      </c>
      <c r="I363">
        <v>187048</v>
      </c>
      <c r="J363">
        <v>0.32</v>
      </c>
      <c r="K363">
        <v>246903</v>
      </c>
      <c r="L363" t="s">
        <v>66</v>
      </c>
      <c r="M363" t="s">
        <v>138</v>
      </c>
      <c r="N363" s="25"/>
      <c r="O363">
        <v>0</v>
      </c>
    </row>
    <row r="364" spans="1:15">
      <c r="A364" t="s">
        <v>483</v>
      </c>
      <c r="B364" t="s">
        <v>132</v>
      </c>
      <c r="C364" t="s">
        <v>70</v>
      </c>
      <c r="D364" t="s">
        <v>71</v>
      </c>
      <c r="E364" t="s">
        <v>58</v>
      </c>
      <c r="F364">
        <v>53</v>
      </c>
      <c r="G364" t="s">
        <v>72</v>
      </c>
      <c r="H364" s="24">
        <v>37296</v>
      </c>
      <c r="I364">
        <v>58605</v>
      </c>
      <c r="J364">
        <v>0</v>
      </c>
      <c r="K364">
        <v>58605</v>
      </c>
      <c r="L364" t="s">
        <v>60</v>
      </c>
      <c r="M364" t="s">
        <v>79</v>
      </c>
      <c r="N364" s="25"/>
      <c r="O364">
        <v>0</v>
      </c>
    </row>
    <row r="365" spans="1:15">
      <c r="A365" t="s">
        <v>484</v>
      </c>
      <c r="B365" t="s">
        <v>69</v>
      </c>
      <c r="C365" t="s">
        <v>98</v>
      </c>
      <c r="D365" t="s">
        <v>83</v>
      </c>
      <c r="E365" t="s">
        <v>58</v>
      </c>
      <c r="F365">
        <v>60</v>
      </c>
      <c r="G365" t="s">
        <v>59</v>
      </c>
      <c r="H365" s="24">
        <v>42739</v>
      </c>
      <c r="I365">
        <v>178502</v>
      </c>
      <c r="J365">
        <v>0.2</v>
      </c>
      <c r="K365">
        <v>214202</v>
      </c>
      <c r="L365" t="s">
        <v>60</v>
      </c>
      <c r="M365" t="s">
        <v>91</v>
      </c>
      <c r="N365" s="25"/>
      <c r="O365">
        <v>0</v>
      </c>
    </row>
    <row r="366" spans="1:15">
      <c r="A366" t="s">
        <v>485</v>
      </c>
      <c r="B366" t="s">
        <v>85</v>
      </c>
      <c r="C366" t="s">
        <v>90</v>
      </c>
      <c r="D366" t="s">
        <v>71</v>
      </c>
      <c r="E366" t="s">
        <v>65</v>
      </c>
      <c r="F366">
        <v>63</v>
      </c>
      <c r="G366" t="s">
        <v>59</v>
      </c>
      <c r="H366" s="24">
        <v>42214</v>
      </c>
      <c r="I366">
        <v>103724</v>
      </c>
      <c r="J366">
        <v>0.05</v>
      </c>
      <c r="K366">
        <v>108910</v>
      </c>
      <c r="L366" t="s">
        <v>66</v>
      </c>
      <c r="M366" t="s">
        <v>101</v>
      </c>
      <c r="N366" s="25"/>
      <c r="O366">
        <v>0</v>
      </c>
    </row>
    <row r="367" spans="1:15">
      <c r="A367" t="s">
        <v>486</v>
      </c>
      <c r="B367" t="s">
        <v>69</v>
      </c>
      <c r="C367" t="s">
        <v>98</v>
      </c>
      <c r="D367" t="s">
        <v>57</v>
      </c>
      <c r="E367" t="s">
        <v>58</v>
      </c>
      <c r="F367">
        <v>37</v>
      </c>
      <c r="G367" t="s">
        <v>95</v>
      </c>
      <c r="H367" s="24">
        <v>39528</v>
      </c>
      <c r="I367">
        <v>156277</v>
      </c>
      <c r="J367">
        <v>0.22</v>
      </c>
      <c r="K367">
        <v>190658</v>
      </c>
      <c r="L367" t="s">
        <v>113</v>
      </c>
      <c r="M367" t="s">
        <v>114</v>
      </c>
      <c r="N367" s="25"/>
      <c r="O367">
        <v>0</v>
      </c>
    </row>
    <row r="368" spans="1:15">
      <c r="A368" t="s">
        <v>487</v>
      </c>
      <c r="B368" t="s">
        <v>160</v>
      </c>
      <c r="C368" t="s">
        <v>98</v>
      </c>
      <c r="D368" t="s">
        <v>57</v>
      </c>
      <c r="E368" t="s">
        <v>58</v>
      </c>
      <c r="F368">
        <v>30</v>
      </c>
      <c r="G368" t="s">
        <v>76</v>
      </c>
      <c r="H368" s="24">
        <v>43086</v>
      </c>
      <c r="I368">
        <v>87744</v>
      </c>
      <c r="J368">
        <v>0</v>
      </c>
      <c r="K368">
        <v>87744</v>
      </c>
      <c r="L368" t="s">
        <v>113</v>
      </c>
      <c r="M368" t="s">
        <v>184</v>
      </c>
      <c r="N368" s="25"/>
      <c r="O368">
        <v>0</v>
      </c>
    </row>
    <row r="369" spans="1:15">
      <c r="A369" t="s">
        <v>488</v>
      </c>
      <c r="B369" t="s">
        <v>132</v>
      </c>
      <c r="C369" t="s">
        <v>70</v>
      </c>
      <c r="D369" t="s">
        <v>64</v>
      </c>
      <c r="E369" t="s">
        <v>65</v>
      </c>
      <c r="F369">
        <v>30</v>
      </c>
      <c r="G369" t="s">
        <v>76</v>
      </c>
      <c r="H369" s="24">
        <v>43542</v>
      </c>
      <c r="I369">
        <v>54714</v>
      </c>
      <c r="J369">
        <v>0</v>
      </c>
      <c r="K369">
        <v>54714</v>
      </c>
      <c r="L369" t="s">
        <v>60</v>
      </c>
      <c r="M369" t="s">
        <v>110</v>
      </c>
      <c r="N369" s="25"/>
      <c r="O369">
        <v>0</v>
      </c>
    </row>
    <row r="370" spans="1:15">
      <c r="A370" t="s">
        <v>489</v>
      </c>
      <c r="B370" t="s">
        <v>136</v>
      </c>
      <c r="C370" t="s">
        <v>56</v>
      </c>
      <c r="D370" t="s">
        <v>83</v>
      </c>
      <c r="E370" t="s">
        <v>58</v>
      </c>
      <c r="F370">
        <v>45</v>
      </c>
      <c r="G370" t="s">
        <v>72</v>
      </c>
      <c r="H370" s="24">
        <v>41511</v>
      </c>
      <c r="I370">
        <v>99169</v>
      </c>
      <c r="J370">
        <v>0</v>
      </c>
      <c r="K370">
        <v>99169</v>
      </c>
      <c r="L370" t="s">
        <v>66</v>
      </c>
      <c r="M370" t="s">
        <v>126</v>
      </c>
      <c r="N370" s="25"/>
      <c r="O370">
        <v>0</v>
      </c>
    </row>
    <row r="371" spans="1:15">
      <c r="A371" t="s">
        <v>490</v>
      </c>
      <c r="B371" t="s">
        <v>55</v>
      </c>
      <c r="C371" t="s">
        <v>90</v>
      </c>
      <c r="D371" t="s">
        <v>57</v>
      </c>
      <c r="E371" t="s">
        <v>58</v>
      </c>
      <c r="F371">
        <v>55</v>
      </c>
      <c r="G371" t="s">
        <v>59</v>
      </c>
      <c r="H371" s="24">
        <v>38888</v>
      </c>
      <c r="I371">
        <v>142628</v>
      </c>
      <c r="J371">
        <v>0.12</v>
      </c>
      <c r="K371">
        <v>159743</v>
      </c>
      <c r="L371" t="s">
        <v>66</v>
      </c>
      <c r="M371" t="s">
        <v>67</v>
      </c>
      <c r="N371" s="25"/>
      <c r="O371">
        <v>0</v>
      </c>
    </row>
    <row r="372" spans="1:15">
      <c r="A372" t="s">
        <v>491</v>
      </c>
      <c r="B372" t="s">
        <v>78</v>
      </c>
      <c r="C372" t="s">
        <v>105</v>
      </c>
      <c r="D372" t="s">
        <v>64</v>
      </c>
      <c r="E372" t="s">
        <v>58</v>
      </c>
      <c r="F372">
        <v>33</v>
      </c>
      <c r="G372" t="s">
        <v>76</v>
      </c>
      <c r="H372" s="24">
        <v>41756</v>
      </c>
      <c r="I372">
        <v>75869</v>
      </c>
      <c r="J372">
        <v>0</v>
      </c>
      <c r="K372">
        <v>75869</v>
      </c>
      <c r="L372" t="s">
        <v>113</v>
      </c>
      <c r="M372" t="s">
        <v>184</v>
      </c>
      <c r="N372" s="25"/>
      <c r="O372">
        <v>0</v>
      </c>
    </row>
    <row r="373" spans="1:15">
      <c r="A373" t="s">
        <v>492</v>
      </c>
      <c r="B373" t="s">
        <v>200</v>
      </c>
      <c r="C373" t="s">
        <v>56</v>
      </c>
      <c r="D373" t="s">
        <v>64</v>
      </c>
      <c r="E373" t="s">
        <v>58</v>
      </c>
      <c r="F373">
        <v>65</v>
      </c>
      <c r="G373" t="s">
        <v>107</v>
      </c>
      <c r="H373" s="24">
        <v>43234</v>
      </c>
      <c r="I373">
        <v>60985</v>
      </c>
      <c r="J373">
        <v>0</v>
      </c>
      <c r="K373">
        <v>60985</v>
      </c>
      <c r="L373" t="s">
        <v>60</v>
      </c>
      <c r="M373" t="s">
        <v>61</v>
      </c>
      <c r="N373" s="25"/>
      <c r="O373">
        <v>0</v>
      </c>
    </row>
    <row r="374" spans="1:15">
      <c r="A374" t="s">
        <v>493</v>
      </c>
      <c r="B374" t="s">
        <v>55</v>
      </c>
      <c r="C374" t="s">
        <v>56</v>
      </c>
      <c r="D374" t="s">
        <v>57</v>
      </c>
      <c r="E374" t="s">
        <v>58</v>
      </c>
      <c r="F374">
        <v>60</v>
      </c>
      <c r="G374" t="s">
        <v>59</v>
      </c>
      <c r="H374" s="24">
        <v>40383</v>
      </c>
      <c r="I374">
        <v>126911</v>
      </c>
      <c r="J374">
        <v>0.1</v>
      </c>
      <c r="K374">
        <v>139602</v>
      </c>
      <c r="L374" t="s">
        <v>66</v>
      </c>
      <c r="M374" t="s">
        <v>101</v>
      </c>
      <c r="N374" s="25"/>
      <c r="O374">
        <v>0</v>
      </c>
    </row>
    <row r="375" spans="1:15">
      <c r="A375" t="s">
        <v>494</v>
      </c>
      <c r="B375" t="s">
        <v>104</v>
      </c>
      <c r="C375" t="s">
        <v>82</v>
      </c>
      <c r="D375" t="s">
        <v>57</v>
      </c>
      <c r="E375" t="s">
        <v>65</v>
      </c>
      <c r="F375">
        <v>56</v>
      </c>
      <c r="G375" t="s">
        <v>59</v>
      </c>
      <c r="H375" s="24">
        <v>38042</v>
      </c>
      <c r="I375">
        <v>216949</v>
      </c>
      <c r="J375">
        <v>0.32</v>
      </c>
      <c r="K375">
        <v>286373</v>
      </c>
      <c r="L375" t="s">
        <v>66</v>
      </c>
      <c r="M375" t="s">
        <v>101</v>
      </c>
      <c r="N375" s="25"/>
      <c r="O375">
        <v>0</v>
      </c>
    </row>
    <row r="376" spans="1:15">
      <c r="A376" t="s">
        <v>495</v>
      </c>
      <c r="B376" t="s">
        <v>69</v>
      </c>
      <c r="C376" t="s">
        <v>98</v>
      </c>
      <c r="D376" t="s">
        <v>64</v>
      </c>
      <c r="E376" t="s">
        <v>65</v>
      </c>
      <c r="F376">
        <v>53</v>
      </c>
      <c r="G376" t="s">
        <v>72</v>
      </c>
      <c r="H376" s="24">
        <v>41204</v>
      </c>
      <c r="I376">
        <v>168510</v>
      </c>
      <c r="J376">
        <v>0.29</v>
      </c>
      <c r="K376">
        <v>217378</v>
      </c>
      <c r="L376" t="s">
        <v>60</v>
      </c>
      <c r="M376" t="s">
        <v>61</v>
      </c>
      <c r="N376" s="25"/>
      <c r="O376">
        <v>0</v>
      </c>
    </row>
    <row r="377" spans="1:15">
      <c r="A377" t="s">
        <v>496</v>
      </c>
      <c r="B377" t="s">
        <v>160</v>
      </c>
      <c r="C377" t="s">
        <v>98</v>
      </c>
      <c r="D377" t="s">
        <v>71</v>
      </c>
      <c r="E377" t="s">
        <v>58</v>
      </c>
      <c r="F377">
        <v>36</v>
      </c>
      <c r="G377" t="s">
        <v>95</v>
      </c>
      <c r="H377" s="24">
        <v>42443</v>
      </c>
      <c r="I377">
        <v>85870</v>
      </c>
      <c r="J377">
        <v>0</v>
      </c>
      <c r="K377">
        <v>85870</v>
      </c>
      <c r="L377" t="s">
        <v>113</v>
      </c>
      <c r="M377" t="s">
        <v>184</v>
      </c>
      <c r="N377" s="25"/>
      <c r="O377">
        <v>0</v>
      </c>
    </row>
    <row r="378" spans="1:15">
      <c r="A378" t="s">
        <v>497</v>
      </c>
      <c r="B378" t="s">
        <v>78</v>
      </c>
      <c r="C378" t="s">
        <v>105</v>
      </c>
      <c r="D378" t="s">
        <v>83</v>
      </c>
      <c r="E378" t="s">
        <v>58</v>
      </c>
      <c r="F378">
        <v>46</v>
      </c>
      <c r="G378" t="s">
        <v>72</v>
      </c>
      <c r="H378" s="24">
        <v>37271</v>
      </c>
      <c r="I378">
        <v>86510</v>
      </c>
      <c r="J378">
        <v>0</v>
      </c>
      <c r="K378">
        <v>86510</v>
      </c>
      <c r="L378" t="s">
        <v>66</v>
      </c>
      <c r="M378" t="s">
        <v>126</v>
      </c>
      <c r="N378" s="25">
        <v>37623</v>
      </c>
      <c r="O378">
        <v>1</v>
      </c>
    </row>
    <row r="379" spans="1:15">
      <c r="A379" t="s">
        <v>498</v>
      </c>
      <c r="B379" t="s">
        <v>85</v>
      </c>
      <c r="C379" t="s">
        <v>82</v>
      </c>
      <c r="D379" t="s">
        <v>71</v>
      </c>
      <c r="E379" t="s">
        <v>58</v>
      </c>
      <c r="F379">
        <v>38</v>
      </c>
      <c r="G379" t="s">
        <v>95</v>
      </c>
      <c r="H379" s="24">
        <v>42999</v>
      </c>
      <c r="I379">
        <v>119647</v>
      </c>
      <c r="J379">
        <v>0.09</v>
      </c>
      <c r="K379">
        <v>130415</v>
      </c>
      <c r="L379" t="s">
        <v>113</v>
      </c>
      <c r="M379" t="s">
        <v>184</v>
      </c>
      <c r="N379" s="25"/>
      <c r="O379">
        <v>0</v>
      </c>
    </row>
    <row r="380" spans="1:15">
      <c r="A380" t="s">
        <v>499</v>
      </c>
      <c r="B380" t="s">
        <v>136</v>
      </c>
      <c r="C380" t="s">
        <v>56</v>
      </c>
      <c r="D380" t="s">
        <v>57</v>
      </c>
      <c r="E380" t="s">
        <v>65</v>
      </c>
      <c r="F380">
        <v>62</v>
      </c>
      <c r="G380" t="s">
        <v>59</v>
      </c>
      <c r="H380" s="24">
        <v>36996</v>
      </c>
      <c r="I380">
        <v>80921</v>
      </c>
      <c r="J380">
        <v>0</v>
      </c>
      <c r="K380">
        <v>80921</v>
      </c>
      <c r="L380" t="s">
        <v>60</v>
      </c>
      <c r="M380" t="s">
        <v>110</v>
      </c>
      <c r="N380" s="25"/>
      <c r="O380">
        <v>0</v>
      </c>
    </row>
    <row r="381" spans="1:15">
      <c r="A381" t="s">
        <v>500</v>
      </c>
      <c r="B381" t="s">
        <v>125</v>
      </c>
      <c r="C381" t="s">
        <v>98</v>
      </c>
      <c r="D381" t="s">
        <v>57</v>
      </c>
      <c r="E381" t="s">
        <v>58</v>
      </c>
      <c r="F381">
        <v>61</v>
      </c>
      <c r="G381" t="s">
        <v>59</v>
      </c>
      <c r="H381" s="24">
        <v>40193</v>
      </c>
      <c r="I381">
        <v>98110</v>
      </c>
      <c r="J381">
        <v>0.13</v>
      </c>
      <c r="K381">
        <v>110864</v>
      </c>
      <c r="L381" t="s">
        <v>60</v>
      </c>
      <c r="M381" t="s">
        <v>73</v>
      </c>
      <c r="N381" s="25"/>
      <c r="O381">
        <v>0</v>
      </c>
    </row>
    <row r="382" spans="1:15">
      <c r="A382" t="s">
        <v>501</v>
      </c>
      <c r="B382" t="s">
        <v>200</v>
      </c>
      <c r="C382" t="s">
        <v>56</v>
      </c>
      <c r="D382" t="s">
        <v>71</v>
      </c>
      <c r="E382" t="s">
        <v>58</v>
      </c>
      <c r="F382">
        <v>59</v>
      </c>
      <c r="G382" t="s">
        <v>59</v>
      </c>
      <c r="H382" s="24">
        <v>43028</v>
      </c>
      <c r="I382">
        <v>86831</v>
      </c>
      <c r="J382">
        <v>0</v>
      </c>
      <c r="K382">
        <v>86831</v>
      </c>
      <c r="L382" t="s">
        <v>60</v>
      </c>
      <c r="M382" t="s">
        <v>79</v>
      </c>
      <c r="N382" s="25"/>
      <c r="O382">
        <v>0</v>
      </c>
    </row>
    <row r="383" spans="1:15">
      <c r="A383" t="s">
        <v>502</v>
      </c>
      <c r="B383" t="s">
        <v>63</v>
      </c>
      <c r="C383" t="s">
        <v>56</v>
      </c>
      <c r="D383" t="s">
        <v>71</v>
      </c>
      <c r="E383" t="s">
        <v>58</v>
      </c>
      <c r="F383">
        <v>49</v>
      </c>
      <c r="G383" t="s">
        <v>72</v>
      </c>
      <c r="H383" s="24">
        <v>40431</v>
      </c>
      <c r="I383">
        <v>72826</v>
      </c>
      <c r="J383">
        <v>0</v>
      </c>
      <c r="K383">
        <v>72826</v>
      </c>
      <c r="L383" t="s">
        <v>66</v>
      </c>
      <c r="M383" t="s">
        <v>126</v>
      </c>
      <c r="N383" s="25"/>
      <c r="O383">
        <v>0</v>
      </c>
    </row>
    <row r="384" spans="1:15">
      <c r="A384" t="s">
        <v>503</v>
      </c>
      <c r="B384" t="s">
        <v>69</v>
      </c>
      <c r="C384" t="s">
        <v>105</v>
      </c>
      <c r="D384" t="s">
        <v>64</v>
      </c>
      <c r="E384" t="s">
        <v>58</v>
      </c>
      <c r="F384">
        <v>64</v>
      </c>
      <c r="G384" t="s">
        <v>59</v>
      </c>
      <c r="H384" s="24">
        <v>40588</v>
      </c>
      <c r="I384">
        <v>171217</v>
      </c>
      <c r="J384">
        <v>0.19</v>
      </c>
      <c r="K384">
        <v>203748</v>
      </c>
      <c r="L384" t="s">
        <v>60</v>
      </c>
      <c r="M384" t="s">
        <v>61</v>
      </c>
      <c r="N384" s="25"/>
      <c r="O384">
        <v>0</v>
      </c>
    </row>
    <row r="385" spans="1:15">
      <c r="A385" t="s">
        <v>504</v>
      </c>
      <c r="B385" t="s">
        <v>85</v>
      </c>
      <c r="C385" t="s">
        <v>56</v>
      </c>
      <c r="D385" t="s">
        <v>57</v>
      </c>
      <c r="E385" t="s">
        <v>58</v>
      </c>
      <c r="F385">
        <v>57</v>
      </c>
      <c r="G385" t="s">
        <v>59</v>
      </c>
      <c r="H385" s="24">
        <v>43948</v>
      </c>
      <c r="I385">
        <v>103058</v>
      </c>
      <c r="J385">
        <v>0.07</v>
      </c>
      <c r="K385">
        <v>110272</v>
      </c>
      <c r="L385" t="s">
        <v>60</v>
      </c>
      <c r="M385" t="s">
        <v>110</v>
      </c>
      <c r="N385" s="25"/>
      <c r="O385">
        <v>0</v>
      </c>
    </row>
    <row r="386" spans="1:15">
      <c r="A386" t="s">
        <v>505</v>
      </c>
      <c r="B386" t="s">
        <v>85</v>
      </c>
      <c r="C386" t="s">
        <v>82</v>
      </c>
      <c r="D386" t="s">
        <v>71</v>
      </c>
      <c r="E386" t="s">
        <v>65</v>
      </c>
      <c r="F386">
        <v>52</v>
      </c>
      <c r="G386" t="s">
        <v>72</v>
      </c>
      <c r="H386" s="24">
        <v>41858</v>
      </c>
      <c r="I386">
        <v>117062</v>
      </c>
      <c r="J386">
        <v>0.07</v>
      </c>
      <c r="K386">
        <v>125256</v>
      </c>
      <c r="L386" t="s">
        <v>60</v>
      </c>
      <c r="M386" t="s">
        <v>79</v>
      </c>
      <c r="N386" s="25"/>
      <c r="O386">
        <v>0</v>
      </c>
    </row>
    <row r="387" spans="1:15">
      <c r="A387" t="s">
        <v>506</v>
      </c>
      <c r="B387" t="s">
        <v>55</v>
      </c>
      <c r="C387" t="s">
        <v>90</v>
      </c>
      <c r="D387" t="s">
        <v>71</v>
      </c>
      <c r="E387" t="s">
        <v>65</v>
      </c>
      <c r="F387">
        <v>40</v>
      </c>
      <c r="G387" t="s">
        <v>95</v>
      </c>
      <c r="H387" s="24">
        <v>43488</v>
      </c>
      <c r="I387">
        <v>159031</v>
      </c>
      <c r="J387">
        <v>0.1</v>
      </c>
      <c r="K387">
        <v>174934</v>
      </c>
      <c r="L387" t="s">
        <v>60</v>
      </c>
      <c r="M387" t="s">
        <v>88</v>
      </c>
      <c r="N387" s="25"/>
      <c r="O387">
        <v>0</v>
      </c>
    </row>
    <row r="388" spans="1:15">
      <c r="A388" t="s">
        <v>507</v>
      </c>
      <c r="B388" t="s">
        <v>55</v>
      </c>
      <c r="C388" t="s">
        <v>56</v>
      </c>
      <c r="D388" t="s">
        <v>57</v>
      </c>
      <c r="E388" t="s">
        <v>58</v>
      </c>
      <c r="F388">
        <v>49</v>
      </c>
      <c r="G388" t="s">
        <v>72</v>
      </c>
      <c r="H388" s="24">
        <v>38000</v>
      </c>
      <c r="I388">
        <v>125086</v>
      </c>
      <c r="J388">
        <v>0.1</v>
      </c>
      <c r="K388">
        <v>137595</v>
      </c>
      <c r="L388" t="s">
        <v>113</v>
      </c>
      <c r="M388" t="s">
        <v>184</v>
      </c>
      <c r="N388" s="25"/>
      <c r="O388">
        <v>0</v>
      </c>
    </row>
    <row r="389" spans="1:15">
      <c r="A389" t="s">
        <v>508</v>
      </c>
      <c r="B389" t="s">
        <v>228</v>
      </c>
      <c r="C389" t="s">
        <v>56</v>
      </c>
      <c r="D389" t="s">
        <v>71</v>
      </c>
      <c r="E389" t="s">
        <v>65</v>
      </c>
      <c r="F389">
        <v>43</v>
      </c>
      <c r="G389" t="s">
        <v>95</v>
      </c>
      <c r="H389" s="24">
        <v>42467</v>
      </c>
      <c r="I389">
        <v>67976</v>
      </c>
      <c r="J389">
        <v>0</v>
      </c>
      <c r="K389">
        <v>67976</v>
      </c>
      <c r="L389" t="s">
        <v>60</v>
      </c>
      <c r="M389" t="s">
        <v>61</v>
      </c>
      <c r="N389" s="25"/>
      <c r="O389">
        <v>0</v>
      </c>
    </row>
    <row r="390" spans="1:15">
      <c r="A390" t="s">
        <v>509</v>
      </c>
      <c r="B390" t="s">
        <v>132</v>
      </c>
      <c r="C390" t="s">
        <v>70</v>
      </c>
      <c r="D390" t="s">
        <v>71</v>
      </c>
      <c r="E390" t="s">
        <v>65</v>
      </c>
      <c r="F390">
        <v>31</v>
      </c>
      <c r="G390" t="s">
        <v>76</v>
      </c>
      <c r="H390" s="24">
        <v>44308</v>
      </c>
      <c r="I390">
        <v>74215</v>
      </c>
      <c r="J390">
        <v>0</v>
      </c>
      <c r="K390">
        <v>74215</v>
      </c>
      <c r="L390" t="s">
        <v>60</v>
      </c>
      <c r="M390" t="s">
        <v>79</v>
      </c>
      <c r="N390" s="25"/>
      <c r="O390">
        <v>0</v>
      </c>
    </row>
    <row r="391" spans="1:15">
      <c r="A391" t="s">
        <v>510</v>
      </c>
      <c r="B391" t="s">
        <v>69</v>
      </c>
      <c r="C391" t="s">
        <v>90</v>
      </c>
      <c r="D391" t="s">
        <v>64</v>
      </c>
      <c r="E391" t="s">
        <v>65</v>
      </c>
      <c r="F391">
        <v>55</v>
      </c>
      <c r="G391" t="s">
        <v>59</v>
      </c>
      <c r="H391" s="24">
        <v>40340</v>
      </c>
      <c r="I391">
        <v>187389</v>
      </c>
      <c r="J391">
        <v>0.25</v>
      </c>
      <c r="K391">
        <v>234236</v>
      </c>
      <c r="L391" t="s">
        <v>66</v>
      </c>
      <c r="M391" t="s">
        <v>138</v>
      </c>
      <c r="N391" s="25"/>
      <c r="O391">
        <v>0</v>
      </c>
    </row>
    <row r="392" spans="1:15">
      <c r="A392" t="s">
        <v>511</v>
      </c>
      <c r="B392" t="s">
        <v>55</v>
      </c>
      <c r="C392" t="s">
        <v>94</v>
      </c>
      <c r="D392" t="s">
        <v>71</v>
      </c>
      <c r="E392" t="s">
        <v>58</v>
      </c>
      <c r="F392">
        <v>41</v>
      </c>
      <c r="G392" t="s">
        <v>95</v>
      </c>
      <c r="H392" s="24">
        <v>39747</v>
      </c>
      <c r="I392">
        <v>131841</v>
      </c>
      <c r="J392">
        <v>0.13</v>
      </c>
      <c r="K392">
        <v>148980</v>
      </c>
      <c r="L392" t="s">
        <v>60</v>
      </c>
      <c r="M392" t="s">
        <v>110</v>
      </c>
      <c r="N392" s="25"/>
      <c r="O392">
        <v>0</v>
      </c>
    </row>
    <row r="393" spans="1:15">
      <c r="A393" t="s">
        <v>512</v>
      </c>
      <c r="B393" t="s">
        <v>78</v>
      </c>
      <c r="C393" t="s">
        <v>90</v>
      </c>
      <c r="D393" t="s">
        <v>57</v>
      </c>
      <c r="E393" t="s">
        <v>65</v>
      </c>
      <c r="F393">
        <v>34</v>
      </c>
      <c r="G393" t="s">
        <v>76</v>
      </c>
      <c r="H393" s="24">
        <v>40750</v>
      </c>
      <c r="I393">
        <v>97231</v>
      </c>
      <c r="J393">
        <v>0</v>
      </c>
      <c r="K393">
        <v>97231</v>
      </c>
      <c r="L393" t="s">
        <v>66</v>
      </c>
      <c r="M393" t="s">
        <v>126</v>
      </c>
      <c r="N393" s="25"/>
      <c r="O393">
        <v>0</v>
      </c>
    </row>
    <row r="394" spans="1:15">
      <c r="A394" t="s">
        <v>513</v>
      </c>
      <c r="B394" t="s">
        <v>55</v>
      </c>
      <c r="C394" t="s">
        <v>70</v>
      </c>
      <c r="D394" t="s">
        <v>83</v>
      </c>
      <c r="E394" t="s">
        <v>58</v>
      </c>
      <c r="F394">
        <v>41</v>
      </c>
      <c r="G394" t="s">
        <v>95</v>
      </c>
      <c r="H394" s="24">
        <v>38060</v>
      </c>
      <c r="I394">
        <v>155004</v>
      </c>
      <c r="J394">
        <v>0.12</v>
      </c>
      <c r="K394">
        <v>173604</v>
      </c>
      <c r="L394" t="s">
        <v>60</v>
      </c>
      <c r="M394" t="s">
        <v>91</v>
      </c>
      <c r="N394" s="25"/>
      <c r="O394">
        <v>0</v>
      </c>
    </row>
    <row r="395" spans="1:15">
      <c r="A395" t="s">
        <v>514</v>
      </c>
      <c r="B395" t="s">
        <v>244</v>
      </c>
      <c r="C395" t="s">
        <v>56</v>
      </c>
      <c r="D395" t="s">
        <v>64</v>
      </c>
      <c r="E395" t="s">
        <v>65</v>
      </c>
      <c r="F395">
        <v>40</v>
      </c>
      <c r="G395" t="s">
        <v>95</v>
      </c>
      <c r="H395" s="24">
        <v>39293</v>
      </c>
      <c r="I395">
        <v>41859</v>
      </c>
      <c r="J395">
        <v>0</v>
      </c>
      <c r="K395">
        <v>41859</v>
      </c>
      <c r="L395" t="s">
        <v>60</v>
      </c>
      <c r="M395" t="s">
        <v>61</v>
      </c>
      <c r="N395" s="25"/>
      <c r="O395">
        <v>0</v>
      </c>
    </row>
    <row r="396" spans="1:15">
      <c r="A396" t="s">
        <v>515</v>
      </c>
      <c r="B396" t="s">
        <v>129</v>
      </c>
      <c r="C396" t="s">
        <v>56</v>
      </c>
      <c r="D396" t="s">
        <v>64</v>
      </c>
      <c r="E396" t="s">
        <v>65</v>
      </c>
      <c r="F396">
        <v>42</v>
      </c>
      <c r="G396" t="s">
        <v>95</v>
      </c>
      <c r="H396" s="24">
        <v>38984</v>
      </c>
      <c r="I396">
        <v>52733</v>
      </c>
      <c r="J396">
        <v>0</v>
      </c>
      <c r="K396">
        <v>52733</v>
      </c>
      <c r="L396" t="s">
        <v>60</v>
      </c>
      <c r="M396" t="s">
        <v>73</v>
      </c>
      <c r="N396" s="25"/>
      <c r="O396">
        <v>0</v>
      </c>
    </row>
    <row r="397" spans="1:15">
      <c r="A397" t="s">
        <v>516</v>
      </c>
      <c r="B397" t="s">
        <v>104</v>
      </c>
      <c r="C397" t="s">
        <v>94</v>
      </c>
      <c r="D397" t="s">
        <v>83</v>
      </c>
      <c r="E397" t="s">
        <v>65</v>
      </c>
      <c r="F397">
        <v>31</v>
      </c>
      <c r="G397" t="s">
        <v>76</v>
      </c>
      <c r="H397" s="24">
        <v>42250</v>
      </c>
      <c r="I397">
        <v>250953</v>
      </c>
      <c r="J397">
        <v>0.34</v>
      </c>
      <c r="K397">
        <v>336277</v>
      </c>
      <c r="L397" t="s">
        <v>60</v>
      </c>
      <c r="M397" t="s">
        <v>110</v>
      </c>
      <c r="N397" s="25"/>
      <c r="O397">
        <v>0</v>
      </c>
    </row>
    <row r="398" spans="1:15">
      <c r="A398" t="s">
        <v>517</v>
      </c>
      <c r="B398" t="s">
        <v>69</v>
      </c>
      <c r="C398" t="s">
        <v>105</v>
      </c>
      <c r="D398" t="s">
        <v>57</v>
      </c>
      <c r="E398" t="s">
        <v>65</v>
      </c>
      <c r="F398">
        <v>49</v>
      </c>
      <c r="G398" t="s">
        <v>72</v>
      </c>
      <c r="H398" s="24">
        <v>36210</v>
      </c>
      <c r="I398">
        <v>191807</v>
      </c>
      <c r="J398">
        <v>0.21</v>
      </c>
      <c r="K398">
        <v>232086</v>
      </c>
      <c r="L398" t="s">
        <v>66</v>
      </c>
      <c r="M398" t="s">
        <v>67</v>
      </c>
      <c r="N398" s="25"/>
      <c r="O398">
        <v>0</v>
      </c>
    </row>
    <row r="399" spans="1:15">
      <c r="A399" t="s">
        <v>518</v>
      </c>
      <c r="B399" t="s">
        <v>63</v>
      </c>
      <c r="C399" t="s">
        <v>56</v>
      </c>
      <c r="D399" t="s">
        <v>71</v>
      </c>
      <c r="E399" t="s">
        <v>65</v>
      </c>
      <c r="F399">
        <v>42</v>
      </c>
      <c r="G399" t="s">
        <v>95</v>
      </c>
      <c r="H399" s="24">
        <v>41813</v>
      </c>
      <c r="I399">
        <v>64677</v>
      </c>
      <c r="J399">
        <v>0</v>
      </c>
      <c r="K399">
        <v>64677</v>
      </c>
      <c r="L399" t="s">
        <v>66</v>
      </c>
      <c r="M399" t="s">
        <v>67</v>
      </c>
      <c r="N399" s="25"/>
      <c r="O399">
        <v>0</v>
      </c>
    </row>
    <row r="400" spans="1:15">
      <c r="A400" t="s">
        <v>519</v>
      </c>
      <c r="B400" t="s">
        <v>55</v>
      </c>
      <c r="C400" t="s">
        <v>56</v>
      </c>
      <c r="D400" t="s">
        <v>83</v>
      </c>
      <c r="E400" t="s">
        <v>65</v>
      </c>
      <c r="F400">
        <v>46</v>
      </c>
      <c r="G400" t="s">
        <v>72</v>
      </c>
      <c r="H400" s="24">
        <v>38244</v>
      </c>
      <c r="I400">
        <v>130274</v>
      </c>
      <c r="J400">
        <v>0.11</v>
      </c>
      <c r="K400">
        <v>144604</v>
      </c>
      <c r="L400" t="s">
        <v>60</v>
      </c>
      <c r="M400" t="s">
        <v>73</v>
      </c>
      <c r="N400" s="25"/>
      <c r="O400">
        <v>0</v>
      </c>
    </row>
    <row r="401" spans="1:15">
      <c r="A401" t="s">
        <v>520</v>
      </c>
      <c r="B401" t="s">
        <v>200</v>
      </c>
      <c r="C401" t="s">
        <v>56</v>
      </c>
      <c r="D401" t="s">
        <v>57</v>
      </c>
      <c r="E401" t="s">
        <v>65</v>
      </c>
      <c r="F401">
        <v>37</v>
      </c>
      <c r="G401" t="s">
        <v>95</v>
      </c>
      <c r="H401" s="24">
        <v>42922</v>
      </c>
      <c r="I401">
        <v>96331</v>
      </c>
      <c r="J401">
        <v>0</v>
      </c>
      <c r="K401">
        <v>96331</v>
      </c>
      <c r="L401" t="s">
        <v>66</v>
      </c>
      <c r="M401" t="s">
        <v>101</v>
      </c>
      <c r="N401" s="25"/>
      <c r="O401">
        <v>0</v>
      </c>
    </row>
    <row r="402" spans="1:15">
      <c r="A402" t="s">
        <v>521</v>
      </c>
      <c r="B402" t="s">
        <v>55</v>
      </c>
      <c r="C402" t="s">
        <v>70</v>
      </c>
      <c r="D402" t="s">
        <v>57</v>
      </c>
      <c r="E402" t="s">
        <v>58</v>
      </c>
      <c r="F402">
        <v>51</v>
      </c>
      <c r="G402" t="s">
        <v>72</v>
      </c>
      <c r="H402" s="24">
        <v>38835</v>
      </c>
      <c r="I402">
        <v>150758</v>
      </c>
      <c r="J402">
        <v>0.13</v>
      </c>
      <c r="K402">
        <v>170357</v>
      </c>
      <c r="L402" t="s">
        <v>60</v>
      </c>
      <c r="M402" t="s">
        <v>73</v>
      </c>
      <c r="N402" s="25">
        <v>39310</v>
      </c>
      <c r="O402">
        <v>1</v>
      </c>
    </row>
    <row r="403" spans="1:15">
      <c r="A403" t="s">
        <v>522</v>
      </c>
      <c r="B403" t="s">
        <v>69</v>
      </c>
      <c r="C403" t="s">
        <v>98</v>
      </c>
      <c r="D403" t="s">
        <v>83</v>
      </c>
      <c r="E403" t="s">
        <v>65</v>
      </c>
      <c r="F403">
        <v>46</v>
      </c>
      <c r="G403" t="s">
        <v>72</v>
      </c>
      <c r="H403" s="24">
        <v>41839</v>
      </c>
      <c r="I403">
        <v>173629</v>
      </c>
      <c r="J403">
        <v>0.21</v>
      </c>
      <c r="K403">
        <v>210091</v>
      </c>
      <c r="L403" t="s">
        <v>113</v>
      </c>
      <c r="M403" t="s">
        <v>184</v>
      </c>
      <c r="N403" s="25"/>
      <c r="O403">
        <v>0</v>
      </c>
    </row>
    <row r="404" spans="1:15">
      <c r="A404" t="s">
        <v>523</v>
      </c>
      <c r="B404" t="s">
        <v>266</v>
      </c>
      <c r="C404" t="s">
        <v>56</v>
      </c>
      <c r="D404" t="s">
        <v>83</v>
      </c>
      <c r="E404" t="s">
        <v>65</v>
      </c>
      <c r="F404">
        <v>55</v>
      </c>
      <c r="G404" t="s">
        <v>59</v>
      </c>
      <c r="H404" s="24">
        <v>35919</v>
      </c>
      <c r="I404">
        <v>62174</v>
      </c>
      <c r="J404">
        <v>0</v>
      </c>
      <c r="K404">
        <v>62174</v>
      </c>
      <c r="L404" t="s">
        <v>60</v>
      </c>
      <c r="M404" t="s">
        <v>73</v>
      </c>
      <c r="N404" s="25"/>
      <c r="O404">
        <v>0</v>
      </c>
    </row>
    <row r="405" spans="1:15">
      <c r="A405" t="s">
        <v>524</v>
      </c>
      <c r="B405" t="s">
        <v>132</v>
      </c>
      <c r="C405" t="s">
        <v>90</v>
      </c>
      <c r="D405" t="s">
        <v>64</v>
      </c>
      <c r="E405" t="s">
        <v>65</v>
      </c>
      <c r="F405">
        <v>43</v>
      </c>
      <c r="G405" t="s">
        <v>95</v>
      </c>
      <c r="H405" s="24">
        <v>43028</v>
      </c>
      <c r="I405">
        <v>56555</v>
      </c>
      <c r="J405">
        <v>0</v>
      </c>
      <c r="K405">
        <v>56555</v>
      </c>
      <c r="L405" t="s">
        <v>60</v>
      </c>
      <c r="M405" t="s">
        <v>79</v>
      </c>
      <c r="N405" s="25"/>
      <c r="O405">
        <v>0</v>
      </c>
    </row>
    <row r="406" spans="1:15">
      <c r="A406" t="s">
        <v>525</v>
      </c>
      <c r="B406" t="s">
        <v>132</v>
      </c>
      <c r="C406" t="s">
        <v>105</v>
      </c>
      <c r="D406" t="s">
        <v>64</v>
      </c>
      <c r="E406" t="s">
        <v>65</v>
      </c>
      <c r="F406">
        <v>48</v>
      </c>
      <c r="G406" t="s">
        <v>72</v>
      </c>
      <c r="H406" s="24">
        <v>38623</v>
      </c>
      <c r="I406">
        <v>74655</v>
      </c>
      <c r="J406">
        <v>0</v>
      </c>
      <c r="K406">
        <v>74655</v>
      </c>
      <c r="L406" t="s">
        <v>60</v>
      </c>
      <c r="M406" t="s">
        <v>91</v>
      </c>
      <c r="N406" s="25"/>
      <c r="O406">
        <v>0</v>
      </c>
    </row>
    <row r="407" spans="1:15">
      <c r="A407" t="s">
        <v>526</v>
      </c>
      <c r="B407" t="s">
        <v>228</v>
      </c>
      <c r="C407" t="s">
        <v>56</v>
      </c>
      <c r="D407" t="s">
        <v>83</v>
      </c>
      <c r="E407" t="s">
        <v>65</v>
      </c>
      <c r="F407">
        <v>48</v>
      </c>
      <c r="G407" t="s">
        <v>72</v>
      </c>
      <c r="H407" s="24">
        <v>37844</v>
      </c>
      <c r="I407">
        <v>93017</v>
      </c>
      <c r="J407">
        <v>0</v>
      </c>
      <c r="K407">
        <v>93017</v>
      </c>
      <c r="L407" t="s">
        <v>60</v>
      </c>
      <c r="M407" t="s">
        <v>61</v>
      </c>
      <c r="N407" s="25"/>
      <c r="O407">
        <v>0</v>
      </c>
    </row>
    <row r="408" spans="1:15">
      <c r="A408" t="s">
        <v>527</v>
      </c>
      <c r="B408" t="s">
        <v>78</v>
      </c>
      <c r="C408" t="s">
        <v>105</v>
      </c>
      <c r="D408" t="s">
        <v>64</v>
      </c>
      <c r="E408" t="s">
        <v>65</v>
      </c>
      <c r="F408">
        <v>51</v>
      </c>
      <c r="G408" t="s">
        <v>72</v>
      </c>
      <c r="H408" s="24">
        <v>41013</v>
      </c>
      <c r="I408">
        <v>82300</v>
      </c>
      <c r="J408">
        <v>0</v>
      </c>
      <c r="K408">
        <v>82300</v>
      </c>
      <c r="L408" t="s">
        <v>66</v>
      </c>
      <c r="M408" t="s">
        <v>138</v>
      </c>
      <c r="N408" s="25"/>
      <c r="O408">
        <v>0</v>
      </c>
    </row>
    <row r="409" spans="1:15">
      <c r="A409" t="s">
        <v>528</v>
      </c>
      <c r="B409" t="s">
        <v>162</v>
      </c>
      <c r="C409" t="s">
        <v>98</v>
      </c>
      <c r="D409" t="s">
        <v>57</v>
      </c>
      <c r="E409" t="s">
        <v>58</v>
      </c>
      <c r="F409">
        <v>46</v>
      </c>
      <c r="G409" t="s">
        <v>72</v>
      </c>
      <c r="H409" s="24">
        <v>39471</v>
      </c>
      <c r="I409">
        <v>91621</v>
      </c>
      <c r="J409">
        <v>0</v>
      </c>
      <c r="K409">
        <v>91621</v>
      </c>
      <c r="L409" t="s">
        <v>60</v>
      </c>
      <c r="M409" t="s">
        <v>73</v>
      </c>
      <c r="N409" s="25"/>
      <c r="O409">
        <v>0</v>
      </c>
    </row>
    <row r="410" spans="1:15">
      <c r="A410" t="s">
        <v>529</v>
      </c>
      <c r="B410" t="s">
        <v>78</v>
      </c>
      <c r="C410" t="s">
        <v>105</v>
      </c>
      <c r="D410" t="s">
        <v>57</v>
      </c>
      <c r="E410" t="s">
        <v>65</v>
      </c>
      <c r="F410">
        <v>33</v>
      </c>
      <c r="G410" t="s">
        <v>76</v>
      </c>
      <c r="H410" s="24">
        <v>41973</v>
      </c>
      <c r="I410">
        <v>91280</v>
      </c>
      <c r="J410">
        <v>0</v>
      </c>
      <c r="K410">
        <v>91280</v>
      </c>
      <c r="L410" t="s">
        <v>60</v>
      </c>
      <c r="M410" t="s">
        <v>88</v>
      </c>
      <c r="N410" s="25"/>
      <c r="O410">
        <v>0</v>
      </c>
    </row>
    <row r="411" spans="1:15">
      <c r="A411" t="s">
        <v>530</v>
      </c>
      <c r="B411" t="s">
        <v>166</v>
      </c>
      <c r="C411" t="s">
        <v>94</v>
      </c>
      <c r="D411" t="s">
        <v>64</v>
      </c>
      <c r="E411" t="s">
        <v>58</v>
      </c>
      <c r="F411">
        <v>42</v>
      </c>
      <c r="G411" t="s">
        <v>95</v>
      </c>
      <c r="H411" s="24">
        <v>44092</v>
      </c>
      <c r="I411">
        <v>47071</v>
      </c>
      <c r="J411">
        <v>0</v>
      </c>
      <c r="K411">
        <v>47071</v>
      </c>
      <c r="L411" t="s">
        <v>60</v>
      </c>
      <c r="M411" t="s">
        <v>110</v>
      </c>
      <c r="N411" s="25"/>
      <c r="O411">
        <v>0</v>
      </c>
    </row>
    <row r="412" spans="1:15">
      <c r="A412" t="s">
        <v>531</v>
      </c>
      <c r="B412" t="s">
        <v>303</v>
      </c>
      <c r="C412" t="s">
        <v>56</v>
      </c>
      <c r="D412" t="s">
        <v>64</v>
      </c>
      <c r="E412" t="s">
        <v>58</v>
      </c>
      <c r="F412">
        <v>55</v>
      </c>
      <c r="G412" t="s">
        <v>59</v>
      </c>
      <c r="H412" s="24">
        <v>40868</v>
      </c>
      <c r="I412">
        <v>81218</v>
      </c>
      <c r="J412">
        <v>0</v>
      </c>
      <c r="K412">
        <v>81218</v>
      </c>
      <c r="L412" t="s">
        <v>60</v>
      </c>
      <c r="M412" t="s">
        <v>73</v>
      </c>
      <c r="N412" s="25"/>
      <c r="O412">
        <v>0</v>
      </c>
    </row>
    <row r="413" spans="1:15">
      <c r="A413" t="s">
        <v>532</v>
      </c>
      <c r="B413" t="s">
        <v>104</v>
      </c>
      <c r="C413" t="s">
        <v>98</v>
      </c>
      <c r="D413" t="s">
        <v>64</v>
      </c>
      <c r="E413" t="s">
        <v>58</v>
      </c>
      <c r="F413">
        <v>50</v>
      </c>
      <c r="G413" t="s">
        <v>72</v>
      </c>
      <c r="H413" s="24">
        <v>39734</v>
      </c>
      <c r="I413">
        <v>181801</v>
      </c>
      <c r="J413">
        <v>0.4</v>
      </c>
      <c r="K413">
        <v>254521</v>
      </c>
      <c r="L413" t="s">
        <v>66</v>
      </c>
      <c r="M413" t="s">
        <v>67</v>
      </c>
      <c r="N413" s="25">
        <v>43810</v>
      </c>
      <c r="O413">
        <v>1</v>
      </c>
    </row>
    <row r="414" spans="1:15">
      <c r="A414" t="s">
        <v>533</v>
      </c>
      <c r="B414" t="s">
        <v>81</v>
      </c>
      <c r="C414" t="s">
        <v>82</v>
      </c>
      <c r="D414" t="s">
        <v>64</v>
      </c>
      <c r="E414" t="s">
        <v>58</v>
      </c>
      <c r="F414">
        <v>26</v>
      </c>
      <c r="G414" t="s">
        <v>76</v>
      </c>
      <c r="H414" s="24">
        <v>44521</v>
      </c>
      <c r="I414">
        <v>63137</v>
      </c>
      <c r="J414">
        <v>0</v>
      </c>
      <c r="K414">
        <v>63137</v>
      </c>
      <c r="L414" t="s">
        <v>60</v>
      </c>
      <c r="M414" t="s">
        <v>73</v>
      </c>
      <c r="N414" s="25"/>
      <c r="O414">
        <v>0</v>
      </c>
    </row>
    <row r="415" spans="1:15">
      <c r="A415" t="s">
        <v>534</v>
      </c>
      <c r="B415" t="s">
        <v>104</v>
      </c>
      <c r="C415" t="s">
        <v>98</v>
      </c>
      <c r="D415" t="s">
        <v>64</v>
      </c>
      <c r="E415" t="s">
        <v>58</v>
      </c>
      <c r="F415">
        <v>55</v>
      </c>
      <c r="G415" t="s">
        <v>59</v>
      </c>
      <c r="H415" s="24">
        <v>43345</v>
      </c>
      <c r="I415">
        <v>221465</v>
      </c>
      <c r="J415">
        <v>0.34</v>
      </c>
      <c r="K415">
        <v>296763</v>
      </c>
      <c r="L415" t="s">
        <v>66</v>
      </c>
      <c r="M415" t="s">
        <v>138</v>
      </c>
      <c r="N415" s="25"/>
      <c r="O415">
        <v>0</v>
      </c>
    </row>
    <row r="416" spans="1:15">
      <c r="A416" t="s">
        <v>535</v>
      </c>
      <c r="B416" t="s">
        <v>122</v>
      </c>
      <c r="C416" t="s">
        <v>98</v>
      </c>
      <c r="D416" t="s">
        <v>57</v>
      </c>
      <c r="E416" t="s">
        <v>58</v>
      </c>
      <c r="F416">
        <v>50</v>
      </c>
      <c r="G416" t="s">
        <v>72</v>
      </c>
      <c r="H416" s="24">
        <v>41404</v>
      </c>
      <c r="I416">
        <v>79388</v>
      </c>
      <c r="J416">
        <v>0</v>
      </c>
      <c r="K416">
        <v>79388</v>
      </c>
      <c r="L416" t="s">
        <v>60</v>
      </c>
      <c r="M416" t="s">
        <v>91</v>
      </c>
      <c r="N416" s="25">
        <v>43681</v>
      </c>
      <c r="O416">
        <v>1</v>
      </c>
    </row>
    <row r="417" spans="1:15">
      <c r="A417" t="s">
        <v>536</v>
      </c>
      <c r="B417" t="s">
        <v>266</v>
      </c>
      <c r="C417" t="s">
        <v>56</v>
      </c>
      <c r="D417" t="s">
        <v>64</v>
      </c>
      <c r="E417" t="s">
        <v>58</v>
      </c>
      <c r="F417">
        <v>28</v>
      </c>
      <c r="G417" t="s">
        <v>76</v>
      </c>
      <c r="H417" s="24">
        <v>43122</v>
      </c>
      <c r="I417">
        <v>68176</v>
      </c>
      <c r="J417">
        <v>0</v>
      </c>
      <c r="K417">
        <v>68176</v>
      </c>
      <c r="L417" t="s">
        <v>60</v>
      </c>
      <c r="M417" t="s">
        <v>61</v>
      </c>
      <c r="N417" s="25"/>
      <c r="O417">
        <v>0</v>
      </c>
    </row>
    <row r="418" spans="1:15">
      <c r="A418" t="s">
        <v>537</v>
      </c>
      <c r="B418" t="s">
        <v>55</v>
      </c>
      <c r="C418" t="s">
        <v>70</v>
      </c>
      <c r="D418" t="s">
        <v>57</v>
      </c>
      <c r="E418" t="s">
        <v>58</v>
      </c>
      <c r="F418">
        <v>39</v>
      </c>
      <c r="G418" t="s">
        <v>95</v>
      </c>
      <c r="H418" s="24">
        <v>43756</v>
      </c>
      <c r="I418">
        <v>122829</v>
      </c>
      <c r="J418">
        <v>0.11</v>
      </c>
      <c r="K418">
        <v>136340</v>
      </c>
      <c r="L418" t="s">
        <v>60</v>
      </c>
      <c r="M418" t="s">
        <v>73</v>
      </c>
      <c r="N418" s="25"/>
      <c r="O418">
        <v>0</v>
      </c>
    </row>
    <row r="419" spans="1:15">
      <c r="A419" t="s">
        <v>538</v>
      </c>
      <c r="B419" t="s">
        <v>55</v>
      </c>
      <c r="C419" t="s">
        <v>105</v>
      </c>
      <c r="D419" t="s">
        <v>71</v>
      </c>
      <c r="E419" t="s">
        <v>58</v>
      </c>
      <c r="F419">
        <v>31</v>
      </c>
      <c r="G419" t="s">
        <v>76</v>
      </c>
      <c r="H419" s="24">
        <v>43695</v>
      </c>
      <c r="I419">
        <v>126353</v>
      </c>
      <c r="J419">
        <v>0.12</v>
      </c>
      <c r="K419">
        <v>141515</v>
      </c>
      <c r="L419" t="s">
        <v>66</v>
      </c>
      <c r="M419" t="s">
        <v>101</v>
      </c>
      <c r="N419" s="25"/>
      <c r="O419">
        <v>0</v>
      </c>
    </row>
    <row r="420" spans="1:15">
      <c r="A420" t="s">
        <v>539</v>
      </c>
      <c r="B420" t="s">
        <v>69</v>
      </c>
      <c r="C420" t="s">
        <v>90</v>
      </c>
      <c r="D420" t="s">
        <v>71</v>
      </c>
      <c r="E420" t="s">
        <v>58</v>
      </c>
      <c r="F420">
        <v>55</v>
      </c>
      <c r="G420" t="s">
        <v>59</v>
      </c>
      <c r="H420" s="24">
        <v>40468</v>
      </c>
      <c r="I420">
        <v>188727</v>
      </c>
      <c r="J420">
        <v>0.23</v>
      </c>
      <c r="K420">
        <v>232134</v>
      </c>
      <c r="L420" t="s">
        <v>66</v>
      </c>
      <c r="M420" t="s">
        <v>138</v>
      </c>
      <c r="N420" s="25"/>
      <c r="O420">
        <v>0</v>
      </c>
    </row>
    <row r="421" spans="1:15">
      <c r="A421" t="s">
        <v>540</v>
      </c>
      <c r="B421" t="s">
        <v>78</v>
      </c>
      <c r="C421" t="s">
        <v>82</v>
      </c>
      <c r="D421" t="s">
        <v>57</v>
      </c>
      <c r="E421" t="s">
        <v>65</v>
      </c>
      <c r="F421">
        <v>52</v>
      </c>
      <c r="G421" t="s">
        <v>72</v>
      </c>
      <c r="H421" s="24">
        <v>34383</v>
      </c>
      <c r="I421">
        <v>99624</v>
      </c>
      <c r="J421">
        <v>0</v>
      </c>
      <c r="K421">
        <v>99624</v>
      </c>
      <c r="L421" t="s">
        <v>60</v>
      </c>
      <c r="M421" t="s">
        <v>61</v>
      </c>
      <c r="N421" s="25"/>
      <c r="O421">
        <v>0</v>
      </c>
    </row>
    <row r="422" spans="1:15">
      <c r="A422" t="s">
        <v>541</v>
      </c>
      <c r="B422" t="s">
        <v>85</v>
      </c>
      <c r="C422" t="s">
        <v>82</v>
      </c>
      <c r="D422" t="s">
        <v>71</v>
      </c>
      <c r="E422" t="s">
        <v>58</v>
      </c>
      <c r="F422">
        <v>55</v>
      </c>
      <c r="G422" t="s">
        <v>59</v>
      </c>
      <c r="H422" s="24">
        <v>41202</v>
      </c>
      <c r="I422">
        <v>108686</v>
      </c>
      <c r="J422">
        <v>0.06</v>
      </c>
      <c r="K422">
        <v>115207</v>
      </c>
      <c r="L422" t="s">
        <v>60</v>
      </c>
      <c r="M422" t="s">
        <v>110</v>
      </c>
      <c r="N422" s="25"/>
      <c r="O422">
        <v>0</v>
      </c>
    </row>
    <row r="423" spans="1:15">
      <c r="A423" t="s">
        <v>542</v>
      </c>
      <c r="B423" t="s">
        <v>87</v>
      </c>
      <c r="C423" t="s">
        <v>90</v>
      </c>
      <c r="D423" t="s">
        <v>83</v>
      </c>
      <c r="E423" t="s">
        <v>58</v>
      </c>
      <c r="F423">
        <v>56</v>
      </c>
      <c r="G423" t="s">
        <v>59</v>
      </c>
      <c r="H423" s="24">
        <v>34802</v>
      </c>
      <c r="I423">
        <v>50857</v>
      </c>
      <c r="J423">
        <v>0</v>
      </c>
      <c r="K423">
        <v>50857</v>
      </c>
      <c r="L423" t="s">
        <v>113</v>
      </c>
      <c r="M423" t="s">
        <v>114</v>
      </c>
      <c r="N423" s="25"/>
      <c r="O423">
        <v>0</v>
      </c>
    </row>
    <row r="424" spans="1:15">
      <c r="A424" t="s">
        <v>543</v>
      </c>
      <c r="B424" t="s">
        <v>164</v>
      </c>
      <c r="C424" t="s">
        <v>98</v>
      </c>
      <c r="D424" t="s">
        <v>64</v>
      </c>
      <c r="E424" t="s">
        <v>65</v>
      </c>
      <c r="F424">
        <v>47</v>
      </c>
      <c r="G424" t="s">
        <v>72</v>
      </c>
      <c r="H424" s="24">
        <v>36893</v>
      </c>
      <c r="I424">
        <v>120628</v>
      </c>
      <c r="J424">
        <v>0</v>
      </c>
      <c r="K424">
        <v>120628</v>
      </c>
      <c r="L424" t="s">
        <v>60</v>
      </c>
      <c r="M424" t="s">
        <v>73</v>
      </c>
      <c r="N424" s="25"/>
      <c r="O424">
        <v>0</v>
      </c>
    </row>
    <row r="425" spans="1:15">
      <c r="A425" t="s">
        <v>544</v>
      </c>
      <c r="B425" t="s">
        <v>69</v>
      </c>
      <c r="C425" t="s">
        <v>82</v>
      </c>
      <c r="D425" t="s">
        <v>71</v>
      </c>
      <c r="E425" t="s">
        <v>58</v>
      </c>
      <c r="F425">
        <v>63</v>
      </c>
      <c r="G425" t="s">
        <v>59</v>
      </c>
      <c r="H425" s="24">
        <v>43996</v>
      </c>
      <c r="I425">
        <v>181216</v>
      </c>
      <c r="J425">
        <v>0.27</v>
      </c>
      <c r="K425">
        <v>230144</v>
      </c>
      <c r="L425" t="s">
        <v>60</v>
      </c>
      <c r="M425" t="s">
        <v>110</v>
      </c>
      <c r="N425" s="25"/>
      <c r="O425">
        <v>0</v>
      </c>
    </row>
    <row r="426" spans="1:15">
      <c r="A426" t="s">
        <v>545</v>
      </c>
      <c r="B426" t="s">
        <v>87</v>
      </c>
      <c r="C426" t="s">
        <v>70</v>
      </c>
      <c r="D426" t="s">
        <v>83</v>
      </c>
      <c r="E426" t="s">
        <v>58</v>
      </c>
      <c r="F426">
        <v>63</v>
      </c>
      <c r="G426" t="s">
        <v>59</v>
      </c>
      <c r="H426" s="24">
        <v>40984</v>
      </c>
      <c r="I426">
        <v>46081</v>
      </c>
      <c r="J426">
        <v>0</v>
      </c>
      <c r="K426">
        <v>46081</v>
      </c>
      <c r="L426" t="s">
        <v>60</v>
      </c>
      <c r="M426" t="s">
        <v>73</v>
      </c>
      <c r="N426" s="25"/>
      <c r="O426">
        <v>0</v>
      </c>
    </row>
    <row r="427" spans="1:15">
      <c r="A427" t="s">
        <v>546</v>
      </c>
      <c r="B427" t="s">
        <v>55</v>
      </c>
      <c r="C427" t="s">
        <v>90</v>
      </c>
      <c r="D427" t="s">
        <v>83</v>
      </c>
      <c r="E427" t="s">
        <v>58</v>
      </c>
      <c r="F427">
        <v>55</v>
      </c>
      <c r="G427" t="s">
        <v>59</v>
      </c>
      <c r="H427" s="24">
        <v>38135</v>
      </c>
      <c r="I427">
        <v>159885</v>
      </c>
      <c r="J427">
        <v>0.12</v>
      </c>
      <c r="K427">
        <v>179071</v>
      </c>
      <c r="L427" t="s">
        <v>60</v>
      </c>
      <c r="M427" t="s">
        <v>110</v>
      </c>
      <c r="N427" s="25"/>
      <c r="O427">
        <v>0</v>
      </c>
    </row>
    <row r="428" spans="1:15">
      <c r="A428" t="s">
        <v>547</v>
      </c>
      <c r="B428" t="s">
        <v>69</v>
      </c>
      <c r="C428" t="s">
        <v>82</v>
      </c>
      <c r="D428" t="s">
        <v>64</v>
      </c>
      <c r="E428" t="s">
        <v>58</v>
      </c>
      <c r="F428">
        <v>55</v>
      </c>
      <c r="G428" t="s">
        <v>59</v>
      </c>
      <c r="H428" s="24">
        <v>35001</v>
      </c>
      <c r="I428">
        <v>153271</v>
      </c>
      <c r="J428">
        <v>0.15</v>
      </c>
      <c r="K428">
        <v>176262</v>
      </c>
      <c r="L428" t="s">
        <v>60</v>
      </c>
      <c r="M428" t="s">
        <v>91</v>
      </c>
      <c r="N428" s="25"/>
      <c r="O428">
        <v>0</v>
      </c>
    </row>
    <row r="429" spans="1:15">
      <c r="A429" t="s">
        <v>548</v>
      </c>
      <c r="B429" t="s">
        <v>85</v>
      </c>
      <c r="C429" t="s">
        <v>94</v>
      </c>
      <c r="D429" t="s">
        <v>64</v>
      </c>
      <c r="E429" t="s">
        <v>65</v>
      </c>
      <c r="F429">
        <v>42</v>
      </c>
      <c r="G429" t="s">
        <v>95</v>
      </c>
      <c r="H429" s="24">
        <v>40159</v>
      </c>
      <c r="I429">
        <v>114242</v>
      </c>
      <c r="J429">
        <v>0.08</v>
      </c>
      <c r="K429">
        <v>123381</v>
      </c>
      <c r="L429" t="s">
        <v>60</v>
      </c>
      <c r="M429" t="s">
        <v>79</v>
      </c>
      <c r="N429" s="25"/>
      <c r="O429">
        <v>0</v>
      </c>
    </row>
    <row r="430" spans="1:15">
      <c r="A430" t="s">
        <v>549</v>
      </c>
      <c r="B430" t="s">
        <v>129</v>
      </c>
      <c r="C430" t="s">
        <v>56</v>
      </c>
      <c r="D430" t="s">
        <v>71</v>
      </c>
      <c r="E430" t="s">
        <v>58</v>
      </c>
      <c r="F430">
        <v>39</v>
      </c>
      <c r="G430" t="s">
        <v>95</v>
      </c>
      <c r="H430" s="24">
        <v>44153</v>
      </c>
      <c r="I430">
        <v>48415</v>
      </c>
      <c r="J430">
        <v>0</v>
      </c>
      <c r="K430">
        <v>48415</v>
      </c>
      <c r="L430" t="s">
        <v>66</v>
      </c>
      <c r="M430" t="s">
        <v>101</v>
      </c>
      <c r="N430" s="25"/>
      <c r="O430">
        <v>0</v>
      </c>
    </row>
    <row r="431" spans="1:15">
      <c r="A431" t="s">
        <v>550</v>
      </c>
      <c r="B431" t="s">
        <v>216</v>
      </c>
      <c r="C431" t="s">
        <v>98</v>
      </c>
      <c r="D431" t="s">
        <v>64</v>
      </c>
      <c r="E431" t="s">
        <v>65</v>
      </c>
      <c r="F431">
        <v>35</v>
      </c>
      <c r="G431" t="s">
        <v>95</v>
      </c>
      <c r="H431" s="24">
        <v>42878</v>
      </c>
      <c r="I431">
        <v>65566</v>
      </c>
      <c r="J431">
        <v>0</v>
      </c>
      <c r="K431">
        <v>65566</v>
      </c>
      <c r="L431" t="s">
        <v>60</v>
      </c>
      <c r="M431" t="s">
        <v>61</v>
      </c>
      <c r="N431" s="25"/>
      <c r="O431">
        <v>0</v>
      </c>
    </row>
    <row r="432" spans="1:15">
      <c r="A432" t="s">
        <v>551</v>
      </c>
      <c r="B432" t="s">
        <v>55</v>
      </c>
      <c r="C432" t="s">
        <v>105</v>
      </c>
      <c r="D432" t="s">
        <v>57</v>
      </c>
      <c r="E432" t="s">
        <v>65</v>
      </c>
      <c r="F432">
        <v>45</v>
      </c>
      <c r="G432" t="s">
        <v>72</v>
      </c>
      <c r="H432" s="24">
        <v>37014</v>
      </c>
      <c r="I432">
        <v>147752</v>
      </c>
      <c r="J432">
        <v>0.12</v>
      </c>
      <c r="K432">
        <v>165482</v>
      </c>
      <c r="L432" t="s">
        <v>66</v>
      </c>
      <c r="M432" t="s">
        <v>101</v>
      </c>
      <c r="N432" s="25">
        <v>40903</v>
      </c>
      <c r="O432">
        <v>1</v>
      </c>
    </row>
    <row r="433" spans="1:15">
      <c r="A433" t="s">
        <v>552</v>
      </c>
      <c r="B433" t="s">
        <v>55</v>
      </c>
      <c r="C433" t="s">
        <v>105</v>
      </c>
      <c r="D433" t="s">
        <v>64</v>
      </c>
      <c r="E433" t="s">
        <v>58</v>
      </c>
      <c r="F433">
        <v>25</v>
      </c>
      <c r="G433" t="s">
        <v>76</v>
      </c>
      <c r="H433" s="24">
        <v>44453</v>
      </c>
      <c r="I433">
        <v>136810</v>
      </c>
      <c r="J433">
        <v>0.14</v>
      </c>
      <c r="K433">
        <v>155963</v>
      </c>
      <c r="L433" t="s">
        <v>66</v>
      </c>
      <c r="M433" t="s">
        <v>67</v>
      </c>
      <c r="N433" s="25"/>
      <c r="O433">
        <v>0</v>
      </c>
    </row>
    <row r="434" spans="1:15">
      <c r="A434" t="s">
        <v>553</v>
      </c>
      <c r="B434" t="s">
        <v>87</v>
      </c>
      <c r="C434" t="s">
        <v>82</v>
      </c>
      <c r="D434" t="s">
        <v>83</v>
      </c>
      <c r="E434" t="s">
        <v>65</v>
      </c>
      <c r="F434">
        <v>47</v>
      </c>
      <c r="G434" t="s">
        <v>72</v>
      </c>
      <c r="H434" s="24">
        <v>41333</v>
      </c>
      <c r="I434">
        <v>54635</v>
      </c>
      <c r="J434">
        <v>0</v>
      </c>
      <c r="K434">
        <v>54635</v>
      </c>
      <c r="L434" t="s">
        <v>60</v>
      </c>
      <c r="M434" t="s">
        <v>73</v>
      </c>
      <c r="N434" s="25"/>
      <c r="O434">
        <v>0</v>
      </c>
    </row>
    <row r="435" spans="1:15">
      <c r="A435" t="s">
        <v>554</v>
      </c>
      <c r="B435" t="s">
        <v>178</v>
      </c>
      <c r="C435" t="s">
        <v>56</v>
      </c>
      <c r="D435" t="s">
        <v>83</v>
      </c>
      <c r="E435" t="s">
        <v>58</v>
      </c>
      <c r="F435">
        <v>42</v>
      </c>
      <c r="G435" t="s">
        <v>95</v>
      </c>
      <c r="H435" s="24">
        <v>43866</v>
      </c>
      <c r="I435">
        <v>96636</v>
      </c>
      <c r="J435">
        <v>0</v>
      </c>
      <c r="K435">
        <v>96636</v>
      </c>
      <c r="L435" t="s">
        <v>60</v>
      </c>
      <c r="M435" t="s">
        <v>110</v>
      </c>
      <c r="N435" s="25"/>
      <c r="O435">
        <v>0</v>
      </c>
    </row>
    <row r="436" spans="1:15">
      <c r="A436" t="s">
        <v>555</v>
      </c>
      <c r="B436" t="s">
        <v>228</v>
      </c>
      <c r="C436" t="s">
        <v>56</v>
      </c>
      <c r="D436" t="s">
        <v>64</v>
      </c>
      <c r="E436" t="s">
        <v>58</v>
      </c>
      <c r="F436">
        <v>35</v>
      </c>
      <c r="G436" t="s">
        <v>95</v>
      </c>
      <c r="H436" s="24">
        <v>41941</v>
      </c>
      <c r="I436">
        <v>91592</v>
      </c>
      <c r="J436">
        <v>0</v>
      </c>
      <c r="K436">
        <v>91592</v>
      </c>
      <c r="L436" t="s">
        <v>60</v>
      </c>
      <c r="M436" t="s">
        <v>73</v>
      </c>
      <c r="N436" s="25"/>
      <c r="O436">
        <v>0</v>
      </c>
    </row>
    <row r="437" spans="1:15">
      <c r="A437" t="s">
        <v>556</v>
      </c>
      <c r="B437" t="s">
        <v>166</v>
      </c>
      <c r="C437" t="s">
        <v>94</v>
      </c>
      <c r="D437" t="s">
        <v>57</v>
      </c>
      <c r="E437" t="s">
        <v>58</v>
      </c>
      <c r="F437">
        <v>45</v>
      </c>
      <c r="G437" t="s">
        <v>72</v>
      </c>
      <c r="H437" s="24">
        <v>36755</v>
      </c>
      <c r="I437">
        <v>55563</v>
      </c>
      <c r="J437">
        <v>0</v>
      </c>
      <c r="K437">
        <v>55563</v>
      </c>
      <c r="L437" t="s">
        <v>66</v>
      </c>
      <c r="M437" t="s">
        <v>138</v>
      </c>
      <c r="N437" s="25"/>
      <c r="O437">
        <v>0</v>
      </c>
    </row>
    <row r="438" spans="1:15">
      <c r="A438" t="s">
        <v>557</v>
      </c>
      <c r="B438" t="s">
        <v>69</v>
      </c>
      <c r="C438" t="s">
        <v>56</v>
      </c>
      <c r="D438" t="s">
        <v>57</v>
      </c>
      <c r="E438" t="s">
        <v>58</v>
      </c>
      <c r="F438">
        <v>52</v>
      </c>
      <c r="G438" t="s">
        <v>72</v>
      </c>
      <c r="H438" s="24">
        <v>35109</v>
      </c>
      <c r="I438">
        <v>159724</v>
      </c>
      <c r="J438">
        <v>0.23</v>
      </c>
      <c r="K438">
        <v>196461</v>
      </c>
      <c r="L438" t="s">
        <v>66</v>
      </c>
      <c r="M438" t="s">
        <v>126</v>
      </c>
      <c r="N438" s="25"/>
      <c r="O438">
        <v>0</v>
      </c>
    </row>
    <row r="439" spans="1:15">
      <c r="A439" t="s">
        <v>558</v>
      </c>
      <c r="B439" t="s">
        <v>104</v>
      </c>
      <c r="C439" t="s">
        <v>105</v>
      </c>
      <c r="D439" t="s">
        <v>83</v>
      </c>
      <c r="E439" t="s">
        <v>65</v>
      </c>
      <c r="F439">
        <v>57</v>
      </c>
      <c r="G439" t="s">
        <v>59</v>
      </c>
      <c r="H439" s="24">
        <v>42951</v>
      </c>
      <c r="I439">
        <v>183190</v>
      </c>
      <c r="J439">
        <v>0.36</v>
      </c>
      <c r="K439">
        <v>249138</v>
      </c>
      <c r="L439" t="s">
        <v>60</v>
      </c>
      <c r="M439" t="s">
        <v>73</v>
      </c>
      <c r="N439" s="25"/>
      <c r="O439">
        <v>0</v>
      </c>
    </row>
    <row r="440" spans="1:15">
      <c r="A440" t="s">
        <v>559</v>
      </c>
      <c r="B440" t="s">
        <v>87</v>
      </c>
      <c r="C440" t="s">
        <v>90</v>
      </c>
      <c r="D440" t="s">
        <v>71</v>
      </c>
      <c r="E440" t="s">
        <v>58</v>
      </c>
      <c r="F440">
        <v>56</v>
      </c>
      <c r="G440" t="s">
        <v>59</v>
      </c>
      <c r="H440" s="24">
        <v>43824</v>
      </c>
      <c r="I440">
        <v>54829</v>
      </c>
      <c r="J440">
        <v>0</v>
      </c>
      <c r="K440">
        <v>54829</v>
      </c>
      <c r="L440" t="s">
        <v>60</v>
      </c>
      <c r="M440" t="s">
        <v>79</v>
      </c>
      <c r="N440" s="25"/>
      <c r="O440">
        <v>0</v>
      </c>
    </row>
    <row r="441" spans="1:15">
      <c r="A441" t="s">
        <v>560</v>
      </c>
      <c r="B441" t="s">
        <v>122</v>
      </c>
      <c r="C441" t="s">
        <v>98</v>
      </c>
      <c r="D441" t="s">
        <v>83</v>
      </c>
      <c r="E441" t="s">
        <v>65</v>
      </c>
      <c r="F441">
        <v>46</v>
      </c>
      <c r="G441" t="s">
        <v>72</v>
      </c>
      <c r="H441" s="24">
        <v>38464</v>
      </c>
      <c r="I441">
        <v>96639</v>
      </c>
      <c r="J441">
        <v>0</v>
      </c>
      <c r="K441">
        <v>96639</v>
      </c>
      <c r="L441" t="s">
        <v>113</v>
      </c>
      <c r="M441" t="s">
        <v>117</v>
      </c>
      <c r="N441" s="25"/>
      <c r="O441">
        <v>0</v>
      </c>
    </row>
    <row r="442" spans="1:15">
      <c r="A442" t="s">
        <v>561</v>
      </c>
      <c r="B442" t="s">
        <v>85</v>
      </c>
      <c r="C442" t="s">
        <v>105</v>
      </c>
      <c r="D442" t="s">
        <v>71</v>
      </c>
      <c r="E442" t="s">
        <v>58</v>
      </c>
      <c r="F442">
        <v>43</v>
      </c>
      <c r="G442" t="s">
        <v>95</v>
      </c>
      <c r="H442" s="24">
        <v>38879</v>
      </c>
      <c r="I442">
        <v>117278</v>
      </c>
      <c r="J442">
        <v>0.09</v>
      </c>
      <c r="K442">
        <v>127833</v>
      </c>
      <c r="L442" t="s">
        <v>60</v>
      </c>
      <c r="M442" t="s">
        <v>88</v>
      </c>
      <c r="N442" s="25"/>
      <c r="O442">
        <v>0</v>
      </c>
    </row>
    <row r="443" spans="1:15">
      <c r="A443" t="s">
        <v>562</v>
      </c>
      <c r="B443" t="s">
        <v>75</v>
      </c>
      <c r="C443" t="s">
        <v>56</v>
      </c>
      <c r="D443" t="s">
        <v>71</v>
      </c>
      <c r="E443" t="s">
        <v>65</v>
      </c>
      <c r="F443">
        <v>53</v>
      </c>
      <c r="G443" t="s">
        <v>72</v>
      </c>
      <c r="H443" s="24">
        <v>39487</v>
      </c>
      <c r="I443">
        <v>84193</v>
      </c>
      <c r="J443">
        <v>0.09</v>
      </c>
      <c r="K443">
        <v>91770</v>
      </c>
      <c r="L443" t="s">
        <v>66</v>
      </c>
      <c r="M443" t="s">
        <v>101</v>
      </c>
      <c r="N443" s="25"/>
      <c r="O443">
        <v>0</v>
      </c>
    </row>
    <row r="444" spans="1:15">
      <c r="A444" t="s">
        <v>563</v>
      </c>
      <c r="B444" t="s">
        <v>326</v>
      </c>
      <c r="C444" t="s">
        <v>56</v>
      </c>
      <c r="D444" t="s">
        <v>64</v>
      </c>
      <c r="E444" t="s">
        <v>58</v>
      </c>
      <c r="F444">
        <v>47</v>
      </c>
      <c r="G444" t="s">
        <v>72</v>
      </c>
      <c r="H444" s="24">
        <v>43309</v>
      </c>
      <c r="I444">
        <v>87806</v>
      </c>
      <c r="J444">
        <v>0</v>
      </c>
      <c r="K444">
        <v>87806</v>
      </c>
      <c r="L444" t="s">
        <v>60</v>
      </c>
      <c r="M444" t="s">
        <v>61</v>
      </c>
      <c r="N444" s="25"/>
      <c r="O444">
        <v>0</v>
      </c>
    </row>
    <row r="445" spans="1:15">
      <c r="A445" t="s">
        <v>564</v>
      </c>
      <c r="B445" t="s">
        <v>187</v>
      </c>
      <c r="C445" t="s">
        <v>98</v>
      </c>
      <c r="D445" t="s">
        <v>57</v>
      </c>
      <c r="E445" t="s">
        <v>65</v>
      </c>
      <c r="F445">
        <v>62</v>
      </c>
      <c r="G445" t="s">
        <v>59</v>
      </c>
      <c r="H445" s="24">
        <v>40820</v>
      </c>
      <c r="I445">
        <v>63959</v>
      </c>
      <c r="J445">
        <v>0</v>
      </c>
      <c r="K445">
        <v>63959</v>
      </c>
      <c r="L445" t="s">
        <v>60</v>
      </c>
      <c r="M445" t="s">
        <v>61</v>
      </c>
      <c r="N445" s="25"/>
      <c r="O445">
        <v>0</v>
      </c>
    </row>
    <row r="446" spans="1:15">
      <c r="A446" t="s">
        <v>565</v>
      </c>
      <c r="B446" t="s">
        <v>104</v>
      </c>
      <c r="C446" t="s">
        <v>56</v>
      </c>
      <c r="D446" t="s">
        <v>57</v>
      </c>
      <c r="E446" t="s">
        <v>65</v>
      </c>
      <c r="F446">
        <v>35</v>
      </c>
      <c r="G446" t="s">
        <v>95</v>
      </c>
      <c r="H446" s="24">
        <v>42166</v>
      </c>
      <c r="I446">
        <v>234723</v>
      </c>
      <c r="J446">
        <v>0.36</v>
      </c>
      <c r="K446">
        <v>319223</v>
      </c>
      <c r="L446" t="s">
        <v>66</v>
      </c>
      <c r="M446" t="s">
        <v>101</v>
      </c>
      <c r="N446" s="25"/>
      <c r="O446">
        <v>0</v>
      </c>
    </row>
    <row r="447" spans="1:15">
      <c r="A447" t="s">
        <v>566</v>
      </c>
      <c r="B447" t="s">
        <v>87</v>
      </c>
      <c r="C447" t="s">
        <v>90</v>
      </c>
      <c r="D447" t="s">
        <v>83</v>
      </c>
      <c r="E447" t="s">
        <v>58</v>
      </c>
      <c r="F447">
        <v>27</v>
      </c>
      <c r="G447" t="s">
        <v>76</v>
      </c>
      <c r="H447" s="24">
        <v>43701</v>
      </c>
      <c r="I447">
        <v>50809</v>
      </c>
      <c r="J447">
        <v>0</v>
      </c>
      <c r="K447">
        <v>50809</v>
      </c>
      <c r="L447" t="s">
        <v>66</v>
      </c>
      <c r="M447" t="s">
        <v>67</v>
      </c>
      <c r="N447" s="25"/>
      <c r="O447">
        <v>0</v>
      </c>
    </row>
    <row r="448" spans="1:15">
      <c r="A448" t="s">
        <v>567</v>
      </c>
      <c r="B448" t="s">
        <v>78</v>
      </c>
      <c r="C448" t="s">
        <v>70</v>
      </c>
      <c r="D448" t="s">
        <v>64</v>
      </c>
      <c r="E448" t="s">
        <v>65</v>
      </c>
      <c r="F448">
        <v>55</v>
      </c>
      <c r="G448" t="s">
        <v>59</v>
      </c>
      <c r="H448" s="24">
        <v>37456</v>
      </c>
      <c r="I448">
        <v>77396</v>
      </c>
      <c r="J448">
        <v>0</v>
      </c>
      <c r="K448">
        <v>77396</v>
      </c>
      <c r="L448" t="s">
        <v>60</v>
      </c>
      <c r="M448" t="s">
        <v>88</v>
      </c>
      <c r="N448" s="25"/>
      <c r="O448">
        <v>0</v>
      </c>
    </row>
    <row r="449" spans="1:15">
      <c r="A449" t="s">
        <v>568</v>
      </c>
      <c r="B449" t="s">
        <v>78</v>
      </c>
      <c r="C449" t="s">
        <v>70</v>
      </c>
      <c r="D449" t="s">
        <v>71</v>
      </c>
      <c r="E449" t="s">
        <v>58</v>
      </c>
      <c r="F449">
        <v>63</v>
      </c>
      <c r="G449" t="s">
        <v>59</v>
      </c>
      <c r="H449" s="24">
        <v>36525</v>
      </c>
      <c r="I449">
        <v>89523</v>
      </c>
      <c r="J449">
        <v>0</v>
      </c>
      <c r="K449">
        <v>89523</v>
      </c>
      <c r="L449" t="s">
        <v>60</v>
      </c>
      <c r="M449" t="s">
        <v>79</v>
      </c>
      <c r="N449" s="25"/>
      <c r="O449">
        <v>0</v>
      </c>
    </row>
    <row r="450" spans="1:15">
      <c r="A450" t="s">
        <v>569</v>
      </c>
      <c r="B450" t="s">
        <v>178</v>
      </c>
      <c r="C450" t="s">
        <v>56</v>
      </c>
      <c r="D450" t="s">
        <v>83</v>
      </c>
      <c r="E450" t="s">
        <v>58</v>
      </c>
      <c r="F450">
        <v>53</v>
      </c>
      <c r="G450" t="s">
        <v>72</v>
      </c>
      <c r="H450" s="24">
        <v>40744</v>
      </c>
      <c r="I450">
        <v>86173</v>
      </c>
      <c r="J450">
        <v>0</v>
      </c>
      <c r="K450">
        <v>86173</v>
      </c>
      <c r="L450" t="s">
        <v>66</v>
      </c>
      <c r="M450" t="s">
        <v>67</v>
      </c>
      <c r="N450" s="25"/>
      <c r="O450">
        <v>0</v>
      </c>
    </row>
    <row r="451" spans="1:15">
      <c r="A451" t="s">
        <v>570</v>
      </c>
      <c r="B451" t="s">
        <v>104</v>
      </c>
      <c r="C451" t="s">
        <v>82</v>
      </c>
      <c r="D451" t="s">
        <v>64</v>
      </c>
      <c r="E451" t="s">
        <v>58</v>
      </c>
      <c r="F451">
        <v>54</v>
      </c>
      <c r="G451" t="s">
        <v>72</v>
      </c>
      <c r="H451" s="24">
        <v>36757</v>
      </c>
      <c r="I451">
        <v>222224</v>
      </c>
      <c r="J451">
        <v>0.38</v>
      </c>
      <c r="K451">
        <v>306669</v>
      </c>
      <c r="L451" t="s">
        <v>60</v>
      </c>
      <c r="M451" t="s">
        <v>110</v>
      </c>
      <c r="N451" s="25"/>
      <c r="O451">
        <v>0</v>
      </c>
    </row>
    <row r="452" spans="1:15">
      <c r="A452" t="s">
        <v>571</v>
      </c>
      <c r="B452" t="s">
        <v>55</v>
      </c>
      <c r="C452" t="s">
        <v>70</v>
      </c>
      <c r="D452" t="s">
        <v>57</v>
      </c>
      <c r="E452" t="s">
        <v>65</v>
      </c>
      <c r="F452">
        <v>43</v>
      </c>
      <c r="G452" t="s">
        <v>95</v>
      </c>
      <c r="H452" s="24">
        <v>44303</v>
      </c>
      <c r="I452">
        <v>146140</v>
      </c>
      <c r="J452">
        <v>0.15</v>
      </c>
      <c r="K452">
        <v>168061</v>
      </c>
      <c r="L452" t="s">
        <v>60</v>
      </c>
      <c r="M452" t="s">
        <v>61</v>
      </c>
      <c r="N452" s="25"/>
      <c r="O452">
        <v>0</v>
      </c>
    </row>
    <row r="453" spans="1:15">
      <c r="A453" t="s">
        <v>572</v>
      </c>
      <c r="B453" t="s">
        <v>125</v>
      </c>
      <c r="C453" t="s">
        <v>98</v>
      </c>
      <c r="D453" t="s">
        <v>71</v>
      </c>
      <c r="E453" t="s">
        <v>58</v>
      </c>
      <c r="F453">
        <v>64</v>
      </c>
      <c r="G453" t="s">
        <v>59</v>
      </c>
      <c r="H453" s="24">
        <v>34505</v>
      </c>
      <c r="I453">
        <v>109456</v>
      </c>
      <c r="J453">
        <v>0.1</v>
      </c>
      <c r="K453">
        <v>120402</v>
      </c>
      <c r="L453" t="s">
        <v>60</v>
      </c>
      <c r="M453" t="s">
        <v>73</v>
      </c>
      <c r="N453" s="25"/>
      <c r="O453">
        <v>0</v>
      </c>
    </row>
    <row r="454" spans="1:15">
      <c r="A454" t="s">
        <v>573</v>
      </c>
      <c r="B454" t="s">
        <v>69</v>
      </c>
      <c r="C454" t="s">
        <v>70</v>
      </c>
      <c r="D454" t="s">
        <v>57</v>
      </c>
      <c r="E454" t="s">
        <v>58</v>
      </c>
      <c r="F454">
        <v>65</v>
      </c>
      <c r="G454" t="s">
        <v>107</v>
      </c>
      <c r="H454" s="24">
        <v>39728</v>
      </c>
      <c r="I454">
        <v>170221</v>
      </c>
      <c r="J454">
        <v>0.15</v>
      </c>
      <c r="K454">
        <v>195754</v>
      </c>
      <c r="L454" t="s">
        <v>113</v>
      </c>
      <c r="M454" t="s">
        <v>114</v>
      </c>
      <c r="N454" s="25"/>
      <c r="O454">
        <v>0</v>
      </c>
    </row>
    <row r="455" spans="1:15">
      <c r="A455" t="s">
        <v>574</v>
      </c>
      <c r="B455" t="s">
        <v>75</v>
      </c>
      <c r="C455" t="s">
        <v>56</v>
      </c>
      <c r="D455" t="s">
        <v>57</v>
      </c>
      <c r="E455" t="s">
        <v>58</v>
      </c>
      <c r="F455">
        <v>42</v>
      </c>
      <c r="G455" t="s">
        <v>95</v>
      </c>
      <c r="H455" s="24">
        <v>38777</v>
      </c>
      <c r="I455">
        <v>97433</v>
      </c>
      <c r="J455">
        <v>0.05</v>
      </c>
      <c r="K455">
        <v>102305</v>
      </c>
      <c r="L455" t="s">
        <v>60</v>
      </c>
      <c r="M455" t="s">
        <v>61</v>
      </c>
      <c r="N455" s="25">
        <v>42224</v>
      </c>
      <c r="O455">
        <v>1</v>
      </c>
    </row>
    <row r="456" spans="1:15">
      <c r="A456" t="s">
        <v>575</v>
      </c>
      <c r="B456" t="s">
        <v>81</v>
      </c>
      <c r="C456" t="s">
        <v>82</v>
      </c>
      <c r="D456" t="s">
        <v>64</v>
      </c>
      <c r="E456" t="s">
        <v>65</v>
      </c>
      <c r="F456">
        <v>35</v>
      </c>
      <c r="G456" t="s">
        <v>95</v>
      </c>
      <c r="H456" s="24">
        <v>41516</v>
      </c>
      <c r="I456">
        <v>59646</v>
      </c>
      <c r="J456">
        <v>0</v>
      </c>
      <c r="K456">
        <v>59646</v>
      </c>
      <c r="L456" t="s">
        <v>66</v>
      </c>
      <c r="M456" t="s">
        <v>101</v>
      </c>
      <c r="N456" s="25"/>
      <c r="O456">
        <v>0</v>
      </c>
    </row>
    <row r="457" spans="1:15">
      <c r="A457" t="s">
        <v>576</v>
      </c>
      <c r="B457" t="s">
        <v>69</v>
      </c>
      <c r="C457" t="s">
        <v>98</v>
      </c>
      <c r="D457" t="s">
        <v>71</v>
      </c>
      <c r="E457" t="s">
        <v>65</v>
      </c>
      <c r="F457">
        <v>64</v>
      </c>
      <c r="G457" t="s">
        <v>59</v>
      </c>
      <c r="H457" s="24">
        <v>34940</v>
      </c>
      <c r="I457">
        <v>158787</v>
      </c>
      <c r="J457">
        <v>0.18</v>
      </c>
      <c r="K457">
        <v>187369</v>
      </c>
      <c r="L457" t="s">
        <v>66</v>
      </c>
      <c r="M457" t="s">
        <v>138</v>
      </c>
      <c r="N457" s="25"/>
      <c r="O457">
        <v>0</v>
      </c>
    </row>
    <row r="458" spans="1:15">
      <c r="A458" t="s">
        <v>577</v>
      </c>
      <c r="B458" t="s">
        <v>97</v>
      </c>
      <c r="C458" t="s">
        <v>98</v>
      </c>
      <c r="D458" t="s">
        <v>57</v>
      </c>
      <c r="E458" t="s">
        <v>65</v>
      </c>
      <c r="F458">
        <v>55</v>
      </c>
      <c r="G458" t="s">
        <v>59</v>
      </c>
      <c r="H458" s="24">
        <v>43219</v>
      </c>
      <c r="I458">
        <v>83378</v>
      </c>
      <c r="J458">
        <v>0</v>
      </c>
      <c r="K458">
        <v>83378</v>
      </c>
      <c r="L458" t="s">
        <v>66</v>
      </c>
      <c r="M458" t="s">
        <v>126</v>
      </c>
      <c r="N458" s="25"/>
      <c r="O458">
        <v>0</v>
      </c>
    </row>
    <row r="459" spans="1:15">
      <c r="A459" t="s">
        <v>578</v>
      </c>
      <c r="B459" t="s">
        <v>78</v>
      </c>
      <c r="C459" t="s">
        <v>105</v>
      </c>
      <c r="D459" t="s">
        <v>83</v>
      </c>
      <c r="E459" t="s">
        <v>58</v>
      </c>
      <c r="F459">
        <v>32</v>
      </c>
      <c r="G459" t="s">
        <v>76</v>
      </c>
      <c r="H459" s="24">
        <v>41590</v>
      </c>
      <c r="I459">
        <v>88895</v>
      </c>
      <c r="J459">
        <v>0</v>
      </c>
      <c r="K459">
        <v>88895</v>
      </c>
      <c r="L459" t="s">
        <v>60</v>
      </c>
      <c r="M459" t="s">
        <v>73</v>
      </c>
      <c r="N459" s="25"/>
      <c r="O459">
        <v>0</v>
      </c>
    </row>
    <row r="460" spans="1:15">
      <c r="A460" t="s">
        <v>579</v>
      </c>
      <c r="B460" t="s">
        <v>69</v>
      </c>
      <c r="C460" t="s">
        <v>105</v>
      </c>
      <c r="D460" t="s">
        <v>83</v>
      </c>
      <c r="E460" t="s">
        <v>65</v>
      </c>
      <c r="F460">
        <v>45</v>
      </c>
      <c r="G460" t="s">
        <v>72</v>
      </c>
      <c r="H460" s="24">
        <v>38332</v>
      </c>
      <c r="I460">
        <v>168846</v>
      </c>
      <c r="J460">
        <v>0.24</v>
      </c>
      <c r="K460">
        <v>209369</v>
      </c>
      <c r="L460" t="s">
        <v>66</v>
      </c>
      <c r="M460" t="s">
        <v>67</v>
      </c>
      <c r="N460" s="25"/>
      <c r="O460">
        <v>0</v>
      </c>
    </row>
    <row r="461" spans="1:15">
      <c r="A461" t="s">
        <v>580</v>
      </c>
      <c r="B461" t="s">
        <v>166</v>
      </c>
      <c r="C461" t="s">
        <v>94</v>
      </c>
      <c r="D461" t="s">
        <v>57</v>
      </c>
      <c r="E461" t="s">
        <v>65</v>
      </c>
      <c r="F461">
        <v>35</v>
      </c>
      <c r="G461" t="s">
        <v>95</v>
      </c>
      <c r="H461" s="24">
        <v>40596</v>
      </c>
      <c r="I461">
        <v>43336</v>
      </c>
      <c r="J461">
        <v>0</v>
      </c>
      <c r="K461">
        <v>43336</v>
      </c>
      <c r="L461" t="s">
        <v>60</v>
      </c>
      <c r="M461" t="s">
        <v>91</v>
      </c>
      <c r="N461" s="25">
        <v>44024</v>
      </c>
      <c r="O461">
        <v>1</v>
      </c>
    </row>
    <row r="462" spans="1:15">
      <c r="A462" t="s">
        <v>581</v>
      </c>
      <c r="B462" t="s">
        <v>55</v>
      </c>
      <c r="C462" t="s">
        <v>94</v>
      </c>
      <c r="D462" t="s">
        <v>83</v>
      </c>
      <c r="E462" t="s">
        <v>65</v>
      </c>
      <c r="F462">
        <v>38</v>
      </c>
      <c r="G462" t="s">
        <v>95</v>
      </c>
      <c r="H462" s="24">
        <v>40083</v>
      </c>
      <c r="I462">
        <v>127801</v>
      </c>
      <c r="J462">
        <v>0.15</v>
      </c>
      <c r="K462">
        <v>146971</v>
      </c>
      <c r="L462" t="s">
        <v>60</v>
      </c>
      <c r="M462" t="s">
        <v>79</v>
      </c>
      <c r="N462" s="25"/>
      <c r="O462">
        <v>0</v>
      </c>
    </row>
    <row r="463" spans="1:15">
      <c r="A463" t="s">
        <v>582</v>
      </c>
      <c r="B463" t="s">
        <v>326</v>
      </c>
      <c r="C463" t="s">
        <v>56</v>
      </c>
      <c r="D463" t="s">
        <v>83</v>
      </c>
      <c r="E463" t="s">
        <v>65</v>
      </c>
      <c r="F463">
        <v>54</v>
      </c>
      <c r="G463" t="s">
        <v>72</v>
      </c>
      <c r="H463" s="24">
        <v>36617</v>
      </c>
      <c r="I463">
        <v>76352</v>
      </c>
      <c r="J463">
        <v>0</v>
      </c>
      <c r="K463">
        <v>76352</v>
      </c>
      <c r="L463" t="s">
        <v>60</v>
      </c>
      <c r="M463" t="s">
        <v>91</v>
      </c>
      <c r="N463" s="25"/>
      <c r="O463">
        <v>0</v>
      </c>
    </row>
    <row r="464" spans="1:15">
      <c r="A464" t="s">
        <v>583</v>
      </c>
      <c r="B464" t="s">
        <v>104</v>
      </c>
      <c r="C464" t="s">
        <v>70</v>
      </c>
      <c r="D464" t="s">
        <v>83</v>
      </c>
      <c r="E464" t="s">
        <v>65</v>
      </c>
      <c r="F464">
        <v>28</v>
      </c>
      <c r="G464" t="s">
        <v>76</v>
      </c>
      <c r="H464" s="24">
        <v>43638</v>
      </c>
      <c r="I464">
        <v>250767</v>
      </c>
      <c r="J464">
        <v>0.38</v>
      </c>
      <c r="K464">
        <v>346058</v>
      </c>
      <c r="L464" t="s">
        <v>60</v>
      </c>
      <c r="M464" t="s">
        <v>61</v>
      </c>
      <c r="N464" s="25"/>
      <c r="O464">
        <v>0</v>
      </c>
    </row>
    <row r="465" spans="1:15">
      <c r="A465" t="s">
        <v>584</v>
      </c>
      <c r="B465" t="s">
        <v>104</v>
      </c>
      <c r="C465" t="s">
        <v>105</v>
      </c>
      <c r="D465" t="s">
        <v>83</v>
      </c>
      <c r="E465" t="s">
        <v>65</v>
      </c>
      <c r="F465">
        <v>26</v>
      </c>
      <c r="G465" t="s">
        <v>76</v>
      </c>
      <c r="H465" s="24">
        <v>44101</v>
      </c>
      <c r="I465">
        <v>223055</v>
      </c>
      <c r="J465">
        <v>0.3</v>
      </c>
      <c r="K465">
        <v>289972</v>
      </c>
      <c r="L465" t="s">
        <v>60</v>
      </c>
      <c r="M465" t="s">
        <v>110</v>
      </c>
      <c r="N465" s="25"/>
      <c r="O465">
        <v>0</v>
      </c>
    </row>
    <row r="466" spans="1:15">
      <c r="A466" t="s">
        <v>585</v>
      </c>
      <c r="B466" t="s">
        <v>69</v>
      </c>
      <c r="C466" t="s">
        <v>98</v>
      </c>
      <c r="D466" t="s">
        <v>83</v>
      </c>
      <c r="E466" t="s">
        <v>65</v>
      </c>
      <c r="F466">
        <v>45</v>
      </c>
      <c r="G466" t="s">
        <v>72</v>
      </c>
      <c r="H466" s="24">
        <v>39185</v>
      </c>
      <c r="I466">
        <v>189680</v>
      </c>
      <c r="J466">
        <v>0.23</v>
      </c>
      <c r="K466">
        <v>233306</v>
      </c>
      <c r="L466" t="s">
        <v>113</v>
      </c>
      <c r="M466" t="s">
        <v>184</v>
      </c>
      <c r="N466" s="25"/>
      <c r="O466">
        <v>0</v>
      </c>
    </row>
    <row r="467" spans="1:15">
      <c r="A467" t="s">
        <v>586</v>
      </c>
      <c r="B467" t="s">
        <v>187</v>
      </c>
      <c r="C467" t="s">
        <v>98</v>
      </c>
      <c r="D467" t="s">
        <v>64</v>
      </c>
      <c r="E467" t="s">
        <v>65</v>
      </c>
      <c r="F467">
        <v>57</v>
      </c>
      <c r="G467" t="s">
        <v>59</v>
      </c>
      <c r="H467" s="24">
        <v>43299</v>
      </c>
      <c r="I467">
        <v>71167</v>
      </c>
      <c r="J467">
        <v>0</v>
      </c>
      <c r="K467">
        <v>71167</v>
      </c>
      <c r="L467" t="s">
        <v>60</v>
      </c>
      <c r="M467" t="s">
        <v>110</v>
      </c>
      <c r="N467" s="25"/>
      <c r="O467">
        <v>0</v>
      </c>
    </row>
    <row r="468" spans="1:15">
      <c r="A468" t="s">
        <v>587</v>
      </c>
      <c r="B468" t="s">
        <v>63</v>
      </c>
      <c r="C468" t="s">
        <v>56</v>
      </c>
      <c r="D468" t="s">
        <v>71</v>
      </c>
      <c r="E468" t="s">
        <v>58</v>
      </c>
      <c r="F468">
        <v>59</v>
      </c>
      <c r="G468" t="s">
        <v>59</v>
      </c>
      <c r="H468" s="24">
        <v>40272</v>
      </c>
      <c r="I468">
        <v>76027</v>
      </c>
      <c r="J468">
        <v>0</v>
      </c>
      <c r="K468">
        <v>76027</v>
      </c>
      <c r="L468" t="s">
        <v>60</v>
      </c>
      <c r="M468" t="s">
        <v>61</v>
      </c>
      <c r="N468" s="25"/>
      <c r="O468">
        <v>0</v>
      </c>
    </row>
    <row r="469" spans="1:15">
      <c r="A469" t="s">
        <v>588</v>
      </c>
      <c r="B469" t="s">
        <v>69</v>
      </c>
      <c r="C469" t="s">
        <v>98</v>
      </c>
      <c r="D469" t="s">
        <v>83</v>
      </c>
      <c r="E469" t="s">
        <v>65</v>
      </c>
      <c r="F469">
        <v>48</v>
      </c>
      <c r="G469" t="s">
        <v>72</v>
      </c>
      <c r="H469" s="24">
        <v>43809</v>
      </c>
      <c r="I469">
        <v>183113</v>
      </c>
      <c r="J469">
        <v>0.24</v>
      </c>
      <c r="K469">
        <v>227060</v>
      </c>
      <c r="L469" t="s">
        <v>113</v>
      </c>
      <c r="M469" t="s">
        <v>117</v>
      </c>
      <c r="N469" s="25"/>
      <c r="O469">
        <v>0</v>
      </c>
    </row>
    <row r="470" spans="1:15">
      <c r="A470" t="s">
        <v>589</v>
      </c>
      <c r="B470" t="s">
        <v>132</v>
      </c>
      <c r="C470" t="s">
        <v>90</v>
      </c>
      <c r="D470" t="s">
        <v>64</v>
      </c>
      <c r="E470" t="s">
        <v>65</v>
      </c>
      <c r="F470">
        <v>30</v>
      </c>
      <c r="G470" t="s">
        <v>76</v>
      </c>
      <c r="H470" s="24">
        <v>44124</v>
      </c>
      <c r="I470">
        <v>67753</v>
      </c>
      <c r="J470">
        <v>0</v>
      </c>
      <c r="K470">
        <v>67753</v>
      </c>
      <c r="L470" t="s">
        <v>60</v>
      </c>
      <c r="M470" t="s">
        <v>79</v>
      </c>
      <c r="N470" s="25"/>
      <c r="O470">
        <v>0</v>
      </c>
    </row>
    <row r="471" spans="1:15">
      <c r="A471" t="s">
        <v>590</v>
      </c>
      <c r="B471" t="s">
        <v>75</v>
      </c>
      <c r="C471" t="s">
        <v>56</v>
      </c>
      <c r="D471" t="s">
        <v>83</v>
      </c>
      <c r="E471" t="s">
        <v>65</v>
      </c>
      <c r="F471">
        <v>31</v>
      </c>
      <c r="G471" t="s">
        <v>76</v>
      </c>
      <c r="H471" s="24">
        <v>42656</v>
      </c>
      <c r="I471">
        <v>63744</v>
      </c>
      <c r="J471">
        <v>0.08</v>
      </c>
      <c r="K471">
        <v>68844</v>
      </c>
      <c r="L471" t="s">
        <v>60</v>
      </c>
      <c r="M471" t="s">
        <v>91</v>
      </c>
      <c r="N471" s="25"/>
      <c r="O471">
        <v>0</v>
      </c>
    </row>
    <row r="472" spans="1:15">
      <c r="A472" t="s">
        <v>591</v>
      </c>
      <c r="B472" t="s">
        <v>122</v>
      </c>
      <c r="C472" t="s">
        <v>98</v>
      </c>
      <c r="D472" t="s">
        <v>64</v>
      </c>
      <c r="E472" t="s">
        <v>58</v>
      </c>
      <c r="F472">
        <v>50</v>
      </c>
      <c r="G472" t="s">
        <v>72</v>
      </c>
      <c r="H472" s="24">
        <v>37446</v>
      </c>
      <c r="I472">
        <v>92209</v>
      </c>
      <c r="J472">
        <v>0</v>
      </c>
      <c r="K472">
        <v>92209</v>
      </c>
      <c r="L472" t="s">
        <v>66</v>
      </c>
      <c r="M472" t="s">
        <v>101</v>
      </c>
      <c r="N472" s="25"/>
      <c r="O472">
        <v>0</v>
      </c>
    </row>
    <row r="473" spans="1:15">
      <c r="A473" t="s">
        <v>592</v>
      </c>
      <c r="B473" t="s">
        <v>55</v>
      </c>
      <c r="C473" t="s">
        <v>82</v>
      </c>
      <c r="D473" t="s">
        <v>83</v>
      </c>
      <c r="E473" t="s">
        <v>65</v>
      </c>
      <c r="F473">
        <v>51</v>
      </c>
      <c r="G473" t="s">
        <v>72</v>
      </c>
      <c r="H473" s="24">
        <v>36770</v>
      </c>
      <c r="I473">
        <v>157487</v>
      </c>
      <c r="J473">
        <v>0.12</v>
      </c>
      <c r="K473">
        <v>176385</v>
      </c>
      <c r="L473" t="s">
        <v>60</v>
      </c>
      <c r="M473" t="s">
        <v>79</v>
      </c>
      <c r="N473" s="25"/>
      <c r="O473">
        <v>0</v>
      </c>
    </row>
    <row r="474" spans="1:15">
      <c r="A474" t="s">
        <v>593</v>
      </c>
      <c r="B474" t="s">
        <v>78</v>
      </c>
      <c r="C474" t="s">
        <v>105</v>
      </c>
      <c r="D474" t="s">
        <v>57</v>
      </c>
      <c r="E474" t="s">
        <v>65</v>
      </c>
      <c r="F474">
        <v>42</v>
      </c>
      <c r="G474" t="s">
        <v>95</v>
      </c>
      <c r="H474" s="24">
        <v>42101</v>
      </c>
      <c r="I474">
        <v>99697</v>
      </c>
      <c r="J474">
        <v>0</v>
      </c>
      <c r="K474">
        <v>99697</v>
      </c>
      <c r="L474" t="s">
        <v>113</v>
      </c>
      <c r="M474" t="s">
        <v>117</v>
      </c>
      <c r="N474" s="25"/>
      <c r="O474">
        <v>0</v>
      </c>
    </row>
    <row r="475" spans="1:15">
      <c r="A475" t="s">
        <v>594</v>
      </c>
      <c r="B475" t="s">
        <v>326</v>
      </c>
      <c r="C475" t="s">
        <v>56</v>
      </c>
      <c r="D475" t="s">
        <v>57</v>
      </c>
      <c r="E475" t="s">
        <v>65</v>
      </c>
      <c r="F475">
        <v>45</v>
      </c>
      <c r="G475" t="s">
        <v>72</v>
      </c>
      <c r="H475" s="24">
        <v>40235</v>
      </c>
      <c r="I475">
        <v>90770</v>
      </c>
      <c r="J475">
        <v>0</v>
      </c>
      <c r="K475">
        <v>90770</v>
      </c>
      <c r="L475" t="s">
        <v>60</v>
      </c>
      <c r="M475" t="s">
        <v>110</v>
      </c>
      <c r="N475" s="25"/>
      <c r="O475">
        <v>0</v>
      </c>
    </row>
    <row r="476" spans="1:15">
      <c r="A476" t="s">
        <v>595</v>
      </c>
      <c r="B476" t="s">
        <v>87</v>
      </c>
      <c r="C476" t="s">
        <v>82</v>
      </c>
      <c r="D476" t="s">
        <v>71</v>
      </c>
      <c r="E476" t="s">
        <v>58</v>
      </c>
      <c r="F476">
        <v>64</v>
      </c>
      <c r="G476" t="s">
        <v>59</v>
      </c>
      <c r="H476" s="24">
        <v>38380</v>
      </c>
      <c r="I476">
        <v>55369</v>
      </c>
      <c r="J476">
        <v>0</v>
      </c>
      <c r="K476">
        <v>55369</v>
      </c>
      <c r="L476" t="s">
        <v>60</v>
      </c>
      <c r="M476" t="s">
        <v>79</v>
      </c>
      <c r="N476" s="25"/>
      <c r="O476">
        <v>0</v>
      </c>
    </row>
    <row r="477" spans="1:15">
      <c r="A477" t="s">
        <v>596</v>
      </c>
      <c r="B477" t="s">
        <v>160</v>
      </c>
      <c r="C477" t="s">
        <v>98</v>
      </c>
      <c r="D477" t="s">
        <v>71</v>
      </c>
      <c r="E477" t="s">
        <v>58</v>
      </c>
      <c r="F477">
        <v>59</v>
      </c>
      <c r="G477" t="s">
        <v>59</v>
      </c>
      <c r="H477" s="24">
        <v>41898</v>
      </c>
      <c r="I477">
        <v>69578</v>
      </c>
      <c r="J477">
        <v>0</v>
      </c>
      <c r="K477">
        <v>69578</v>
      </c>
      <c r="L477" t="s">
        <v>113</v>
      </c>
      <c r="M477" t="s">
        <v>117</v>
      </c>
      <c r="N477" s="25"/>
      <c r="O477">
        <v>0</v>
      </c>
    </row>
    <row r="478" spans="1:15">
      <c r="A478" t="s">
        <v>597</v>
      </c>
      <c r="B478" t="s">
        <v>69</v>
      </c>
      <c r="C478" t="s">
        <v>90</v>
      </c>
      <c r="D478" t="s">
        <v>71</v>
      </c>
      <c r="E478" t="s">
        <v>65</v>
      </c>
      <c r="F478">
        <v>41</v>
      </c>
      <c r="G478" t="s">
        <v>95</v>
      </c>
      <c r="H478" s="24">
        <v>41429</v>
      </c>
      <c r="I478">
        <v>167526</v>
      </c>
      <c r="J478">
        <v>0.26</v>
      </c>
      <c r="K478">
        <v>211083</v>
      </c>
      <c r="L478" t="s">
        <v>60</v>
      </c>
      <c r="M478" t="s">
        <v>88</v>
      </c>
      <c r="N478" s="25"/>
      <c r="O478">
        <v>0</v>
      </c>
    </row>
    <row r="479" spans="1:15">
      <c r="A479" t="s">
        <v>598</v>
      </c>
      <c r="B479" t="s">
        <v>160</v>
      </c>
      <c r="C479" t="s">
        <v>98</v>
      </c>
      <c r="D479" t="s">
        <v>71</v>
      </c>
      <c r="E479" t="s">
        <v>58</v>
      </c>
      <c r="F479">
        <v>42</v>
      </c>
      <c r="G479" t="s">
        <v>95</v>
      </c>
      <c r="H479" s="24">
        <v>44232</v>
      </c>
      <c r="I479">
        <v>65507</v>
      </c>
      <c r="J479">
        <v>0</v>
      </c>
      <c r="K479">
        <v>65507</v>
      </c>
      <c r="L479" t="s">
        <v>113</v>
      </c>
      <c r="M479" t="s">
        <v>114</v>
      </c>
      <c r="N479" s="25"/>
      <c r="O479">
        <v>0</v>
      </c>
    </row>
    <row r="480" spans="1:15">
      <c r="A480" t="s">
        <v>599</v>
      </c>
      <c r="B480" t="s">
        <v>85</v>
      </c>
      <c r="C480" t="s">
        <v>70</v>
      </c>
      <c r="D480" t="s">
        <v>57</v>
      </c>
      <c r="E480" t="s">
        <v>65</v>
      </c>
      <c r="F480">
        <v>54</v>
      </c>
      <c r="G480" t="s">
        <v>72</v>
      </c>
      <c r="H480" s="24">
        <v>35913</v>
      </c>
      <c r="I480">
        <v>108268</v>
      </c>
      <c r="J480">
        <v>0.09</v>
      </c>
      <c r="K480">
        <v>118012</v>
      </c>
      <c r="L480" t="s">
        <v>113</v>
      </c>
      <c r="M480" t="s">
        <v>184</v>
      </c>
      <c r="N480" s="25">
        <v>38122</v>
      </c>
      <c r="O480">
        <v>1</v>
      </c>
    </row>
    <row r="481" spans="1:15">
      <c r="A481" t="s">
        <v>600</v>
      </c>
      <c r="B481" t="s">
        <v>63</v>
      </c>
      <c r="C481" t="s">
        <v>56</v>
      </c>
      <c r="D481" t="s">
        <v>57</v>
      </c>
      <c r="E481" t="s">
        <v>65</v>
      </c>
      <c r="F481">
        <v>37</v>
      </c>
      <c r="G481" t="s">
        <v>95</v>
      </c>
      <c r="H481" s="24">
        <v>42405</v>
      </c>
      <c r="I481">
        <v>80055</v>
      </c>
      <c r="J481">
        <v>0</v>
      </c>
      <c r="K481">
        <v>80055</v>
      </c>
      <c r="L481" t="s">
        <v>66</v>
      </c>
      <c r="M481" t="s">
        <v>126</v>
      </c>
      <c r="N481" s="25"/>
      <c r="O481">
        <v>0</v>
      </c>
    </row>
    <row r="482" spans="1:15">
      <c r="A482" t="s">
        <v>601</v>
      </c>
      <c r="B482" t="s">
        <v>78</v>
      </c>
      <c r="C482" t="s">
        <v>82</v>
      </c>
      <c r="D482" t="s">
        <v>57</v>
      </c>
      <c r="E482" t="s">
        <v>65</v>
      </c>
      <c r="F482">
        <v>58</v>
      </c>
      <c r="G482" t="s">
        <v>59</v>
      </c>
      <c r="H482" s="24">
        <v>39930</v>
      </c>
      <c r="I482">
        <v>76802</v>
      </c>
      <c r="J482">
        <v>0</v>
      </c>
      <c r="K482">
        <v>76802</v>
      </c>
      <c r="L482" t="s">
        <v>113</v>
      </c>
      <c r="M482" t="s">
        <v>114</v>
      </c>
      <c r="N482" s="25"/>
      <c r="O482">
        <v>0</v>
      </c>
    </row>
    <row r="483" spans="1:15">
      <c r="A483" t="s">
        <v>602</v>
      </c>
      <c r="B483" t="s">
        <v>104</v>
      </c>
      <c r="C483" t="s">
        <v>82</v>
      </c>
      <c r="D483" t="s">
        <v>71</v>
      </c>
      <c r="E483" t="s">
        <v>65</v>
      </c>
      <c r="F483">
        <v>47</v>
      </c>
      <c r="G483" t="s">
        <v>72</v>
      </c>
      <c r="H483" s="24">
        <v>42696</v>
      </c>
      <c r="I483">
        <v>253249</v>
      </c>
      <c r="J483">
        <v>0.31</v>
      </c>
      <c r="K483">
        <v>331756</v>
      </c>
      <c r="L483" t="s">
        <v>60</v>
      </c>
      <c r="M483" t="s">
        <v>91</v>
      </c>
      <c r="N483" s="25"/>
      <c r="O483">
        <v>0</v>
      </c>
    </row>
    <row r="484" spans="1:15">
      <c r="A484" t="s">
        <v>603</v>
      </c>
      <c r="B484" t="s">
        <v>143</v>
      </c>
      <c r="C484" t="s">
        <v>94</v>
      </c>
      <c r="D484" t="s">
        <v>57</v>
      </c>
      <c r="E484" t="s">
        <v>58</v>
      </c>
      <c r="F484">
        <v>60</v>
      </c>
      <c r="G484" t="s">
        <v>59</v>
      </c>
      <c r="H484" s="24">
        <v>38667</v>
      </c>
      <c r="I484">
        <v>78388</v>
      </c>
      <c r="J484">
        <v>0</v>
      </c>
      <c r="K484">
        <v>78388</v>
      </c>
      <c r="L484" t="s">
        <v>66</v>
      </c>
      <c r="M484" t="s">
        <v>67</v>
      </c>
      <c r="N484" s="25"/>
      <c r="O484">
        <v>0</v>
      </c>
    </row>
    <row r="485" spans="1:15">
      <c r="A485" t="s">
        <v>604</v>
      </c>
      <c r="B485" t="s">
        <v>104</v>
      </c>
      <c r="C485" t="s">
        <v>56</v>
      </c>
      <c r="D485" t="s">
        <v>83</v>
      </c>
      <c r="E485" t="s">
        <v>65</v>
      </c>
      <c r="F485">
        <v>38</v>
      </c>
      <c r="G485" t="s">
        <v>95</v>
      </c>
      <c r="H485" s="24">
        <v>42543</v>
      </c>
      <c r="I485">
        <v>249870</v>
      </c>
      <c r="J485">
        <v>0.34</v>
      </c>
      <c r="K485">
        <v>334826</v>
      </c>
      <c r="L485" t="s">
        <v>60</v>
      </c>
      <c r="M485" t="s">
        <v>73</v>
      </c>
      <c r="N485" s="25"/>
      <c r="O485">
        <v>0</v>
      </c>
    </row>
    <row r="486" spans="1:15">
      <c r="A486" t="s">
        <v>605</v>
      </c>
      <c r="B486" t="s">
        <v>55</v>
      </c>
      <c r="C486" t="s">
        <v>105</v>
      </c>
      <c r="D486" t="s">
        <v>64</v>
      </c>
      <c r="E486" t="s">
        <v>65</v>
      </c>
      <c r="F486">
        <v>63</v>
      </c>
      <c r="G486" t="s">
        <v>59</v>
      </c>
      <c r="H486" s="24">
        <v>42064</v>
      </c>
      <c r="I486">
        <v>148321</v>
      </c>
      <c r="J486">
        <v>0.15</v>
      </c>
      <c r="K486">
        <v>170569</v>
      </c>
      <c r="L486" t="s">
        <v>66</v>
      </c>
      <c r="M486" t="s">
        <v>126</v>
      </c>
      <c r="N486" s="25"/>
      <c r="O486">
        <v>0</v>
      </c>
    </row>
    <row r="487" spans="1:15">
      <c r="A487" t="s">
        <v>606</v>
      </c>
      <c r="B487" t="s">
        <v>314</v>
      </c>
      <c r="C487" t="s">
        <v>56</v>
      </c>
      <c r="D487" t="s">
        <v>83</v>
      </c>
      <c r="E487" t="s">
        <v>58</v>
      </c>
      <c r="F487">
        <v>60</v>
      </c>
      <c r="G487" t="s">
        <v>59</v>
      </c>
      <c r="H487" s="24">
        <v>38027</v>
      </c>
      <c r="I487">
        <v>90258</v>
      </c>
      <c r="J487">
        <v>0</v>
      </c>
      <c r="K487">
        <v>90258</v>
      </c>
      <c r="L487" t="s">
        <v>66</v>
      </c>
      <c r="M487" t="s">
        <v>67</v>
      </c>
      <c r="N487" s="25"/>
      <c r="O487">
        <v>0</v>
      </c>
    </row>
    <row r="488" spans="1:15">
      <c r="A488" t="s">
        <v>607</v>
      </c>
      <c r="B488" t="s">
        <v>228</v>
      </c>
      <c r="C488" t="s">
        <v>56</v>
      </c>
      <c r="D488" t="s">
        <v>64</v>
      </c>
      <c r="E488" t="s">
        <v>58</v>
      </c>
      <c r="F488">
        <v>42</v>
      </c>
      <c r="G488" t="s">
        <v>95</v>
      </c>
      <c r="H488" s="24">
        <v>40593</v>
      </c>
      <c r="I488">
        <v>72486</v>
      </c>
      <c r="J488">
        <v>0</v>
      </c>
      <c r="K488">
        <v>72486</v>
      </c>
      <c r="L488" t="s">
        <v>60</v>
      </c>
      <c r="M488" t="s">
        <v>61</v>
      </c>
      <c r="N488" s="25"/>
      <c r="O488">
        <v>0</v>
      </c>
    </row>
    <row r="489" spans="1:15">
      <c r="A489" t="s">
        <v>608</v>
      </c>
      <c r="B489" t="s">
        <v>78</v>
      </c>
      <c r="C489" t="s">
        <v>70</v>
      </c>
      <c r="D489" t="s">
        <v>83</v>
      </c>
      <c r="E489" t="s">
        <v>65</v>
      </c>
      <c r="F489">
        <v>34</v>
      </c>
      <c r="G489" t="s">
        <v>76</v>
      </c>
      <c r="H489" s="24">
        <v>41886</v>
      </c>
      <c r="I489">
        <v>95499</v>
      </c>
      <c r="J489">
        <v>0</v>
      </c>
      <c r="K489">
        <v>95499</v>
      </c>
      <c r="L489" t="s">
        <v>113</v>
      </c>
      <c r="M489" t="s">
        <v>184</v>
      </c>
      <c r="N489" s="25">
        <v>42958</v>
      </c>
      <c r="O489">
        <v>1</v>
      </c>
    </row>
    <row r="490" spans="1:15">
      <c r="A490" t="s">
        <v>609</v>
      </c>
      <c r="B490" t="s">
        <v>78</v>
      </c>
      <c r="C490" t="s">
        <v>90</v>
      </c>
      <c r="D490" t="s">
        <v>57</v>
      </c>
      <c r="E490" t="s">
        <v>58</v>
      </c>
      <c r="F490">
        <v>53</v>
      </c>
      <c r="G490" t="s">
        <v>72</v>
      </c>
      <c r="H490" s="24">
        <v>38344</v>
      </c>
      <c r="I490">
        <v>90212</v>
      </c>
      <c r="J490">
        <v>0</v>
      </c>
      <c r="K490">
        <v>90212</v>
      </c>
      <c r="L490" t="s">
        <v>113</v>
      </c>
      <c r="M490" t="s">
        <v>184</v>
      </c>
      <c r="N490" s="25"/>
      <c r="O490">
        <v>0</v>
      </c>
    </row>
    <row r="491" spans="1:15">
      <c r="A491" t="s">
        <v>610</v>
      </c>
      <c r="B491" t="s">
        <v>104</v>
      </c>
      <c r="C491" t="s">
        <v>105</v>
      </c>
      <c r="D491" t="s">
        <v>57</v>
      </c>
      <c r="E491" t="s">
        <v>65</v>
      </c>
      <c r="F491">
        <v>39</v>
      </c>
      <c r="G491" t="s">
        <v>95</v>
      </c>
      <c r="H491" s="24">
        <v>43804</v>
      </c>
      <c r="I491">
        <v>254057</v>
      </c>
      <c r="J491">
        <v>0.39</v>
      </c>
      <c r="K491">
        <v>353139</v>
      </c>
      <c r="L491" t="s">
        <v>66</v>
      </c>
      <c r="M491" t="s">
        <v>101</v>
      </c>
      <c r="N491" s="25"/>
      <c r="O491">
        <v>0</v>
      </c>
    </row>
    <row r="492" spans="1:15">
      <c r="A492" t="s">
        <v>611</v>
      </c>
      <c r="B492" t="s">
        <v>166</v>
      </c>
      <c r="C492" t="s">
        <v>94</v>
      </c>
      <c r="D492" t="s">
        <v>64</v>
      </c>
      <c r="E492" t="s">
        <v>58</v>
      </c>
      <c r="F492">
        <v>58</v>
      </c>
      <c r="G492" t="s">
        <v>59</v>
      </c>
      <c r="H492" s="24">
        <v>40463</v>
      </c>
      <c r="I492">
        <v>43001</v>
      </c>
      <c r="J492">
        <v>0</v>
      </c>
      <c r="K492">
        <v>43001</v>
      </c>
      <c r="L492" t="s">
        <v>60</v>
      </c>
      <c r="M492" t="s">
        <v>91</v>
      </c>
      <c r="N492" s="25"/>
      <c r="O492">
        <v>0</v>
      </c>
    </row>
    <row r="493" spans="1:15">
      <c r="A493" t="s">
        <v>612</v>
      </c>
      <c r="B493" t="s">
        <v>75</v>
      </c>
      <c r="C493" t="s">
        <v>56</v>
      </c>
      <c r="D493" t="s">
        <v>64</v>
      </c>
      <c r="E493" t="s">
        <v>65</v>
      </c>
      <c r="F493">
        <v>60</v>
      </c>
      <c r="G493" t="s">
        <v>59</v>
      </c>
      <c r="H493" s="24">
        <v>36010</v>
      </c>
      <c r="I493">
        <v>85120</v>
      </c>
      <c r="J493">
        <v>0.09</v>
      </c>
      <c r="K493">
        <v>92781</v>
      </c>
      <c r="L493" t="s">
        <v>60</v>
      </c>
      <c r="M493" t="s">
        <v>61</v>
      </c>
      <c r="N493" s="25"/>
      <c r="O493">
        <v>0</v>
      </c>
    </row>
    <row r="494" spans="1:15">
      <c r="A494" t="s">
        <v>613</v>
      </c>
      <c r="B494" t="s">
        <v>166</v>
      </c>
      <c r="C494" t="s">
        <v>94</v>
      </c>
      <c r="D494" t="s">
        <v>64</v>
      </c>
      <c r="E494" t="s">
        <v>65</v>
      </c>
      <c r="F494">
        <v>34</v>
      </c>
      <c r="G494" t="s">
        <v>76</v>
      </c>
      <c r="H494" s="24">
        <v>42219</v>
      </c>
      <c r="I494">
        <v>52200</v>
      </c>
      <c r="J494">
        <v>0</v>
      </c>
      <c r="K494">
        <v>52200</v>
      </c>
      <c r="L494" t="s">
        <v>60</v>
      </c>
      <c r="M494" t="s">
        <v>110</v>
      </c>
      <c r="N494" s="25"/>
      <c r="O494">
        <v>0</v>
      </c>
    </row>
    <row r="495" spans="1:15">
      <c r="A495" t="s">
        <v>614</v>
      </c>
      <c r="B495" t="s">
        <v>55</v>
      </c>
      <c r="C495" t="s">
        <v>94</v>
      </c>
      <c r="D495" t="s">
        <v>83</v>
      </c>
      <c r="E495" t="s">
        <v>58</v>
      </c>
      <c r="F495">
        <v>60</v>
      </c>
      <c r="G495" t="s">
        <v>59</v>
      </c>
      <c r="H495" s="24">
        <v>39739</v>
      </c>
      <c r="I495">
        <v>150855</v>
      </c>
      <c r="J495">
        <v>0.11</v>
      </c>
      <c r="K495">
        <v>167449</v>
      </c>
      <c r="L495" t="s">
        <v>60</v>
      </c>
      <c r="M495" t="s">
        <v>79</v>
      </c>
      <c r="N495" s="25"/>
      <c r="O495">
        <v>0</v>
      </c>
    </row>
    <row r="496" spans="1:15">
      <c r="A496" t="s">
        <v>615</v>
      </c>
      <c r="B496" t="s">
        <v>136</v>
      </c>
      <c r="C496" t="s">
        <v>56</v>
      </c>
      <c r="D496" t="s">
        <v>64</v>
      </c>
      <c r="E496" t="s">
        <v>58</v>
      </c>
      <c r="F496">
        <v>53</v>
      </c>
      <c r="G496" t="s">
        <v>72</v>
      </c>
      <c r="H496" s="24">
        <v>38188</v>
      </c>
      <c r="I496">
        <v>65702</v>
      </c>
      <c r="J496">
        <v>0</v>
      </c>
      <c r="K496">
        <v>65702</v>
      </c>
      <c r="L496" t="s">
        <v>60</v>
      </c>
      <c r="M496" t="s">
        <v>110</v>
      </c>
      <c r="N496" s="25"/>
      <c r="O496">
        <v>0</v>
      </c>
    </row>
    <row r="497" spans="1:15">
      <c r="A497" t="s">
        <v>616</v>
      </c>
      <c r="B497" t="s">
        <v>69</v>
      </c>
      <c r="C497" t="s">
        <v>70</v>
      </c>
      <c r="D497" t="s">
        <v>83</v>
      </c>
      <c r="E497" t="s">
        <v>65</v>
      </c>
      <c r="F497">
        <v>58</v>
      </c>
      <c r="G497" t="s">
        <v>59</v>
      </c>
      <c r="H497" s="24">
        <v>39367</v>
      </c>
      <c r="I497">
        <v>162038</v>
      </c>
      <c r="J497">
        <v>0.24</v>
      </c>
      <c r="K497">
        <v>200927</v>
      </c>
      <c r="L497" t="s">
        <v>66</v>
      </c>
      <c r="M497" t="s">
        <v>67</v>
      </c>
      <c r="N497" s="25"/>
      <c r="O497">
        <v>0</v>
      </c>
    </row>
    <row r="498" spans="1:15">
      <c r="A498" t="s">
        <v>617</v>
      </c>
      <c r="B498" t="s">
        <v>55</v>
      </c>
      <c r="C498" t="s">
        <v>105</v>
      </c>
      <c r="D498" t="s">
        <v>57</v>
      </c>
      <c r="E498" t="s">
        <v>58</v>
      </c>
      <c r="F498">
        <v>25</v>
      </c>
      <c r="G498" t="s">
        <v>76</v>
      </c>
      <c r="H498" s="24">
        <v>43930</v>
      </c>
      <c r="I498">
        <v>157057</v>
      </c>
      <c r="J498">
        <v>0.1</v>
      </c>
      <c r="K498">
        <v>172763</v>
      </c>
      <c r="L498" t="s">
        <v>60</v>
      </c>
      <c r="M498" t="s">
        <v>110</v>
      </c>
      <c r="N498" s="25"/>
      <c r="O498">
        <v>0</v>
      </c>
    </row>
    <row r="499" spans="1:15">
      <c r="A499" t="s">
        <v>618</v>
      </c>
      <c r="B499" t="s">
        <v>85</v>
      </c>
      <c r="C499" t="s">
        <v>56</v>
      </c>
      <c r="D499" t="s">
        <v>57</v>
      </c>
      <c r="E499" t="s">
        <v>65</v>
      </c>
      <c r="F499">
        <v>46</v>
      </c>
      <c r="G499" t="s">
        <v>72</v>
      </c>
      <c r="H499" s="24">
        <v>44419</v>
      </c>
      <c r="I499">
        <v>127559</v>
      </c>
      <c r="J499">
        <v>0.1</v>
      </c>
      <c r="K499">
        <v>140315</v>
      </c>
      <c r="L499" t="s">
        <v>60</v>
      </c>
      <c r="M499" t="s">
        <v>91</v>
      </c>
      <c r="N499" s="25"/>
      <c r="O499">
        <v>0</v>
      </c>
    </row>
    <row r="500" spans="1:15">
      <c r="A500" t="s">
        <v>619</v>
      </c>
      <c r="B500" t="s">
        <v>160</v>
      </c>
      <c r="C500" t="s">
        <v>98</v>
      </c>
      <c r="D500" t="s">
        <v>83</v>
      </c>
      <c r="E500" t="s">
        <v>58</v>
      </c>
      <c r="F500">
        <v>39</v>
      </c>
      <c r="G500" t="s">
        <v>95</v>
      </c>
      <c r="H500" s="24">
        <v>43536</v>
      </c>
      <c r="I500">
        <v>62644</v>
      </c>
      <c r="J500">
        <v>0</v>
      </c>
      <c r="K500">
        <v>62644</v>
      </c>
      <c r="L500" t="s">
        <v>60</v>
      </c>
      <c r="M500" t="s">
        <v>61</v>
      </c>
      <c r="N500" s="25"/>
      <c r="O500">
        <v>0</v>
      </c>
    </row>
    <row r="501" spans="1:15">
      <c r="A501" t="s">
        <v>620</v>
      </c>
      <c r="B501" t="s">
        <v>200</v>
      </c>
      <c r="C501" t="s">
        <v>56</v>
      </c>
      <c r="D501" t="s">
        <v>64</v>
      </c>
      <c r="E501" t="s">
        <v>65</v>
      </c>
      <c r="F501">
        <v>50</v>
      </c>
      <c r="G501" t="s">
        <v>72</v>
      </c>
      <c r="H501" s="24">
        <v>36956</v>
      </c>
      <c r="I501">
        <v>73907</v>
      </c>
      <c r="J501">
        <v>0</v>
      </c>
      <c r="K501">
        <v>73907</v>
      </c>
      <c r="L501" t="s">
        <v>66</v>
      </c>
      <c r="M501" t="s">
        <v>101</v>
      </c>
      <c r="N501" s="25"/>
      <c r="O501">
        <v>0</v>
      </c>
    </row>
    <row r="502" spans="1:15">
      <c r="A502" t="s">
        <v>621</v>
      </c>
      <c r="B502" t="s">
        <v>78</v>
      </c>
      <c r="C502" t="s">
        <v>90</v>
      </c>
      <c r="D502" t="s">
        <v>64</v>
      </c>
      <c r="E502" t="s">
        <v>58</v>
      </c>
      <c r="F502">
        <v>56</v>
      </c>
      <c r="G502" t="s">
        <v>59</v>
      </c>
      <c r="H502" s="24">
        <v>43169</v>
      </c>
      <c r="I502">
        <v>90040</v>
      </c>
      <c r="J502">
        <v>0</v>
      </c>
      <c r="K502">
        <v>90040</v>
      </c>
      <c r="L502" t="s">
        <v>60</v>
      </c>
      <c r="M502" t="s">
        <v>73</v>
      </c>
      <c r="N502" s="25"/>
      <c r="O502">
        <v>0</v>
      </c>
    </row>
    <row r="503" spans="1:15">
      <c r="A503" t="s">
        <v>622</v>
      </c>
      <c r="B503" t="s">
        <v>216</v>
      </c>
      <c r="C503" t="s">
        <v>98</v>
      </c>
      <c r="D503" t="s">
        <v>64</v>
      </c>
      <c r="E503" t="s">
        <v>58</v>
      </c>
      <c r="F503">
        <v>30</v>
      </c>
      <c r="G503" t="s">
        <v>76</v>
      </c>
      <c r="H503" s="24">
        <v>42516</v>
      </c>
      <c r="I503">
        <v>91134</v>
      </c>
      <c r="J503">
        <v>0</v>
      </c>
      <c r="K503">
        <v>91134</v>
      </c>
      <c r="L503" t="s">
        <v>113</v>
      </c>
      <c r="M503" t="s">
        <v>184</v>
      </c>
      <c r="N503" s="25"/>
      <c r="O503">
        <v>0</v>
      </c>
    </row>
    <row r="504" spans="1:15">
      <c r="A504" t="s">
        <v>623</v>
      </c>
      <c r="B504" t="s">
        <v>104</v>
      </c>
      <c r="C504" t="s">
        <v>94</v>
      </c>
      <c r="D504" t="s">
        <v>71</v>
      </c>
      <c r="E504" t="s">
        <v>58</v>
      </c>
      <c r="F504">
        <v>45</v>
      </c>
      <c r="G504" t="s">
        <v>72</v>
      </c>
      <c r="H504" s="24">
        <v>44461</v>
      </c>
      <c r="I504">
        <v>201396</v>
      </c>
      <c r="J504">
        <v>0.32</v>
      </c>
      <c r="K504">
        <v>265843</v>
      </c>
      <c r="L504" t="s">
        <v>60</v>
      </c>
      <c r="M504" t="s">
        <v>88</v>
      </c>
      <c r="N504" s="25"/>
      <c r="O504">
        <v>0</v>
      </c>
    </row>
    <row r="505" spans="1:15">
      <c r="A505" t="s">
        <v>624</v>
      </c>
      <c r="B505" t="s">
        <v>87</v>
      </c>
      <c r="C505" t="s">
        <v>90</v>
      </c>
      <c r="D505" t="s">
        <v>83</v>
      </c>
      <c r="E505" t="s">
        <v>58</v>
      </c>
      <c r="F505">
        <v>55</v>
      </c>
      <c r="G505" t="s">
        <v>59</v>
      </c>
      <c r="H505" s="24">
        <v>40899</v>
      </c>
      <c r="I505">
        <v>54733</v>
      </c>
      <c r="J505">
        <v>0</v>
      </c>
      <c r="K505">
        <v>54733</v>
      </c>
      <c r="L505" t="s">
        <v>66</v>
      </c>
      <c r="M505" t="s">
        <v>67</v>
      </c>
      <c r="N505" s="25"/>
      <c r="O505">
        <v>0</v>
      </c>
    </row>
    <row r="506" spans="1:15">
      <c r="A506" t="s">
        <v>625</v>
      </c>
      <c r="B506" t="s">
        <v>228</v>
      </c>
      <c r="C506" t="s">
        <v>56</v>
      </c>
      <c r="D506" t="s">
        <v>83</v>
      </c>
      <c r="E506" t="s">
        <v>65</v>
      </c>
      <c r="F506">
        <v>28</v>
      </c>
      <c r="G506" t="s">
        <v>76</v>
      </c>
      <c r="H506" s="24">
        <v>43633</v>
      </c>
      <c r="I506">
        <v>65341</v>
      </c>
      <c r="J506">
        <v>0</v>
      </c>
      <c r="K506">
        <v>65341</v>
      </c>
      <c r="L506" t="s">
        <v>60</v>
      </c>
      <c r="M506" t="s">
        <v>88</v>
      </c>
      <c r="N506" s="25">
        <v>44662</v>
      </c>
      <c r="O506">
        <v>1</v>
      </c>
    </row>
    <row r="507" spans="1:15">
      <c r="A507" t="s">
        <v>626</v>
      </c>
      <c r="B507" t="s">
        <v>55</v>
      </c>
      <c r="C507" t="s">
        <v>70</v>
      </c>
      <c r="D507" t="s">
        <v>83</v>
      </c>
      <c r="E507" t="s">
        <v>58</v>
      </c>
      <c r="F507">
        <v>59</v>
      </c>
      <c r="G507" t="s">
        <v>59</v>
      </c>
      <c r="H507" s="24">
        <v>43400</v>
      </c>
      <c r="I507">
        <v>139208</v>
      </c>
      <c r="J507">
        <v>0.11</v>
      </c>
      <c r="K507">
        <v>154521</v>
      </c>
      <c r="L507" t="s">
        <v>60</v>
      </c>
      <c r="M507" t="s">
        <v>91</v>
      </c>
      <c r="N507" s="25"/>
      <c r="O507">
        <v>0</v>
      </c>
    </row>
    <row r="508" spans="1:15">
      <c r="A508" t="s">
        <v>627</v>
      </c>
      <c r="B508" t="s">
        <v>78</v>
      </c>
      <c r="C508" t="s">
        <v>82</v>
      </c>
      <c r="D508" t="s">
        <v>71</v>
      </c>
      <c r="E508" t="s">
        <v>65</v>
      </c>
      <c r="F508">
        <v>63</v>
      </c>
      <c r="G508" t="s">
        <v>59</v>
      </c>
      <c r="H508" s="24">
        <v>43171</v>
      </c>
      <c r="I508">
        <v>73200</v>
      </c>
      <c r="J508">
        <v>0</v>
      </c>
      <c r="K508">
        <v>73200</v>
      </c>
      <c r="L508" t="s">
        <v>66</v>
      </c>
      <c r="M508" t="s">
        <v>101</v>
      </c>
      <c r="N508" s="25"/>
      <c r="O508">
        <v>0</v>
      </c>
    </row>
    <row r="509" spans="1:15">
      <c r="A509" t="s">
        <v>628</v>
      </c>
      <c r="B509" t="s">
        <v>85</v>
      </c>
      <c r="C509" t="s">
        <v>90</v>
      </c>
      <c r="D509" t="s">
        <v>71</v>
      </c>
      <c r="E509" t="s">
        <v>58</v>
      </c>
      <c r="F509">
        <v>46</v>
      </c>
      <c r="G509" t="s">
        <v>72</v>
      </c>
      <c r="H509" s="24">
        <v>40292</v>
      </c>
      <c r="I509">
        <v>102636</v>
      </c>
      <c r="J509">
        <v>0.06</v>
      </c>
      <c r="K509">
        <v>108794</v>
      </c>
      <c r="L509" t="s">
        <v>60</v>
      </c>
      <c r="M509" t="s">
        <v>61</v>
      </c>
      <c r="N509" s="25"/>
      <c r="O509">
        <v>0</v>
      </c>
    </row>
    <row r="510" spans="1:15">
      <c r="A510" t="s">
        <v>629</v>
      </c>
      <c r="B510" t="s">
        <v>225</v>
      </c>
      <c r="C510" t="s">
        <v>82</v>
      </c>
      <c r="D510" t="s">
        <v>71</v>
      </c>
      <c r="E510" t="s">
        <v>58</v>
      </c>
      <c r="F510">
        <v>26</v>
      </c>
      <c r="G510" t="s">
        <v>76</v>
      </c>
      <c r="H510" s="24">
        <v>44236</v>
      </c>
      <c r="I510">
        <v>87427</v>
      </c>
      <c r="J510">
        <v>0</v>
      </c>
      <c r="K510">
        <v>87427</v>
      </c>
      <c r="L510" t="s">
        <v>113</v>
      </c>
      <c r="M510" t="s">
        <v>184</v>
      </c>
      <c r="N510" s="25"/>
      <c r="O510">
        <v>0</v>
      </c>
    </row>
    <row r="511" spans="1:15">
      <c r="A511" t="s">
        <v>630</v>
      </c>
      <c r="B511" t="s">
        <v>129</v>
      </c>
      <c r="C511" t="s">
        <v>56</v>
      </c>
      <c r="D511" t="s">
        <v>57</v>
      </c>
      <c r="E511" t="s">
        <v>65</v>
      </c>
      <c r="F511">
        <v>45</v>
      </c>
      <c r="G511" t="s">
        <v>72</v>
      </c>
      <c r="H511" s="24">
        <v>43248</v>
      </c>
      <c r="I511">
        <v>49219</v>
      </c>
      <c r="J511">
        <v>0</v>
      </c>
      <c r="K511">
        <v>49219</v>
      </c>
      <c r="L511" t="s">
        <v>60</v>
      </c>
      <c r="M511" t="s">
        <v>110</v>
      </c>
      <c r="N511" s="25"/>
      <c r="O511">
        <v>0</v>
      </c>
    </row>
    <row r="512" spans="1:15">
      <c r="A512" t="s">
        <v>631</v>
      </c>
      <c r="B512" t="s">
        <v>85</v>
      </c>
      <c r="C512" t="s">
        <v>70</v>
      </c>
      <c r="D512" t="s">
        <v>64</v>
      </c>
      <c r="E512" t="s">
        <v>65</v>
      </c>
      <c r="F512">
        <v>50</v>
      </c>
      <c r="G512" t="s">
        <v>72</v>
      </c>
      <c r="H512" s="24">
        <v>43239</v>
      </c>
      <c r="I512">
        <v>106437</v>
      </c>
      <c r="J512">
        <v>0.07</v>
      </c>
      <c r="K512">
        <v>113888</v>
      </c>
      <c r="L512" t="s">
        <v>66</v>
      </c>
      <c r="M512" t="s">
        <v>67</v>
      </c>
      <c r="N512" s="25"/>
      <c r="O512">
        <v>0</v>
      </c>
    </row>
    <row r="513" spans="1:15">
      <c r="A513" t="s">
        <v>632</v>
      </c>
      <c r="B513" t="s">
        <v>132</v>
      </c>
      <c r="C513" t="s">
        <v>70</v>
      </c>
      <c r="D513" t="s">
        <v>64</v>
      </c>
      <c r="E513" t="s">
        <v>65</v>
      </c>
      <c r="F513">
        <v>46</v>
      </c>
      <c r="G513" t="s">
        <v>72</v>
      </c>
      <c r="H513" s="24">
        <v>42129</v>
      </c>
      <c r="I513">
        <v>64364</v>
      </c>
      <c r="J513">
        <v>0</v>
      </c>
      <c r="K513">
        <v>64364</v>
      </c>
      <c r="L513" t="s">
        <v>113</v>
      </c>
      <c r="M513" t="s">
        <v>184</v>
      </c>
      <c r="N513" s="25"/>
      <c r="O513">
        <v>0</v>
      </c>
    </row>
    <row r="514" spans="1:15">
      <c r="A514" t="s">
        <v>633</v>
      </c>
      <c r="B514" t="s">
        <v>69</v>
      </c>
      <c r="C514" t="s">
        <v>94</v>
      </c>
      <c r="D514" t="s">
        <v>64</v>
      </c>
      <c r="E514" t="s">
        <v>65</v>
      </c>
      <c r="F514">
        <v>50</v>
      </c>
      <c r="G514" t="s">
        <v>72</v>
      </c>
      <c r="H514" s="24">
        <v>44486</v>
      </c>
      <c r="I514">
        <v>172180</v>
      </c>
      <c r="J514">
        <v>0.3</v>
      </c>
      <c r="K514">
        <v>223834</v>
      </c>
      <c r="L514" t="s">
        <v>60</v>
      </c>
      <c r="M514" t="s">
        <v>110</v>
      </c>
      <c r="N514" s="25"/>
      <c r="O514">
        <v>0</v>
      </c>
    </row>
    <row r="515" spans="1:15">
      <c r="A515" t="s">
        <v>634</v>
      </c>
      <c r="B515" t="s">
        <v>78</v>
      </c>
      <c r="C515" t="s">
        <v>82</v>
      </c>
      <c r="D515" t="s">
        <v>64</v>
      </c>
      <c r="E515" t="s">
        <v>58</v>
      </c>
      <c r="F515">
        <v>33</v>
      </c>
      <c r="G515" t="s">
        <v>76</v>
      </c>
      <c r="H515" s="24">
        <v>41043</v>
      </c>
      <c r="I515">
        <v>88343</v>
      </c>
      <c r="J515">
        <v>0</v>
      </c>
      <c r="K515">
        <v>88343</v>
      </c>
      <c r="L515" t="s">
        <v>113</v>
      </c>
      <c r="M515" t="s">
        <v>117</v>
      </c>
      <c r="N515" s="25"/>
      <c r="O515">
        <v>0</v>
      </c>
    </row>
    <row r="516" spans="1:15">
      <c r="A516" t="s">
        <v>635</v>
      </c>
      <c r="B516" t="s">
        <v>266</v>
      </c>
      <c r="C516" t="s">
        <v>56</v>
      </c>
      <c r="D516" t="s">
        <v>71</v>
      </c>
      <c r="E516" t="s">
        <v>65</v>
      </c>
      <c r="F516">
        <v>57</v>
      </c>
      <c r="G516" t="s">
        <v>59</v>
      </c>
      <c r="H516" s="24">
        <v>41830</v>
      </c>
      <c r="I516">
        <v>66649</v>
      </c>
      <c r="J516">
        <v>0</v>
      </c>
      <c r="K516">
        <v>66649</v>
      </c>
      <c r="L516" t="s">
        <v>113</v>
      </c>
      <c r="M516" t="s">
        <v>117</v>
      </c>
      <c r="N516" s="25"/>
      <c r="O516">
        <v>0</v>
      </c>
    </row>
    <row r="517" spans="1:15">
      <c r="A517" t="s">
        <v>636</v>
      </c>
      <c r="B517" t="s">
        <v>85</v>
      </c>
      <c r="C517" t="s">
        <v>70</v>
      </c>
      <c r="D517" t="s">
        <v>83</v>
      </c>
      <c r="E517" t="s">
        <v>58</v>
      </c>
      <c r="F517">
        <v>48</v>
      </c>
      <c r="G517" t="s">
        <v>72</v>
      </c>
      <c r="H517" s="24">
        <v>36272</v>
      </c>
      <c r="I517">
        <v>102847</v>
      </c>
      <c r="J517">
        <v>0.05</v>
      </c>
      <c r="K517">
        <v>107989</v>
      </c>
      <c r="L517" t="s">
        <v>60</v>
      </c>
      <c r="M517" t="s">
        <v>73</v>
      </c>
      <c r="N517" s="25"/>
      <c r="O517">
        <v>0</v>
      </c>
    </row>
    <row r="518" spans="1:15">
      <c r="A518" t="s">
        <v>637</v>
      </c>
      <c r="B518" t="s">
        <v>55</v>
      </c>
      <c r="C518" t="s">
        <v>70</v>
      </c>
      <c r="D518" t="s">
        <v>64</v>
      </c>
      <c r="E518" t="s">
        <v>65</v>
      </c>
      <c r="F518">
        <v>46</v>
      </c>
      <c r="G518" t="s">
        <v>72</v>
      </c>
      <c r="H518" s="24">
        <v>40378</v>
      </c>
      <c r="I518">
        <v>134881</v>
      </c>
      <c r="J518">
        <v>0.15</v>
      </c>
      <c r="K518">
        <v>155113</v>
      </c>
      <c r="L518" t="s">
        <v>113</v>
      </c>
      <c r="M518" t="s">
        <v>114</v>
      </c>
      <c r="N518" s="25"/>
      <c r="O518">
        <v>0</v>
      </c>
    </row>
    <row r="519" spans="1:15">
      <c r="A519" t="s">
        <v>638</v>
      </c>
      <c r="B519" t="s">
        <v>132</v>
      </c>
      <c r="C519" t="s">
        <v>105</v>
      </c>
      <c r="D519" t="s">
        <v>64</v>
      </c>
      <c r="E519" t="s">
        <v>65</v>
      </c>
      <c r="F519">
        <v>52</v>
      </c>
      <c r="G519" t="s">
        <v>72</v>
      </c>
      <c r="H519" s="24">
        <v>36303</v>
      </c>
      <c r="I519">
        <v>68807</v>
      </c>
      <c r="J519">
        <v>0</v>
      </c>
      <c r="K519">
        <v>68807</v>
      </c>
      <c r="L519" t="s">
        <v>66</v>
      </c>
      <c r="M519" t="s">
        <v>138</v>
      </c>
      <c r="N519" s="25">
        <v>42338</v>
      </c>
      <c r="O519">
        <v>1</v>
      </c>
    </row>
    <row r="520" spans="1:15">
      <c r="A520" t="s">
        <v>639</v>
      </c>
      <c r="B520" t="s">
        <v>104</v>
      </c>
      <c r="C520" t="s">
        <v>56</v>
      </c>
      <c r="D520" t="s">
        <v>64</v>
      </c>
      <c r="E520" t="s">
        <v>65</v>
      </c>
      <c r="F520">
        <v>56</v>
      </c>
      <c r="G520" t="s">
        <v>59</v>
      </c>
      <c r="H520" s="24">
        <v>38866</v>
      </c>
      <c r="I520">
        <v>228822</v>
      </c>
      <c r="J520">
        <v>0.36</v>
      </c>
      <c r="K520">
        <v>311198</v>
      </c>
      <c r="L520" t="s">
        <v>60</v>
      </c>
      <c r="M520" t="s">
        <v>88</v>
      </c>
      <c r="N520" s="25"/>
      <c r="O520">
        <v>0</v>
      </c>
    </row>
    <row r="521" spans="1:15">
      <c r="A521" t="s">
        <v>640</v>
      </c>
      <c r="B521" t="s">
        <v>87</v>
      </c>
      <c r="C521" t="s">
        <v>105</v>
      </c>
      <c r="D521" t="s">
        <v>64</v>
      </c>
      <c r="E521" t="s">
        <v>65</v>
      </c>
      <c r="F521">
        <v>28</v>
      </c>
      <c r="G521" t="s">
        <v>76</v>
      </c>
      <c r="H521" s="24">
        <v>44395</v>
      </c>
      <c r="I521">
        <v>43391</v>
      </c>
      <c r="J521">
        <v>0</v>
      </c>
      <c r="K521">
        <v>43391</v>
      </c>
      <c r="L521" t="s">
        <v>60</v>
      </c>
      <c r="M521" t="s">
        <v>110</v>
      </c>
      <c r="N521" s="25"/>
      <c r="O521">
        <v>0</v>
      </c>
    </row>
    <row r="522" spans="1:15">
      <c r="A522" t="s">
        <v>641</v>
      </c>
      <c r="B522" t="s">
        <v>122</v>
      </c>
      <c r="C522" t="s">
        <v>98</v>
      </c>
      <c r="D522" t="s">
        <v>71</v>
      </c>
      <c r="E522" t="s">
        <v>65</v>
      </c>
      <c r="F522">
        <v>29</v>
      </c>
      <c r="G522" t="s">
        <v>76</v>
      </c>
      <c r="H522" s="24">
        <v>44515</v>
      </c>
      <c r="I522">
        <v>91782</v>
      </c>
      <c r="J522">
        <v>0</v>
      </c>
      <c r="K522">
        <v>91782</v>
      </c>
      <c r="L522" t="s">
        <v>66</v>
      </c>
      <c r="M522" t="s">
        <v>67</v>
      </c>
      <c r="N522" s="25"/>
      <c r="O522">
        <v>0</v>
      </c>
    </row>
    <row r="523" spans="1:15">
      <c r="A523" t="s">
        <v>642</v>
      </c>
      <c r="B523" t="s">
        <v>104</v>
      </c>
      <c r="C523" t="s">
        <v>105</v>
      </c>
      <c r="D523" t="s">
        <v>83</v>
      </c>
      <c r="E523" t="s">
        <v>58</v>
      </c>
      <c r="F523">
        <v>45</v>
      </c>
      <c r="G523" t="s">
        <v>72</v>
      </c>
      <c r="H523" s="24">
        <v>42428</v>
      </c>
      <c r="I523">
        <v>211637</v>
      </c>
      <c r="J523">
        <v>0.31</v>
      </c>
      <c r="K523">
        <v>277244</v>
      </c>
      <c r="L523" t="s">
        <v>60</v>
      </c>
      <c r="M523" t="s">
        <v>73</v>
      </c>
      <c r="N523" s="25"/>
      <c r="O523">
        <v>0</v>
      </c>
    </row>
    <row r="524" spans="1:15">
      <c r="A524" t="s">
        <v>643</v>
      </c>
      <c r="B524" t="s">
        <v>75</v>
      </c>
      <c r="C524" t="s">
        <v>56</v>
      </c>
      <c r="D524" t="s">
        <v>64</v>
      </c>
      <c r="E524" t="s">
        <v>65</v>
      </c>
      <c r="F524">
        <v>28</v>
      </c>
      <c r="G524" t="s">
        <v>76</v>
      </c>
      <c r="H524" s="24">
        <v>44051</v>
      </c>
      <c r="I524">
        <v>73255</v>
      </c>
      <c r="J524">
        <v>0.09</v>
      </c>
      <c r="K524">
        <v>79848</v>
      </c>
      <c r="L524" t="s">
        <v>60</v>
      </c>
      <c r="M524" t="s">
        <v>79</v>
      </c>
      <c r="N524" s="25"/>
      <c r="O524">
        <v>0</v>
      </c>
    </row>
    <row r="525" spans="1:15">
      <c r="A525" t="s">
        <v>644</v>
      </c>
      <c r="B525" t="s">
        <v>85</v>
      </c>
      <c r="C525" t="s">
        <v>82</v>
      </c>
      <c r="D525" t="s">
        <v>83</v>
      </c>
      <c r="E525" t="s">
        <v>65</v>
      </c>
      <c r="F525">
        <v>28</v>
      </c>
      <c r="G525" t="s">
        <v>76</v>
      </c>
      <c r="H525" s="24">
        <v>44204</v>
      </c>
      <c r="I525">
        <v>108826</v>
      </c>
      <c r="J525">
        <v>0.1</v>
      </c>
      <c r="K525">
        <v>119709</v>
      </c>
      <c r="L525" t="s">
        <v>60</v>
      </c>
      <c r="M525" t="s">
        <v>88</v>
      </c>
      <c r="N525" s="25"/>
      <c r="O525">
        <v>0</v>
      </c>
    </row>
    <row r="526" spans="1:15">
      <c r="A526" t="s">
        <v>645</v>
      </c>
      <c r="B526" t="s">
        <v>266</v>
      </c>
      <c r="C526" t="s">
        <v>56</v>
      </c>
      <c r="D526" t="s">
        <v>71</v>
      </c>
      <c r="E526" t="s">
        <v>65</v>
      </c>
      <c r="F526">
        <v>34</v>
      </c>
      <c r="G526" t="s">
        <v>76</v>
      </c>
      <c r="H526" s="24">
        <v>42514</v>
      </c>
      <c r="I526">
        <v>94352</v>
      </c>
      <c r="J526">
        <v>0</v>
      </c>
      <c r="K526">
        <v>94352</v>
      </c>
      <c r="L526" t="s">
        <v>60</v>
      </c>
      <c r="M526" t="s">
        <v>88</v>
      </c>
      <c r="N526" s="25"/>
      <c r="O526">
        <v>0</v>
      </c>
    </row>
    <row r="527" spans="1:15">
      <c r="A527" t="s">
        <v>646</v>
      </c>
      <c r="B527" t="s">
        <v>303</v>
      </c>
      <c r="C527" t="s">
        <v>56</v>
      </c>
      <c r="D527" t="s">
        <v>57</v>
      </c>
      <c r="E527" t="s">
        <v>58</v>
      </c>
      <c r="F527">
        <v>55</v>
      </c>
      <c r="G527" t="s">
        <v>59</v>
      </c>
      <c r="H527" s="24">
        <v>34576</v>
      </c>
      <c r="I527">
        <v>73955</v>
      </c>
      <c r="J527">
        <v>0</v>
      </c>
      <c r="K527">
        <v>73955</v>
      </c>
      <c r="L527" t="s">
        <v>60</v>
      </c>
      <c r="M527" t="s">
        <v>79</v>
      </c>
      <c r="N527" s="25"/>
      <c r="O527">
        <v>0</v>
      </c>
    </row>
    <row r="528" spans="1:15">
      <c r="A528" t="s">
        <v>647</v>
      </c>
      <c r="B528" t="s">
        <v>85</v>
      </c>
      <c r="C528" t="s">
        <v>94</v>
      </c>
      <c r="D528" t="s">
        <v>64</v>
      </c>
      <c r="E528" t="s">
        <v>65</v>
      </c>
      <c r="F528">
        <v>34</v>
      </c>
      <c r="G528" t="s">
        <v>76</v>
      </c>
      <c r="H528" s="24">
        <v>41499</v>
      </c>
      <c r="I528">
        <v>113909</v>
      </c>
      <c r="J528">
        <v>0.06</v>
      </c>
      <c r="K528">
        <v>120744</v>
      </c>
      <c r="L528" t="s">
        <v>113</v>
      </c>
      <c r="M528" t="s">
        <v>117</v>
      </c>
      <c r="N528" s="25"/>
      <c r="O528">
        <v>0</v>
      </c>
    </row>
    <row r="529" spans="1:15">
      <c r="A529" t="s">
        <v>648</v>
      </c>
      <c r="B529" t="s">
        <v>326</v>
      </c>
      <c r="C529" t="s">
        <v>56</v>
      </c>
      <c r="D529" t="s">
        <v>64</v>
      </c>
      <c r="E529" t="s">
        <v>65</v>
      </c>
      <c r="F529">
        <v>27</v>
      </c>
      <c r="G529" t="s">
        <v>76</v>
      </c>
      <c r="H529" s="24">
        <v>44189</v>
      </c>
      <c r="I529">
        <v>92321</v>
      </c>
      <c r="J529">
        <v>0</v>
      </c>
      <c r="K529">
        <v>92321</v>
      </c>
      <c r="L529" t="s">
        <v>60</v>
      </c>
      <c r="M529" t="s">
        <v>73</v>
      </c>
      <c r="N529" s="25"/>
      <c r="O529">
        <v>0</v>
      </c>
    </row>
    <row r="530" spans="1:15">
      <c r="A530" t="s">
        <v>649</v>
      </c>
      <c r="B530" t="s">
        <v>75</v>
      </c>
      <c r="C530" t="s">
        <v>56</v>
      </c>
      <c r="D530" t="s">
        <v>57</v>
      </c>
      <c r="E530" t="s">
        <v>65</v>
      </c>
      <c r="F530">
        <v>52</v>
      </c>
      <c r="G530" t="s">
        <v>72</v>
      </c>
      <c r="H530" s="24">
        <v>41417</v>
      </c>
      <c r="I530">
        <v>99557</v>
      </c>
      <c r="J530">
        <v>0.09</v>
      </c>
      <c r="K530">
        <v>108517</v>
      </c>
      <c r="L530" t="s">
        <v>60</v>
      </c>
      <c r="M530" t="s">
        <v>61</v>
      </c>
      <c r="N530" s="25"/>
      <c r="O530">
        <v>0</v>
      </c>
    </row>
    <row r="531" spans="1:15">
      <c r="A531" t="s">
        <v>650</v>
      </c>
      <c r="B531" t="s">
        <v>162</v>
      </c>
      <c r="C531" t="s">
        <v>98</v>
      </c>
      <c r="D531" t="s">
        <v>71</v>
      </c>
      <c r="E531" t="s">
        <v>58</v>
      </c>
      <c r="F531">
        <v>28</v>
      </c>
      <c r="G531" t="s">
        <v>76</v>
      </c>
      <c r="H531" s="24">
        <v>43418</v>
      </c>
      <c r="I531">
        <v>115854</v>
      </c>
      <c r="J531">
        <v>0</v>
      </c>
      <c r="K531">
        <v>115854</v>
      </c>
      <c r="L531" t="s">
        <v>60</v>
      </c>
      <c r="M531" t="s">
        <v>79</v>
      </c>
      <c r="N531" s="25"/>
      <c r="O531">
        <v>0</v>
      </c>
    </row>
    <row r="532" spans="1:15">
      <c r="A532" t="s">
        <v>651</v>
      </c>
      <c r="B532" t="s">
        <v>303</v>
      </c>
      <c r="C532" t="s">
        <v>56</v>
      </c>
      <c r="D532" t="s">
        <v>64</v>
      </c>
      <c r="E532" t="s">
        <v>58</v>
      </c>
      <c r="F532">
        <v>44</v>
      </c>
      <c r="G532" t="s">
        <v>95</v>
      </c>
      <c r="H532" s="24">
        <v>40603</v>
      </c>
      <c r="I532">
        <v>82462</v>
      </c>
      <c r="J532">
        <v>0</v>
      </c>
      <c r="K532">
        <v>82462</v>
      </c>
      <c r="L532" t="s">
        <v>60</v>
      </c>
      <c r="M532" t="s">
        <v>91</v>
      </c>
      <c r="N532" s="25"/>
      <c r="O532">
        <v>0</v>
      </c>
    </row>
    <row r="533" spans="1:15">
      <c r="A533" t="s">
        <v>652</v>
      </c>
      <c r="B533" t="s">
        <v>104</v>
      </c>
      <c r="C533" t="s">
        <v>56</v>
      </c>
      <c r="D533" t="s">
        <v>57</v>
      </c>
      <c r="E533" t="s">
        <v>58</v>
      </c>
      <c r="F533">
        <v>53</v>
      </c>
      <c r="G533" t="s">
        <v>72</v>
      </c>
      <c r="H533" s="24">
        <v>40856</v>
      </c>
      <c r="I533">
        <v>198473</v>
      </c>
      <c r="J533">
        <v>0.32</v>
      </c>
      <c r="K533">
        <v>261984</v>
      </c>
      <c r="L533" t="s">
        <v>60</v>
      </c>
      <c r="M533" t="s">
        <v>88</v>
      </c>
      <c r="N533" s="25"/>
      <c r="O533">
        <v>0</v>
      </c>
    </row>
    <row r="534" spans="1:15">
      <c r="A534" t="s">
        <v>653</v>
      </c>
      <c r="B534" t="s">
        <v>55</v>
      </c>
      <c r="C534" t="s">
        <v>70</v>
      </c>
      <c r="D534" t="s">
        <v>83</v>
      </c>
      <c r="E534" t="s">
        <v>58</v>
      </c>
      <c r="F534">
        <v>43</v>
      </c>
      <c r="G534" t="s">
        <v>95</v>
      </c>
      <c r="H534" s="24">
        <v>39005</v>
      </c>
      <c r="I534">
        <v>153492</v>
      </c>
      <c r="J534">
        <v>0.11</v>
      </c>
      <c r="K534">
        <v>170376</v>
      </c>
      <c r="L534" t="s">
        <v>60</v>
      </c>
      <c r="M534" t="s">
        <v>73</v>
      </c>
      <c r="N534" s="25"/>
      <c r="O534">
        <v>0</v>
      </c>
    </row>
    <row r="535" spans="1:15">
      <c r="A535" t="s">
        <v>654</v>
      </c>
      <c r="B535" t="s">
        <v>104</v>
      </c>
      <c r="C535" t="s">
        <v>94</v>
      </c>
      <c r="D535" t="s">
        <v>83</v>
      </c>
      <c r="E535" t="s">
        <v>58</v>
      </c>
      <c r="F535">
        <v>28</v>
      </c>
      <c r="G535" t="s">
        <v>76</v>
      </c>
      <c r="H535" s="24">
        <v>43121</v>
      </c>
      <c r="I535">
        <v>208210</v>
      </c>
      <c r="J535">
        <v>0.3</v>
      </c>
      <c r="K535">
        <v>270673</v>
      </c>
      <c r="L535" t="s">
        <v>60</v>
      </c>
      <c r="M535" t="s">
        <v>61</v>
      </c>
      <c r="N535" s="25"/>
      <c r="O535">
        <v>0</v>
      </c>
    </row>
    <row r="536" spans="1:15">
      <c r="A536" t="s">
        <v>655</v>
      </c>
      <c r="B536" t="s">
        <v>78</v>
      </c>
      <c r="C536" t="s">
        <v>105</v>
      </c>
      <c r="D536" t="s">
        <v>83</v>
      </c>
      <c r="E536" t="s">
        <v>65</v>
      </c>
      <c r="F536">
        <v>33</v>
      </c>
      <c r="G536" t="s">
        <v>76</v>
      </c>
      <c r="H536" s="24">
        <v>42325</v>
      </c>
      <c r="I536">
        <v>91632</v>
      </c>
      <c r="J536">
        <v>0</v>
      </c>
      <c r="K536">
        <v>91632</v>
      </c>
      <c r="L536" t="s">
        <v>60</v>
      </c>
      <c r="M536" t="s">
        <v>79</v>
      </c>
      <c r="N536" s="25"/>
      <c r="O536">
        <v>0</v>
      </c>
    </row>
    <row r="537" spans="1:15">
      <c r="A537" t="s">
        <v>656</v>
      </c>
      <c r="B537" t="s">
        <v>154</v>
      </c>
      <c r="C537" t="s">
        <v>94</v>
      </c>
      <c r="D537" t="s">
        <v>83</v>
      </c>
      <c r="E537" t="s">
        <v>65</v>
      </c>
      <c r="F537">
        <v>31</v>
      </c>
      <c r="G537" t="s">
        <v>76</v>
      </c>
      <c r="H537" s="24">
        <v>43002</v>
      </c>
      <c r="I537">
        <v>71755</v>
      </c>
      <c r="J537">
        <v>0</v>
      </c>
      <c r="K537">
        <v>71755</v>
      </c>
      <c r="L537" t="s">
        <v>66</v>
      </c>
      <c r="M537" t="s">
        <v>67</v>
      </c>
      <c r="N537" s="25"/>
      <c r="O537">
        <v>0</v>
      </c>
    </row>
    <row r="538" spans="1:15">
      <c r="A538" t="s">
        <v>657</v>
      </c>
      <c r="B538" t="s">
        <v>85</v>
      </c>
      <c r="C538" t="s">
        <v>90</v>
      </c>
      <c r="D538" t="s">
        <v>83</v>
      </c>
      <c r="E538" t="s">
        <v>58</v>
      </c>
      <c r="F538">
        <v>52</v>
      </c>
      <c r="G538" t="s">
        <v>72</v>
      </c>
      <c r="H538" s="24">
        <v>44519</v>
      </c>
      <c r="I538">
        <v>111006</v>
      </c>
      <c r="J538">
        <v>0.08</v>
      </c>
      <c r="K538">
        <v>119886</v>
      </c>
      <c r="L538" t="s">
        <v>66</v>
      </c>
      <c r="M538" t="s">
        <v>67</v>
      </c>
      <c r="N538" s="25"/>
      <c r="O538">
        <v>0</v>
      </c>
    </row>
    <row r="539" spans="1:15">
      <c r="A539" t="s">
        <v>658</v>
      </c>
      <c r="B539" t="s">
        <v>178</v>
      </c>
      <c r="C539" t="s">
        <v>56</v>
      </c>
      <c r="D539" t="s">
        <v>83</v>
      </c>
      <c r="E539" t="s">
        <v>65</v>
      </c>
      <c r="F539">
        <v>55</v>
      </c>
      <c r="G539" t="s">
        <v>59</v>
      </c>
      <c r="H539" s="24">
        <v>34692</v>
      </c>
      <c r="I539">
        <v>99774</v>
      </c>
      <c r="J539">
        <v>0</v>
      </c>
      <c r="K539">
        <v>99774</v>
      </c>
      <c r="L539" t="s">
        <v>60</v>
      </c>
      <c r="M539" t="s">
        <v>91</v>
      </c>
      <c r="N539" s="25"/>
      <c r="O539">
        <v>0</v>
      </c>
    </row>
    <row r="540" spans="1:15">
      <c r="A540" t="s">
        <v>659</v>
      </c>
      <c r="B540" t="s">
        <v>69</v>
      </c>
      <c r="C540" t="s">
        <v>56</v>
      </c>
      <c r="D540" t="s">
        <v>57</v>
      </c>
      <c r="E540" t="s">
        <v>65</v>
      </c>
      <c r="F540">
        <v>55</v>
      </c>
      <c r="G540" t="s">
        <v>59</v>
      </c>
      <c r="H540" s="24">
        <v>39154</v>
      </c>
      <c r="I540">
        <v>184648</v>
      </c>
      <c r="J540">
        <v>0.24</v>
      </c>
      <c r="K540">
        <v>228964</v>
      </c>
      <c r="L540" t="s">
        <v>66</v>
      </c>
      <c r="M540" t="s">
        <v>101</v>
      </c>
      <c r="N540" s="25"/>
      <c r="O540">
        <v>0</v>
      </c>
    </row>
    <row r="541" spans="1:15">
      <c r="A541" t="s">
        <v>660</v>
      </c>
      <c r="B541" t="s">
        <v>104</v>
      </c>
      <c r="C541" t="s">
        <v>56</v>
      </c>
      <c r="D541" t="s">
        <v>64</v>
      </c>
      <c r="E541" t="s">
        <v>65</v>
      </c>
      <c r="F541">
        <v>51</v>
      </c>
      <c r="G541" t="s">
        <v>72</v>
      </c>
      <c r="H541" s="24">
        <v>37091</v>
      </c>
      <c r="I541">
        <v>247874</v>
      </c>
      <c r="J541">
        <v>0.33</v>
      </c>
      <c r="K541">
        <v>329672</v>
      </c>
      <c r="L541" t="s">
        <v>113</v>
      </c>
      <c r="M541" t="s">
        <v>114</v>
      </c>
      <c r="N541" s="25"/>
      <c r="O541">
        <v>0</v>
      </c>
    </row>
    <row r="542" spans="1:15">
      <c r="A542" t="s">
        <v>661</v>
      </c>
      <c r="B542" t="s">
        <v>216</v>
      </c>
      <c r="C542" t="s">
        <v>98</v>
      </c>
      <c r="D542" t="s">
        <v>64</v>
      </c>
      <c r="E542" t="s">
        <v>65</v>
      </c>
      <c r="F542">
        <v>60</v>
      </c>
      <c r="G542" t="s">
        <v>59</v>
      </c>
      <c r="H542" s="24">
        <v>39944</v>
      </c>
      <c r="I542">
        <v>62239</v>
      </c>
      <c r="J542">
        <v>0</v>
      </c>
      <c r="K542">
        <v>62239</v>
      </c>
      <c r="L542" t="s">
        <v>66</v>
      </c>
      <c r="M542" t="s">
        <v>126</v>
      </c>
      <c r="N542" s="25"/>
      <c r="O542">
        <v>0</v>
      </c>
    </row>
    <row r="543" spans="1:15">
      <c r="A543" t="s">
        <v>662</v>
      </c>
      <c r="B543" t="s">
        <v>85</v>
      </c>
      <c r="C543" t="s">
        <v>90</v>
      </c>
      <c r="D543" t="s">
        <v>71</v>
      </c>
      <c r="E543" t="s">
        <v>58</v>
      </c>
      <c r="F543">
        <v>31</v>
      </c>
      <c r="G543" t="s">
        <v>76</v>
      </c>
      <c r="H543" s="24">
        <v>41919</v>
      </c>
      <c r="I543">
        <v>114911</v>
      </c>
      <c r="J543">
        <v>0.07</v>
      </c>
      <c r="K543">
        <v>122955</v>
      </c>
      <c r="L543" t="s">
        <v>60</v>
      </c>
      <c r="M543" t="s">
        <v>73</v>
      </c>
      <c r="N543" s="25"/>
      <c r="O543">
        <v>0</v>
      </c>
    </row>
    <row r="544" spans="1:15">
      <c r="A544" t="s">
        <v>663</v>
      </c>
      <c r="B544" t="s">
        <v>125</v>
      </c>
      <c r="C544" t="s">
        <v>98</v>
      </c>
      <c r="D544" t="s">
        <v>83</v>
      </c>
      <c r="E544" t="s">
        <v>65</v>
      </c>
      <c r="F544">
        <v>45</v>
      </c>
      <c r="G544" t="s">
        <v>72</v>
      </c>
      <c r="H544" s="24">
        <v>43217</v>
      </c>
      <c r="I544">
        <v>115490</v>
      </c>
      <c r="J544">
        <v>0.12</v>
      </c>
      <c r="K544">
        <v>129349</v>
      </c>
      <c r="L544" t="s">
        <v>60</v>
      </c>
      <c r="M544" t="s">
        <v>73</v>
      </c>
      <c r="N544" s="25"/>
      <c r="O544">
        <v>0</v>
      </c>
    </row>
    <row r="545" spans="1:15">
      <c r="A545" t="s">
        <v>664</v>
      </c>
      <c r="B545" t="s">
        <v>85</v>
      </c>
      <c r="C545" t="s">
        <v>90</v>
      </c>
      <c r="D545" t="s">
        <v>71</v>
      </c>
      <c r="E545" t="s">
        <v>65</v>
      </c>
      <c r="F545">
        <v>34</v>
      </c>
      <c r="G545" t="s">
        <v>76</v>
      </c>
      <c r="H545" s="24">
        <v>40952</v>
      </c>
      <c r="I545">
        <v>118708</v>
      </c>
      <c r="J545">
        <v>0.07</v>
      </c>
      <c r="K545">
        <v>127018</v>
      </c>
      <c r="L545" t="s">
        <v>66</v>
      </c>
      <c r="M545" t="s">
        <v>101</v>
      </c>
      <c r="N545" s="25"/>
      <c r="O545">
        <v>0</v>
      </c>
    </row>
    <row r="546" spans="1:15">
      <c r="A546" t="s">
        <v>665</v>
      </c>
      <c r="B546" t="s">
        <v>69</v>
      </c>
      <c r="C546" t="s">
        <v>90</v>
      </c>
      <c r="D546" t="s">
        <v>71</v>
      </c>
      <c r="E546" t="s">
        <v>58</v>
      </c>
      <c r="F546">
        <v>29</v>
      </c>
      <c r="G546" t="s">
        <v>76</v>
      </c>
      <c r="H546" s="24">
        <v>42914</v>
      </c>
      <c r="I546">
        <v>197649</v>
      </c>
      <c r="J546">
        <v>0.2</v>
      </c>
      <c r="K546">
        <v>237179</v>
      </c>
      <c r="L546" t="s">
        <v>60</v>
      </c>
      <c r="M546" t="s">
        <v>110</v>
      </c>
      <c r="N546" s="25"/>
      <c r="O546">
        <v>0</v>
      </c>
    </row>
    <row r="547" spans="1:15">
      <c r="A547" t="s">
        <v>666</v>
      </c>
      <c r="B547" t="s">
        <v>78</v>
      </c>
      <c r="C547" t="s">
        <v>90</v>
      </c>
      <c r="D547" t="s">
        <v>71</v>
      </c>
      <c r="E547" t="s">
        <v>58</v>
      </c>
      <c r="F547">
        <v>45</v>
      </c>
      <c r="G547" t="s">
        <v>72</v>
      </c>
      <c r="H547" s="24">
        <v>43999</v>
      </c>
      <c r="I547">
        <v>89841</v>
      </c>
      <c r="J547">
        <v>0</v>
      </c>
      <c r="K547">
        <v>89841</v>
      </c>
      <c r="L547" t="s">
        <v>66</v>
      </c>
      <c r="M547" t="s">
        <v>126</v>
      </c>
      <c r="N547" s="25"/>
      <c r="O547">
        <v>0</v>
      </c>
    </row>
    <row r="548" spans="1:15">
      <c r="A548" t="s">
        <v>667</v>
      </c>
      <c r="B548" t="s">
        <v>132</v>
      </c>
      <c r="C548" t="s">
        <v>70</v>
      </c>
      <c r="D548" t="s">
        <v>71</v>
      </c>
      <c r="E548" t="s">
        <v>58</v>
      </c>
      <c r="F548">
        <v>52</v>
      </c>
      <c r="G548" t="s">
        <v>72</v>
      </c>
      <c r="H548" s="24">
        <v>43819</v>
      </c>
      <c r="I548">
        <v>61026</v>
      </c>
      <c r="J548">
        <v>0</v>
      </c>
      <c r="K548">
        <v>61026</v>
      </c>
      <c r="L548" t="s">
        <v>60</v>
      </c>
      <c r="M548" t="s">
        <v>79</v>
      </c>
      <c r="N548" s="25"/>
      <c r="O548">
        <v>0</v>
      </c>
    </row>
    <row r="549" spans="1:15">
      <c r="A549" t="s">
        <v>668</v>
      </c>
      <c r="B549" t="s">
        <v>97</v>
      </c>
      <c r="C549" t="s">
        <v>98</v>
      </c>
      <c r="D549" t="s">
        <v>71</v>
      </c>
      <c r="E549" t="s">
        <v>58</v>
      </c>
      <c r="F549">
        <v>48</v>
      </c>
      <c r="G549" t="s">
        <v>72</v>
      </c>
      <c r="H549" s="24">
        <v>41907</v>
      </c>
      <c r="I549">
        <v>96693</v>
      </c>
      <c r="J549">
        <v>0</v>
      </c>
      <c r="K549">
        <v>96693</v>
      </c>
      <c r="L549" t="s">
        <v>60</v>
      </c>
      <c r="M549" t="s">
        <v>73</v>
      </c>
      <c r="N549" s="25"/>
      <c r="O549">
        <v>0</v>
      </c>
    </row>
    <row r="550" spans="1:15">
      <c r="A550" t="s">
        <v>669</v>
      </c>
      <c r="B550" t="s">
        <v>187</v>
      </c>
      <c r="C550" t="s">
        <v>98</v>
      </c>
      <c r="D550" t="s">
        <v>71</v>
      </c>
      <c r="E550" t="s">
        <v>58</v>
      </c>
      <c r="F550">
        <v>48</v>
      </c>
      <c r="G550" t="s">
        <v>72</v>
      </c>
      <c r="H550" s="24">
        <v>39991</v>
      </c>
      <c r="I550">
        <v>82907</v>
      </c>
      <c r="J550">
        <v>0</v>
      </c>
      <c r="K550">
        <v>82907</v>
      </c>
      <c r="L550" t="s">
        <v>60</v>
      </c>
      <c r="M550" t="s">
        <v>61</v>
      </c>
      <c r="N550" s="25"/>
      <c r="O550">
        <v>0</v>
      </c>
    </row>
    <row r="551" spans="1:15">
      <c r="A551" t="s">
        <v>670</v>
      </c>
      <c r="B551" t="s">
        <v>104</v>
      </c>
      <c r="C551" t="s">
        <v>105</v>
      </c>
      <c r="D551" t="s">
        <v>83</v>
      </c>
      <c r="E551" t="s">
        <v>65</v>
      </c>
      <c r="F551">
        <v>41</v>
      </c>
      <c r="G551" t="s">
        <v>95</v>
      </c>
      <c r="H551" s="24">
        <v>41916</v>
      </c>
      <c r="I551">
        <v>257194</v>
      </c>
      <c r="J551">
        <v>0.35</v>
      </c>
      <c r="K551">
        <v>347212</v>
      </c>
      <c r="L551" t="s">
        <v>66</v>
      </c>
      <c r="M551" t="s">
        <v>67</v>
      </c>
      <c r="N551" s="25"/>
      <c r="O551">
        <v>0</v>
      </c>
    </row>
    <row r="552" spans="1:15">
      <c r="A552" t="s">
        <v>671</v>
      </c>
      <c r="B552" t="s">
        <v>122</v>
      </c>
      <c r="C552" t="s">
        <v>98</v>
      </c>
      <c r="D552" t="s">
        <v>57</v>
      </c>
      <c r="E552" t="s">
        <v>65</v>
      </c>
      <c r="F552">
        <v>41</v>
      </c>
      <c r="G552" t="s">
        <v>95</v>
      </c>
      <c r="H552" s="24">
        <v>40929</v>
      </c>
      <c r="I552">
        <v>94658</v>
      </c>
      <c r="J552">
        <v>0</v>
      </c>
      <c r="K552">
        <v>94658</v>
      </c>
      <c r="L552" t="s">
        <v>60</v>
      </c>
      <c r="M552" t="s">
        <v>88</v>
      </c>
      <c r="N552" s="25"/>
      <c r="O552">
        <v>0</v>
      </c>
    </row>
    <row r="553" spans="1:15">
      <c r="A553" t="s">
        <v>672</v>
      </c>
      <c r="B553" t="s">
        <v>122</v>
      </c>
      <c r="C553" t="s">
        <v>98</v>
      </c>
      <c r="D553" t="s">
        <v>57</v>
      </c>
      <c r="E553" t="s">
        <v>65</v>
      </c>
      <c r="F553">
        <v>55</v>
      </c>
      <c r="G553" t="s">
        <v>59</v>
      </c>
      <c r="H553" s="24">
        <v>40663</v>
      </c>
      <c r="I553">
        <v>89419</v>
      </c>
      <c r="J553">
        <v>0</v>
      </c>
      <c r="K553">
        <v>89419</v>
      </c>
      <c r="L553" t="s">
        <v>66</v>
      </c>
      <c r="M553" t="s">
        <v>101</v>
      </c>
      <c r="N553" s="25"/>
      <c r="O553">
        <v>0</v>
      </c>
    </row>
    <row r="554" spans="1:15">
      <c r="A554" t="s">
        <v>673</v>
      </c>
      <c r="B554" t="s">
        <v>154</v>
      </c>
      <c r="C554" t="s">
        <v>94</v>
      </c>
      <c r="D554" t="s">
        <v>64</v>
      </c>
      <c r="E554" t="s">
        <v>65</v>
      </c>
      <c r="F554">
        <v>45</v>
      </c>
      <c r="G554" t="s">
        <v>72</v>
      </c>
      <c r="H554" s="24">
        <v>42357</v>
      </c>
      <c r="I554">
        <v>51983</v>
      </c>
      <c r="J554">
        <v>0</v>
      </c>
      <c r="K554">
        <v>51983</v>
      </c>
      <c r="L554" t="s">
        <v>60</v>
      </c>
      <c r="M554" t="s">
        <v>110</v>
      </c>
      <c r="N554" s="25"/>
      <c r="O554">
        <v>0</v>
      </c>
    </row>
    <row r="555" spans="1:15">
      <c r="A555" t="s">
        <v>674</v>
      </c>
      <c r="B555" t="s">
        <v>69</v>
      </c>
      <c r="C555" t="s">
        <v>70</v>
      </c>
      <c r="D555" t="s">
        <v>83</v>
      </c>
      <c r="E555" t="s">
        <v>58</v>
      </c>
      <c r="F555">
        <v>53</v>
      </c>
      <c r="G555" t="s">
        <v>72</v>
      </c>
      <c r="H555" s="24">
        <v>37304</v>
      </c>
      <c r="I555">
        <v>179494</v>
      </c>
      <c r="J555">
        <v>0.2</v>
      </c>
      <c r="K555">
        <v>215393</v>
      </c>
      <c r="L555" t="s">
        <v>66</v>
      </c>
      <c r="M555" t="s">
        <v>67</v>
      </c>
      <c r="N555" s="25"/>
      <c r="O555">
        <v>0</v>
      </c>
    </row>
    <row r="556" spans="1:15">
      <c r="A556" t="s">
        <v>675</v>
      </c>
      <c r="B556" t="s">
        <v>303</v>
      </c>
      <c r="C556" t="s">
        <v>56</v>
      </c>
      <c r="D556" t="s">
        <v>83</v>
      </c>
      <c r="E556" t="s">
        <v>65</v>
      </c>
      <c r="F556">
        <v>49</v>
      </c>
      <c r="G556" t="s">
        <v>72</v>
      </c>
      <c r="H556" s="24">
        <v>42545</v>
      </c>
      <c r="I556">
        <v>68426</v>
      </c>
      <c r="J556">
        <v>0</v>
      </c>
      <c r="K556">
        <v>68426</v>
      </c>
      <c r="L556" t="s">
        <v>113</v>
      </c>
      <c r="M556" t="s">
        <v>117</v>
      </c>
      <c r="N556" s="25"/>
      <c r="O556">
        <v>0</v>
      </c>
    </row>
    <row r="557" spans="1:15">
      <c r="A557" t="s">
        <v>676</v>
      </c>
      <c r="B557" t="s">
        <v>55</v>
      </c>
      <c r="C557" t="s">
        <v>70</v>
      </c>
      <c r="D557" t="s">
        <v>83</v>
      </c>
      <c r="E557" t="s">
        <v>58</v>
      </c>
      <c r="F557">
        <v>55</v>
      </c>
      <c r="G557" t="s">
        <v>59</v>
      </c>
      <c r="H557" s="24">
        <v>42772</v>
      </c>
      <c r="I557">
        <v>144986</v>
      </c>
      <c r="J557">
        <v>0.12</v>
      </c>
      <c r="K557">
        <v>162384</v>
      </c>
      <c r="L557" t="s">
        <v>60</v>
      </c>
      <c r="M557" t="s">
        <v>79</v>
      </c>
      <c r="N557" s="25"/>
      <c r="O557">
        <v>0</v>
      </c>
    </row>
    <row r="558" spans="1:15">
      <c r="A558" t="s">
        <v>677</v>
      </c>
      <c r="B558" t="s">
        <v>81</v>
      </c>
      <c r="C558" t="s">
        <v>82</v>
      </c>
      <c r="D558" t="s">
        <v>71</v>
      </c>
      <c r="E558" t="s">
        <v>58</v>
      </c>
      <c r="F558">
        <v>45</v>
      </c>
      <c r="G558" t="s">
        <v>72</v>
      </c>
      <c r="H558" s="24">
        <v>36754</v>
      </c>
      <c r="I558">
        <v>60113</v>
      </c>
      <c r="J558">
        <v>0</v>
      </c>
      <c r="K558">
        <v>60113</v>
      </c>
      <c r="L558" t="s">
        <v>60</v>
      </c>
      <c r="M558" t="s">
        <v>73</v>
      </c>
      <c r="N558" s="25"/>
      <c r="O558">
        <v>0</v>
      </c>
    </row>
    <row r="559" spans="1:15">
      <c r="A559" t="s">
        <v>678</v>
      </c>
      <c r="B559" t="s">
        <v>154</v>
      </c>
      <c r="C559" t="s">
        <v>94</v>
      </c>
      <c r="D559" t="s">
        <v>57</v>
      </c>
      <c r="E559" t="s">
        <v>58</v>
      </c>
      <c r="F559">
        <v>52</v>
      </c>
      <c r="G559" t="s">
        <v>72</v>
      </c>
      <c r="H559" s="24">
        <v>44304</v>
      </c>
      <c r="I559">
        <v>50548</v>
      </c>
      <c r="J559">
        <v>0</v>
      </c>
      <c r="K559">
        <v>50548</v>
      </c>
      <c r="L559" t="s">
        <v>113</v>
      </c>
      <c r="M559" t="s">
        <v>184</v>
      </c>
      <c r="N559" s="25"/>
      <c r="O559">
        <v>0</v>
      </c>
    </row>
    <row r="560" spans="1:15">
      <c r="A560" t="s">
        <v>679</v>
      </c>
      <c r="B560" t="s">
        <v>132</v>
      </c>
      <c r="C560" t="s">
        <v>105</v>
      </c>
      <c r="D560" t="s">
        <v>64</v>
      </c>
      <c r="E560" t="s">
        <v>58</v>
      </c>
      <c r="F560">
        <v>33</v>
      </c>
      <c r="G560" t="s">
        <v>76</v>
      </c>
      <c r="H560" s="24">
        <v>43904</v>
      </c>
      <c r="I560">
        <v>68846</v>
      </c>
      <c r="J560">
        <v>0</v>
      </c>
      <c r="K560">
        <v>68846</v>
      </c>
      <c r="L560" t="s">
        <v>60</v>
      </c>
      <c r="M560" t="s">
        <v>73</v>
      </c>
      <c r="N560" s="25"/>
      <c r="O560">
        <v>0</v>
      </c>
    </row>
    <row r="561" spans="1:15">
      <c r="A561" t="s">
        <v>680</v>
      </c>
      <c r="B561" t="s">
        <v>266</v>
      </c>
      <c r="C561" t="s">
        <v>56</v>
      </c>
      <c r="D561" t="s">
        <v>83</v>
      </c>
      <c r="E561" t="s">
        <v>58</v>
      </c>
      <c r="F561">
        <v>59</v>
      </c>
      <c r="G561" t="s">
        <v>59</v>
      </c>
      <c r="H561" s="24">
        <v>41717</v>
      </c>
      <c r="I561">
        <v>90901</v>
      </c>
      <c r="J561">
        <v>0</v>
      </c>
      <c r="K561">
        <v>90901</v>
      </c>
      <c r="L561" t="s">
        <v>60</v>
      </c>
      <c r="M561" t="s">
        <v>61</v>
      </c>
      <c r="N561" s="25"/>
      <c r="O561">
        <v>0</v>
      </c>
    </row>
    <row r="562" spans="1:15">
      <c r="A562" t="s">
        <v>681</v>
      </c>
      <c r="B562" t="s">
        <v>85</v>
      </c>
      <c r="C562" t="s">
        <v>90</v>
      </c>
      <c r="D562" t="s">
        <v>83</v>
      </c>
      <c r="E562" t="s">
        <v>58</v>
      </c>
      <c r="F562">
        <v>50</v>
      </c>
      <c r="G562" t="s">
        <v>72</v>
      </c>
      <c r="H562" s="24">
        <v>41155</v>
      </c>
      <c r="I562">
        <v>102033</v>
      </c>
      <c r="J562">
        <v>0.08</v>
      </c>
      <c r="K562">
        <v>110196</v>
      </c>
      <c r="L562" t="s">
        <v>60</v>
      </c>
      <c r="M562" t="s">
        <v>91</v>
      </c>
      <c r="N562" s="25"/>
      <c r="O562">
        <v>0</v>
      </c>
    </row>
    <row r="563" spans="1:15">
      <c r="A563" t="s">
        <v>682</v>
      </c>
      <c r="B563" t="s">
        <v>69</v>
      </c>
      <c r="C563" t="s">
        <v>82</v>
      </c>
      <c r="D563" t="s">
        <v>64</v>
      </c>
      <c r="E563" t="s">
        <v>58</v>
      </c>
      <c r="F563">
        <v>61</v>
      </c>
      <c r="G563" t="s">
        <v>59</v>
      </c>
      <c r="H563" s="24">
        <v>44219</v>
      </c>
      <c r="I563">
        <v>151783</v>
      </c>
      <c r="J563">
        <v>0.26</v>
      </c>
      <c r="K563">
        <v>191247</v>
      </c>
      <c r="L563" t="s">
        <v>60</v>
      </c>
      <c r="M563" t="s">
        <v>61</v>
      </c>
      <c r="N563" s="25"/>
      <c r="O563">
        <v>0</v>
      </c>
    </row>
    <row r="564" spans="1:15">
      <c r="A564" t="s">
        <v>683</v>
      </c>
      <c r="B564" t="s">
        <v>69</v>
      </c>
      <c r="C564" t="s">
        <v>98</v>
      </c>
      <c r="D564" t="s">
        <v>83</v>
      </c>
      <c r="E564" t="s">
        <v>58</v>
      </c>
      <c r="F564">
        <v>27</v>
      </c>
      <c r="G564" t="s">
        <v>76</v>
      </c>
      <c r="H564" s="24">
        <v>43441</v>
      </c>
      <c r="I564">
        <v>170164</v>
      </c>
      <c r="J564">
        <v>0.17</v>
      </c>
      <c r="K564">
        <v>199092</v>
      </c>
      <c r="L564" t="s">
        <v>60</v>
      </c>
      <c r="M564" t="s">
        <v>91</v>
      </c>
      <c r="N564" s="25"/>
      <c r="O564">
        <v>0</v>
      </c>
    </row>
    <row r="565" spans="1:15">
      <c r="A565" t="s">
        <v>684</v>
      </c>
      <c r="B565" t="s">
        <v>55</v>
      </c>
      <c r="C565" t="s">
        <v>105</v>
      </c>
      <c r="D565" t="s">
        <v>71</v>
      </c>
      <c r="E565" t="s">
        <v>58</v>
      </c>
      <c r="F565">
        <v>35</v>
      </c>
      <c r="G565" t="s">
        <v>95</v>
      </c>
      <c r="H565" s="24">
        <v>41690</v>
      </c>
      <c r="I565">
        <v>155905</v>
      </c>
      <c r="J565">
        <v>0.14</v>
      </c>
      <c r="K565">
        <v>177732</v>
      </c>
      <c r="L565" t="s">
        <v>60</v>
      </c>
      <c r="M565" t="s">
        <v>79</v>
      </c>
      <c r="N565" s="25"/>
      <c r="O565">
        <v>0</v>
      </c>
    </row>
    <row r="566" spans="1:15">
      <c r="A566" t="s">
        <v>685</v>
      </c>
      <c r="B566" t="s">
        <v>87</v>
      </c>
      <c r="C566" t="s">
        <v>82</v>
      </c>
      <c r="D566" t="s">
        <v>83</v>
      </c>
      <c r="E566" t="s">
        <v>65</v>
      </c>
      <c r="F566">
        <v>40</v>
      </c>
      <c r="G566" t="s">
        <v>95</v>
      </c>
      <c r="H566" s="24">
        <v>42721</v>
      </c>
      <c r="I566">
        <v>50733</v>
      </c>
      <c r="J566">
        <v>0</v>
      </c>
      <c r="K566">
        <v>50733</v>
      </c>
      <c r="L566" t="s">
        <v>60</v>
      </c>
      <c r="M566" t="s">
        <v>88</v>
      </c>
      <c r="N566" s="25"/>
      <c r="O566">
        <v>0</v>
      </c>
    </row>
    <row r="567" spans="1:15">
      <c r="A567" t="s">
        <v>686</v>
      </c>
      <c r="B567" t="s">
        <v>143</v>
      </c>
      <c r="C567" t="s">
        <v>94</v>
      </c>
      <c r="D567" t="s">
        <v>83</v>
      </c>
      <c r="E567" t="s">
        <v>58</v>
      </c>
      <c r="F567">
        <v>30</v>
      </c>
      <c r="G567" t="s">
        <v>76</v>
      </c>
      <c r="H567" s="24">
        <v>42761</v>
      </c>
      <c r="I567">
        <v>88663</v>
      </c>
      <c r="J567">
        <v>0</v>
      </c>
      <c r="K567">
        <v>88663</v>
      </c>
      <c r="L567" t="s">
        <v>60</v>
      </c>
      <c r="M567" t="s">
        <v>79</v>
      </c>
      <c r="N567" s="25"/>
      <c r="O567">
        <v>0</v>
      </c>
    </row>
    <row r="568" spans="1:15">
      <c r="A568" t="s">
        <v>687</v>
      </c>
      <c r="B568" t="s">
        <v>160</v>
      </c>
      <c r="C568" t="s">
        <v>98</v>
      </c>
      <c r="D568" t="s">
        <v>64</v>
      </c>
      <c r="E568" t="s">
        <v>65</v>
      </c>
      <c r="F568">
        <v>60</v>
      </c>
      <c r="G568" t="s">
        <v>59</v>
      </c>
      <c r="H568" s="24">
        <v>33890</v>
      </c>
      <c r="I568">
        <v>88213</v>
      </c>
      <c r="J568">
        <v>0</v>
      </c>
      <c r="K568">
        <v>88213</v>
      </c>
      <c r="L568" t="s">
        <v>66</v>
      </c>
      <c r="M568" t="s">
        <v>67</v>
      </c>
      <c r="N568" s="25"/>
      <c r="O568">
        <v>0</v>
      </c>
    </row>
    <row r="569" spans="1:15">
      <c r="A569" t="s">
        <v>688</v>
      </c>
      <c r="B569" t="s">
        <v>132</v>
      </c>
      <c r="C569" t="s">
        <v>82</v>
      </c>
      <c r="D569" t="s">
        <v>71</v>
      </c>
      <c r="E569" t="s">
        <v>65</v>
      </c>
      <c r="F569">
        <v>55</v>
      </c>
      <c r="G569" t="s">
        <v>59</v>
      </c>
      <c r="H569" s="24">
        <v>44410</v>
      </c>
      <c r="I569">
        <v>67130</v>
      </c>
      <c r="J569">
        <v>0</v>
      </c>
      <c r="K569">
        <v>67130</v>
      </c>
      <c r="L569" t="s">
        <v>60</v>
      </c>
      <c r="M569" t="s">
        <v>88</v>
      </c>
      <c r="N569" s="25"/>
      <c r="O569">
        <v>0</v>
      </c>
    </row>
    <row r="570" spans="1:15">
      <c r="A570" t="s">
        <v>689</v>
      </c>
      <c r="B570" t="s">
        <v>78</v>
      </c>
      <c r="C570" t="s">
        <v>70</v>
      </c>
      <c r="D570" t="s">
        <v>71</v>
      </c>
      <c r="E570" t="s">
        <v>58</v>
      </c>
      <c r="F570">
        <v>33</v>
      </c>
      <c r="G570" t="s">
        <v>76</v>
      </c>
      <c r="H570" s="24">
        <v>42285</v>
      </c>
      <c r="I570">
        <v>94876</v>
      </c>
      <c r="J570">
        <v>0</v>
      </c>
      <c r="K570">
        <v>94876</v>
      </c>
      <c r="L570" t="s">
        <v>60</v>
      </c>
      <c r="M570" t="s">
        <v>88</v>
      </c>
      <c r="N570" s="25"/>
      <c r="O570">
        <v>0</v>
      </c>
    </row>
    <row r="571" spans="1:15">
      <c r="A571" t="s">
        <v>690</v>
      </c>
      <c r="B571" t="s">
        <v>216</v>
      </c>
      <c r="C571" t="s">
        <v>98</v>
      </c>
      <c r="D571" t="s">
        <v>71</v>
      </c>
      <c r="E571" t="s">
        <v>65</v>
      </c>
      <c r="F571">
        <v>62</v>
      </c>
      <c r="G571" t="s">
        <v>59</v>
      </c>
      <c r="H571" s="24">
        <v>34616</v>
      </c>
      <c r="I571">
        <v>98230</v>
      </c>
      <c r="J571">
        <v>0</v>
      </c>
      <c r="K571">
        <v>98230</v>
      </c>
      <c r="L571" t="s">
        <v>60</v>
      </c>
      <c r="M571" t="s">
        <v>88</v>
      </c>
      <c r="N571" s="25"/>
      <c r="O571">
        <v>0</v>
      </c>
    </row>
    <row r="572" spans="1:15">
      <c r="A572" t="s">
        <v>691</v>
      </c>
      <c r="B572" t="s">
        <v>187</v>
      </c>
      <c r="C572" t="s">
        <v>98</v>
      </c>
      <c r="D572" t="s">
        <v>57</v>
      </c>
      <c r="E572" t="s">
        <v>58</v>
      </c>
      <c r="F572">
        <v>36</v>
      </c>
      <c r="G572" t="s">
        <v>95</v>
      </c>
      <c r="H572" s="24">
        <v>43448</v>
      </c>
      <c r="I572">
        <v>96757</v>
      </c>
      <c r="J572">
        <v>0</v>
      </c>
      <c r="K572">
        <v>96757</v>
      </c>
      <c r="L572" t="s">
        <v>60</v>
      </c>
      <c r="M572" t="s">
        <v>110</v>
      </c>
      <c r="N572" s="25"/>
      <c r="O572">
        <v>0</v>
      </c>
    </row>
    <row r="573" spans="1:15">
      <c r="A573" t="s">
        <v>692</v>
      </c>
      <c r="B573" t="s">
        <v>132</v>
      </c>
      <c r="C573" t="s">
        <v>105</v>
      </c>
      <c r="D573" t="s">
        <v>64</v>
      </c>
      <c r="E573" t="s">
        <v>65</v>
      </c>
      <c r="F573">
        <v>35</v>
      </c>
      <c r="G573" t="s">
        <v>95</v>
      </c>
      <c r="H573" s="24">
        <v>44015</v>
      </c>
      <c r="I573">
        <v>51513</v>
      </c>
      <c r="J573">
        <v>0</v>
      </c>
      <c r="K573">
        <v>51513</v>
      </c>
      <c r="L573" t="s">
        <v>60</v>
      </c>
      <c r="M573" t="s">
        <v>110</v>
      </c>
      <c r="N573" s="25"/>
      <c r="O573">
        <v>0</v>
      </c>
    </row>
    <row r="574" spans="1:15">
      <c r="A574" t="s">
        <v>693</v>
      </c>
      <c r="B574" t="s">
        <v>104</v>
      </c>
      <c r="C574" t="s">
        <v>105</v>
      </c>
      <c r="D574" t="s">
        <v>83</v>
      </c>
      <c r="E574" t="s">
        <v>65</v>
      </c>
      <c r="F574">
        <v>60</v>
      </c>
      <c r="G574" t="s">
        <v>59</v>
      </c>
      <c r="H574" s="24">
        <v>39109</v>
      </c>
      <c r="I574">
        <v>234311</v>
      </c>
      <c r="J574">
        <v>0.37</v>
      </c>
      <c r="K574">
        <v>321006</v>
      </c>
      <c r="L574" t="s">
        <v>60</v>
      </c>
      <c r="M574" t="s">
        <v>88</v>
      </c>
      <c r="N574" s="25"/>
      <c r="O574">
        <v>0</v>
      </c>
    </row>
    <row r="575" spans="1:15">
      <c r="A575" t="s">
        <v>694</v>
      </c>
      <c r="B575" t="s">
        <v>55</v>
      </c>
      <c r="C575" t="s">
        <v>94</v>
      </c>
      <c r="D575" t="s">
        <v>71</v>
      </c>
      <c r="E575" t="s">
        <v>58</v>
      </c>
      <c r="F575">
        <v>45</v>
      </c>
      <c r="G575" t="s">
        <v>72</v>
      </c>
      <c r="H575" s="24">
        <v>40685</v>
      </c>
      <c r="I575">
        <v>152353</v>
      </c>
      <c r="J575">
        <v>0.14</v>
      </c>
      <c r="K575">
        <v>173682</v>
      </c>
      <c r="L575" t="s">
        <v>60</v>
      </c>
      <c r="M575" t="s">
        <v>61</v>
      </c>
      <c r="N575" s="25"/>
      <c r="O575">
        <v>0</v>
      </c>
    </row>
    <row r="576" spans="1:15">
      <c r="A576" t="s">
        <v>695</v>
      </c>
      <c r="B576" t="s">
        <v>55</v>
      </c>
      <c r="C576" t="s">
        <v>90</v>
      </c>
      <c r="D576" t="s">
        <v>71</v>
      </c>
      <c r="E576" t="s">
        <v>58</v>
      </c>
      <c r="F576">
        <v>48</v>
      </c>
      <c r="G576" t="s">
        <v>72</v>
      </c>
      <c r="H576" s="24">
        <v>40389</v>
      </c>
      <c r="I576">
        <v>124774</v>
      </c>
      <c r="J576">
        <v>0.12</v>
      </c>
      <c r="K576">
        <v>139747</v>
      </c>
      <c r="L576" t="s">
        <v>60</v>
      </c>
      <c r="M576" t="s">
        <v>79</v>
      </c>
      <c r="N576" s="25"/>
      <c r="O576">
        <v>0</v>
      </c>
    </row>
    <row r="577" spans="1:15">
      <c r="A577" t="s">
        <v>696</v>
      </c>
      <c r="B577" t="s">
        <v>69</v>
      </c>
      <c r="C577" t="s">
        <v>105</v>
      </c>
      <c r="D577" t="s">
        <v>83</v>
      </c>
      <c r="E577" t="s">
        <v>58</v>
      </c>
      <c r="F577">
        <v>36</v>
      </c>
      <c r="G577" t="s">
        <v>95</v>
      </c>
      <c r="H577" s="24">
        <v>40434</v>
      </c>
      <c r="I577">
        <v>157070</v>
      </c>
      <c r="J577">
        <v>0.28</v>
      </c>
      <c r="K577">
        <v>201050</v>
      </c>
      <c r="L577" t="s">
        <v>66</v>
      </c>
      <c r="M577" t="s">
        <v>67</v>
      </c>
      <c r="N577" s="25"/>
      <c r="O577">
        <v>0</v>
      </c>
    </row>
    <row r="578" spans="1:15">
      <c r="A578" t="s">
        <v>697</v>
      </c>
      <c r="B578" t="s">
        <v>55</v>
      </c>
      <c r="C578" t="s">
        <v>70</v>
      </c>
      <c r="D578" t="s">
        <v>71</v>
      </c>
      <c r="E578" t="s">
        <v>65</v>
      </c>
      <c r="F578">
        <v>44</v>
      </c>
      <c r="G578" t="s">
        <v>95</v>
      </c>
      <c r="H578" s="24">
        <v>43685</v>
      </c>
      <c r="I578">
        <v>130133</v>
      </c>
      <c r="J578">
        <v>0.15</v>
      </c>
      <c r="K578">
        <v>149653</v>
      </c>
      <c r="L578" t="s">
        <v>60</v>
      </c>
      <c r="M578" t="s">
        <v>91</v>
      </c>
      <c r="N578" s="25">
        <v>44699</v>
      </c>
      <c r="O578">
        <v>1</v>
      </c>
    </row>
    <row r="579" spans="1:15">
      <c r="A579" t="s">
        <v>698</v>
      </c>
      <c r="B579" t="s">
        <v>85</v>
      </c>
      <c r="C579" t="s">
        <v>105</v>
      </c>
      <c r="D579" t="s">
        <v>64</v>
      </c>
      <c r="E579" t="s">
        <v>58</v>
      </c>
      <c r="F579">
        <v>64</v>
      </c>
      <c r="G579" t="s">
        <v>59</v>
      </c>
      <c r="H579" s="24">
        <v>43729</v>
      </c>
      <c r="I579">
        <v>108780</v>
      </c>
      <c r="J579">
        <v>0.06</v>
      </c>
      <c r="K579">
        <v>115307</v>
      </c>
      <c r="L579" t="s">
        <v>66</v>
      </c>
      <c r="M579" t="s">
        <v>101</v>
      </c>
      <c r="N579" s="25"/>
      <c r="O579">
        <v>0</v>
      </c>
    </row>
    <row r="580" spans="1:15">
      <c r="A580" t="s">
        <v>699</v>
      </c>
      <c r="B580" t="s">
        <v>69</v>
      </c>
      <c r="C580" t="s">
        <v>98</v>
      </c>
      <c r="D580" t="s">
        <v>71</v>
      </c>
      <c r="E580" t="s">
        <v>58</v>
      </c>
      <c r="F580">
        <v>46</v>
      </c>
      <c r="G580" t="s">
        <v>72</v>
      </c>
      <c r="H580" s="24">
        <v>44125</v>
      </c>
      <c r="I580">
        <v>151853</v>
      </c>
      <c r="J580">
        <v>0.16</v>
      </c>
      <c r="K580">
        <v>176149</v>
      </c>
      <c r="L580" t="s">
        <v>66</v>
      </c>
      <c r="M580" t="s">
        <v>138</v>
      </c>
      <c r="N580" s="25"/>
      <c r="O580">
        <v>0</v>
      </c>
    </row>
    <row r="581" spans="1:15">
      <c r="A581" t="s">
        <v>700</v>
      </c>
      <c r="B581" t="s">
        <v>81</v>
      </c>
      <c r="C581" t="s">
        <v>82</v>
      </c>
      <c r="D581" t="s">
        <v>64</v>
      </c>
      <c r="E581" t="s">
        <v>58</v>
      </c>
      <c r="F581">
        <v>62</v>
      </c>
      <c r="G581" t="s">
        <v>59</v>
      </c>
      <c r="H581" s="24">
        <v>38977</v>
      </c>
      <c r="I581">
        <v>64669</v>
      </c>
      <c r="J581">
        <v>0</v>
      </c>
      <c r="K581">
        <v>64669</v>
      </c>
      <c r="L581" t="s">
        <v>66</v>
      </c>
      <c r="M581" t="s">
        <v>67</v>
      </c>
      <c r="N581" s="25"/>
      <c r="O581">
        <v>0</v>
      </c>
    </row>
    <row r="582" spans="1:15">
      <c r="A582" t="s">
        <v>701</v>
      </c>
      <c r="B582" t="s">
        <v>132</v>
      </c>
      <c r="C582" t="s">
        <v>105</v>
      </c>
      <c r="D582" t="s">
        <v>57</v>
      </c>
      <c r="E582" t="s">
        <v>65</v>
      </c>
      <c r="F582">
        <v>61</v>
      </c>
      <c r="G582" t="s">
        <v>59</v>
      </c>
      <c r="H582" s="24">
        <v>39568</v>
      </c>
      <c r="I582">
        <v>69352</v>
      </c>
      <c r="J582">
        <v>0</v>
      </c>
      <c r="K582">
        <v>69352</v>
      </c>
      <c r="L582" t="s">
        <v>113</v>
      </c>
      <c r="M582" t="s">
        <v>117</v>
      </c>
      <c r="N582" s="25"/>
      <c r="O582">
        <v>0</v>
      </c>
    </row>
    <row r="583" spans="1:15">
      <c r="A583" t="s">
        <v>702</v>
      </c>
      <c r="B583" t="s">
        <v>132</v>
      </c>
      <c r="C583" t="s">
        <v>105</v>
      </c>
      <c r="D583" t="s">
        <v>57</v>
      </c>
      <c r="E583" t="s">
        <v>65</v>
      </c>
      <c r="F583">
        <v>65</v>
      </c>
      <c r="G583" t="s">
        <v>107</v>
      </c>
      <c r="H583" s="24">
        <v>37181</v>
      </c>
      <c r="I583">
        <v>74631</v>
      </c>
      <c r="J583">
        <v>0</v>
      </c>
      <c r="K583">
        <v>74631</v>
      </c>
      <c r="L583" t="s">
        <v>66</v>
      </c>
      <c r="M583" t="s">
        <v>67</v>
      </c>
      <c r="N583" s="25"/>
      <c r="O583">
        <v>0</v>
      </c>
    </row>
    <row r="584" spans="1:15">
      <c r="A584" t="s">
        <v>703</v>
      </c>
      <c r="B584" t="s">
        <v>122</v>
      </c>
      <c r="C584" t="s">
        <v>98</v>
      </c>
      <c r="D584" t="s">
        <v>71</v>
      </c>
      <c r="E584" t="s">
        <v>65</v>
      </c>
      <c r="F584">
        <v>54</v>
      </c>
      <c r="G584" t="s">
        <v>72</v>
      </c>
      <c r="H584" s="24">
        <v>41028</v>
      </c>
      <c r="I584">
        <v>96441</v>
      </c>
      <c r="J584">
        <v>0</v>
      </c>
      <c r="K584">
        <v>96441</v>
      </c>
      <c r="L584" t="s">
        <v>113</v>
      </c>
      <c r="M584" t="s">
        <v>184</v>
      </c>
      <c r="N584" s="25"/>
      <c r="O584">
        <v>0</v>
      </c>
    </row>
    <row r="585" spans="1:15">
      <c r="A585" t="s">
        <v>704</v>
      </c>
      <c r="B585" t="s">
        <v>125</v>
      </c>
      <c r="C585" t="s">
        <v>98</v>
      </c>
      <c r="D585" t="s">
        <v>71</v>
      </c>
      <c r="E585" t="s">
        <v>65</v>
      </c>
      <c r="F585">
        <v>46</v>
      </c>
      <c r="G585" t="s">
        <v>72</v>
      </c>
      <c r="H585" s="24">
        <v>40836</v>
      </c>
      <c r="I585">
        <v>114250</v>
      </c>
      <c r="J585">
        <v>0.14</v>
      </c>
      <c r="K585">
        <v>130245</v>
      </c>
      <c r="L585" t="s">
        <v>66</v>
      </c>
      <c r="M585" t="s">
        <v>138</v>
      </c>
      <c r="N585" s="25"/>
      <c r="O585">
        <v>0</v>
      </c>
    </row>
    <row r="586" spans="1:15">
      <c r="A586" t="s">
        <v>705</v>
      </c>
      <c r="B586" t="s">
        <v>75</v>
      </c>
      <c r="C586" t="s">
        <v>56</v>
      </c>
      <c r="D586" t="s">
        <v>83</v>
      </c>
      <c r="E586" t="s">
        <v>65</v>
      </c>
      <c r="F586">
        <v>36</v>
      </c>
      <c r="G586" t="s">
        <v>95</v>
      </c>
      <c r="H586" s="24">
        <v>44192</v>
      </c>
      <c r="I586">
        <v>70165</v>
      </c>
      <c r="J586">
        <v>0.07</v>
      </c>
      <c r="K586">
        <v>75077</v>
      </c>
      <c r="L586" t="s">
        <v>113</v>
      </c>
      <c r="M586" t="s">
        <v>114</v>
      </c>
      <c r="N586" s="25"/>
      <c r="O586">
        <v>0</v>
      </c>
    </row>
    <row r="587" spans="1:15">
      <c r="A587" t="s">
        <v>706</v>
      </c>
      <c r="B587" t="s">
        <v>85</v>
      </c>
      <c r="C587" t="s">
        <v>56</v>
      </c>
      <c r="D587" t="s">
        <v>83</v>
      </c>
      <c r="E587" t="s">
        <v>65</v>
      </c>
      <c r="F587">
        <v>60</v>
      </c>
      <c r="G587" t="s">
        <v>59</v>
      </c>
      <c r="H587" s="24">
        <v>36554</v>
      </c>
      <c r="I587">
        <v>109059</v>
      </c>
      <c r="J587">
        <v>0.07</v>
      </c>
      <c r="K587">
        <v>116693</v>
      </c>
      <c r="L587" t="s">
        <v>66</v>
      </c>
      <c r="M587" t="s">
        <v>138</v>
      </c>
      <c r="N587" s="25"/>
      <c r="O587">
        <v>0</v>
      </c>
    </row>
    <row r="588" spans="1:15">
      <c r="A588" t="s">
        <v>707</v>
      </c>
      <c r="B588" t="s">
        <v>164</v>
      </c>
      <c r="C588" t="s">
        <v>98</v>
      </c>
      <c r="D588" t="s">
        <v>57</v>
      </c>
      <c r="E588" t="s">
        <v>58</v>
      </c>
      <c r="F588">
        <v>30</v>
      </c>
      <c r="G588" t="s">
        <v>76</v>
      </c>
      <c r="H588" s="24">
        <v>42322</v>
      </c>
      <c r="I588">
        <v>77442</v>
      </c>
      <c r="J588">
        <v>0</v>
      </c>
      <c r="K588">
        <v>77442</v>
      </c>
      <c r="L588" t="s">
        <v>60</v>
      </c>
      <c r="M588" t="s">
        <v>110</v>
      </c>
      <c r="N588" s="25"/>
      <c r="O588">
        <v>0</v>
      </c>
    </row>
    <row r="589" spans="1:15">
      <c r="A589" t="s">
        <v>708</v>
      </c>
      <c r="B589" t="s">
        <v>132</v>
      </c>
      <c r="C589" t="s">
        <v>82</v>
      </c>
      <c r="D589" t="s">
        <v>83</v>
      </c>
      <c r="E589" t="s">
        <v>58</v>
      </c>
      <c r="F589">
        <v>34</v>
      </c>
      <c r="G589" t="s">
        <v>76</v>
      </c>
      <c r="H589" s="24">
        <v>41066</v>
      </c>
      <c r="I589">
        <v>72126</v>
      </c>
      <c r="J589">
        <v>0</v>
      </c>
      <c r="K589">
        <v>72126</v>
      </c>
      <c r="L589" t="s">
        <v>113</v>
      </c>
      <c r="M589" t="s">
        <v>114</v>
      </c>
      <c r="N589" s="25"/>
      <c r="O589">
        <v>0</v>
      </c>
    </row>
    <row r="590" spans="1:15">
      <c r="A590" t="s">
        <v>709</v>
      </c>
      <c r="B590" t="s">
        <v>314</v>
      </c>
      <c r="C590" t="s">
        <v>56</v>
      </c>
      <c r="D590" t="s">
        <v>64</v>
      </c>
      <c r="E590" t="s">
        <v>65</v>
      </c>
      <c r="F590">
        <v>55</v>
      </c>
      <c r="G590" t="s">
        <v>59</v>
      </c>
      <c r="H590" s="24">
        <v>41565</v>
      </c>
      <c r="I590">
        <v>70334</v>
      </c>
      <c r="J590">
        <v>0</v>
      </c>
      <c r="K590">
        <v>70334</v>
      </c>
      <c r="L590" t="s">
        <v>60</v>
      </c>
      <c r="M590" t="s">
        <v>88</v>
      </c>
      <c r="N590" s="25"/>
      <c r="O590">
        <v>0</v>
      </c>
    </row>
    <row r="591" spans="1:15">
      <c r="A591" t="s">
        <v>710</v>
      </c>
      <c r="B591" t="s">
        <v>122</v>
      </c>
      <c r="C591" t="s">
        <v>98</v>
      </c>
      <c r="D591" t="s">
        <v>57</v>
      </c>
      <c r="E591" t="s">
        <v>65</v>
      </c>
      <c r="F591">
        <v>59</v>
      </c>
      <c r="G591" t="s">
        <v>59</v>
      </c>
      <c r="H591" s="24">
        <v>40170</v>
      </c>
      <c r="I591">
        <v>78006</v>
      </c>
      <c r="J591">
        <v>0</v>
      </c>
      <c r="K591">
        <v>78006</v>
      </c>
      <c r="L591" t="s">
        <v>60</v>
      </c>
      <c r="M591" t="s">
        <v>88</v>
      </c>
      <c r="N591" s="25"/>
      <c r="O591">
        <v>0</v>
      </c>
    </row>
    <row r="592" spans="1:15">
      <c r="A592" t="s">
        <v>711</v>
      </c>
      <c r="B592" t="s">
        <v>69</v>
      </c>
      <c r="C592" t="s">
        <v>56</v>
      </c>
      <c r="D592" t="s">
        <v>64</v>
      </c>
      <c r="E592" t="s">
        <v>58</v>
      </c>
      <c r="F592">
        <v>28</v>
      </c>
      <c r="G592" t="s">
        <v>76</v>
      </c>
      <c r="H592" s="24">
        <v>44221</v>
      </c>
      <c r="I592">
        <v>160385</v>
      </c>
      <c r="J592">
        <v>0.23</v>
      </c>
      <c r="K592">
        <v>197274</v>
      </c>
      <c r="L592" t="s">
        <v>60</v>
      </c>
      <c r="M592" t="s">
        <v>88</v>
      </c>
      <c r="N592" s="25">
        <v>44334</v>
      </c>
      <c r="O592">
        <v>1</v>
      </c>
    </row>
    <row r="593" spans="1:15">
      <c r="A593" t="s">
        <v>712</v>
      </c>
      <c r="B593" t="s">
        <v>104</v>
      </c>
      <c r="C593" t="s">
        <v>70</v>
      </c>
      <c r="D593" t="s">
        <v>83</v>
      </c>
      <c r="E593" t="s">
        <v>58</v>
      </c>
      <c r="F593">
        <v>36</v>
      </c>
      <c r="G593" t="s">
        <v>95</v>
      </c>
      <c r="H593" s="24">
        <v>41650</v>
      </c>
      <c r="I593">
        <v>202323</v>
      </c>
      <c r="J593">
        <v>0.39</v>
      </c>
      <c r="K593">
        <v>281229</v>
      </c>
      <c r="L593" t="s">
        <v>60</v>
      </c>
      <c r="M593" t="s">
        <v>73</v>
      </c>
      <c r="N593" s="25"/>
      <c r="O593">
        <v>0</v>
      </c>
    </row>
    <row r="594" spans="1:15">
      <c r="A594" t="s">
        <v>713</v>
      </c>
      <c r="B594" t="s">
        <v>55</v>
      </c>
      <c r="C594" t="s">
        <v>94</v>
      </c>
      <c r="D594" t="s">
        <v>83</v>
      </c>
      <c r="E594" t="s">
        <v>58</v>
      </c>
      <c r="F594">
        <v>29</v>
      </c>
      <c r="G594" t="s">
        <v>76</v>
      </c>
      <c r="H594" s="24">
        <v>44025</v>
      </c>
      <c r="I594">
        <v>141555</v>
      </c>
      <c r="J594">
        <v>0.11</v>
      </c>
      <c r="K594">
        <v>157126</v>
      </c>
      <c r="L594" t="s">
        <v>113</v>
      </c>
      <c r="M594" t="s">
        <v>114</v>
      </c>
      <c r="N594" s="25"/>
      <c r="O594">
        <v>0</v>
      </c>
    </row>
    <row r="595" spans="1:15">
      <c r="A595" t="s">
        <v>714</v>
      </c>
      <c r="B595" t="s">
        <v>69</v>
      </c>
      <c r="C595" t="s">
        <v>70</v>
      </c>
      <c r="D595" t="s">
        <v>71</v>
      </c>
      <c r="E595" t="s">
        <v>58</v>
      </c>
      <c r="F595">
        <v>34</v>
      </c>
      <c r="G595" t="s">
        <v>76</v>
      </c>
      <c r="H595" s="24">
        <v>44032</v>
      </c>
      <c r="I595">
        <v>184960</v>
      </c>
      <c r="J595">
        <v>0.18</v>
      </c>
      <c r="K595">
        <v>218253</v>
      </c>
      <c r="L595" t="s">
        <v>60</v>
      </c>
      <c r="M595" t="s">
        <v>61</v>
      </c>
      <c r="N595" s="25"/>
      <c r="O595">
        <v>0</v>
      </c>
    </row>
    <row r="596" spans="1:15">
      <c r="A596" t="s">
        <v>715</v>
      </c>
      <c r="B596" t="s">
        <v>104</v>
      </c>
      <c r="C596" t="s">
        <v>56</v>
      </c>
      <c r="D596" t="s">
        <v>64</v>
      </c>
      <c r="E596" t="s">
        <v>65</v>
      </c>
      <c r="F596">
        <v>37</v>
      </c>
      <c r="G596" t="s">
        <v>95</v>
      </c>
      <c r="H596" s="24">
        <v>40719</v>
      </c>
      <c r="I596">
        <v>221592</v>
      </c>
      <c r="J596">
        <v>0.31</v>
      </c>
      <c r="K596">
        <v>290286</v>
      </c>
      <c r="L596" t="s">
        <v>60</v>
      </c>
      <c r="M596" t="s">
        <v>110</v>
      </c>
      <c r="N596" s="25"/>
      <c r="O596">
        <v>0</v>
      </c>
    </row>
    <row r="597" spans="1:15">
      <c r="A597" t="s">
        <v>716</v>
      </c>
      <c r="B597" t="s">
        <v>154</v>
      </c>
      <c r="C597" t="s">
        <v>94</v>
      </c>
      <c r="D597" t="s">
        <v>64</v>
      </c>
      <c r="E597" t="s">
        <v>58</v>
      </c>
      <c r="F597">
        <v>44</v>
      </c>
      <c r="G597" t="s">
        <v>95</v>
      </c>
      <c r="H597" s="24">
        <v>39841</v>
      </c>
      <c r="I597">
        <v>53301</v>
      </c>
      <c r="J597">
        <v>0</v>
      </c>
      <c r="K597">
        <v>53301</v>
      </c>
      <c r="L597" t="s">
        <v>60</v>
      </c>
      <c r="M597" t="s">
        <v>61</v>
      </c>
      <c r="N597" s="25"/>
      <c r="O597">
        <v>0</v>
      </c>
    </row>
    <row r="598" spans="1:15">
      <c r="A598" t="s">
        <v>717</v>
      </c>
      <c r="B598" t="s">
        <v>178</v>
      </c>
      <c r="C598" t="s">
        <v>56</v>
      </c>
      <c r="D598" t="s">
        <v>83</v>
      </c>
      <c r="E598" t="s">
        <v>65</v>
      </c>
      <c r="F598">
        <v>45</v>
      </c>
      <c r="G598" t="s">
        <v>72</v>
      </c>
      <c r="H598" s="24">
        <v>36587</v>
      </c>
      <c r="I598">
        <v>91276</v>
      </c>
      <c r="J598">
        <v>0</v>
      </c>
      <c r="K598">
        <v>91276</v>
      </c>
      <c r="L598" t="s">
        <v>60</v>
      </c>
      <c r="M598" t="s">
        <v>61</v>
      </c>
      <c r="N598" s="25"/>
      <c r="O598">
        <v>0</v>
      </c>
    </row>
    <row r="599" spans="1:15">
      <c r="A599" t="s">
        <v>718</v>
      </c>
      <c r="B599" t="s">
        <v>55</v>
      </c>
      <c r="C599" t="s">
        <v>94</v>
      </c>
      <c r="D599" t="s">
        <v>57</v>
      </c>
      <c r="E599" t="s">
        <v>58</v>
      </c>
      <c r="F599">
        <v>52</v>
      </c>
      <c r="G599" t="s">
        <v>72</v>
      </c>
      <c r="H599" s="24">
        <v>42983</v>
      </c>
      <c r="I599">
        <v>140042</v>
      </c>
      <c r="J599">
        <v>0.13</v>
      </c>
      <c r="K599">
        <v>158247</v>
      </c>
      <c r="L599" t="s">
        <v>60</v>
      </c>
      <c r="M599" t="s">
        <v>91</v>
      </c>
      <c r="N599" s="25"/>
      <c r="O599">
        <v>0</v>
      </c>
    </row>
    <row r="600" spans="1:15">
      <c r="A600" t="s">
        <v>719</v>
      </c>
      <c r="B600" t="s">
        <v>87</v>
      </c>
      <c r="C600" t="s">
        <v>90</v>
      </c>
      <c r="D600" t="s">
        <v>64</v>
      </c>
      <c r="E600" t="s">
        <v>58</v>
      </c>
      <c r="F600">
        <v>40</v>
      </c>
      <c r="G600" t="s">
        <v>95</v>
      </c>
      <c r="H600" s="24">
        <v>43440</v>
      </c>
      <c r="I600">
        <v>57225</v>
      </c>
      <c r="J600">
        <v>0</v>
      </c>
      <c r="K600">
        <v>57225</v>
      </c>
      <c r="L600" t="s">
        <v>60</v>
      </c>
      <c r="M600" t="s">
        <v>110</v>
      </c>
      <c r="N600" s="25"/>
      <c r="O600">
        <v>0</v>
      </c>
    </row>
    <row r="601" spans="1:15">
      <c r="A601" t="s">
        <v>720</v>
      </c>
      <c r="B601" t="s">
        <v>85</v>
      </c>
      <c r="C601" t="s">
        <v>94</v>
      </c>
      <c r="D601" t="s">
        <v>71</v>
      </c>
      <c r="E601" t="s">
        <v>58</v>
      </c>
      <c r="F601">
        <v>55</v>
      </c>
      <c r="G601" t="s">
        <v>59</v>
      </c>
      <c r="H601" s="24">
        <v>40233</v>
      </c>
      <c r="I601">
        <v>102839</v>
      </c>
      <c r="J601">
        <v>0.05</v>
      </c>
      <c r="K601">
        <v>107981</v>
      </c>
      <c r="L601" t="s">
        <v>60</v>
      </c>
      <c r="M601" t="s">
        <v>88</v>
      </c>
      <c r="N601" s="25"/>
      <c r="O601">
        <v>0</v>
      </c>
    </row>
    <row r="602" spans="1:15">
      <c r="A602" t="s">
        <v>721</v>
      </c>
      <c r="B602" t="s">
        <v>69</v>
      </c>
      <c r="C602" t="s">
        <v>105</v>
      </c>
      <c r="D602" t="s">
        <v>57</v>
      </c>
      <c r="E602" t="s">
        <v>65</v>
      </c>
      <c r="F602">
        <v>29</v>
      </c>
      <c r="G602" t="s">
        <v>76</v>
      </c>
      <c r="H602" s="24">
        <v>44454</v>
      </c>
      <c r="I602">
        <v>199783</v>
      </c>
      <c r="J602">
        <v>0.21</v>
      </c>
      <c r="K602">
        <v>241737</v>
      </c>
      <c r="L602" t="s">
        <v>60</v>
      </c>
      <c r="M602" t="s">
        <v>73</v>
      </c>
      <c r="N602" s="25">
        <v>44661</v>
      </c>
      <c r="O602">
        <v>1</v>
      </c>
    </row>
    <row r="603" spans="1:15">
      <c r="A603" t="s">
        <v>722</v>
      </c>
      <c r="B603" t="s">
        <v>143</v>
      </c>
      <c r="C603" t="s">
        <v>94</v>
      </c>
      <c r="D603" t="s">
        <v>57</v>
      </c>
      <c r="E603" t="s">
        <v>65</v>
      </c>
      <c r="F603">
        <v>32</v>
      </c>
      <c r="G603" t="s">
        <v>76</v>
      </c>
      <c r="H603" s="24">
        <v>44295</v>
      </c>
      <c r="I603">
        <v>70980</v>
      </c>
      <c r="J603">
        <v>0</v>
      </c>
      <c r="K603">
        <v>70980</v>
      </c>
      <c r="L603" t="s">
        <v>113</v>
      </c>
      <c r="M603" t="s">
        <v>117</v>
      </c>
      <c r="N603" s="25"/>
      <c r="O603">
        <v>0</v>
      </c>
    </row>
    <row r="604" spans="1:15">
      <c r="A604" t="s">
        <v>723</v>
      </c>
      <c r="B604" t="s">
        <v>85</v>
      </c>
      <c r="C604" t="s">
        <v>105</v>
      </c>
      <c r="D604" t="s">
        <v>83</v>
      </c>
      <c r="E604" t="s">
        <v>65</v>
      </c>
      <c r="F604">
        <v>51</v>
      </c>
      <c r="G604" t="s">
        <v>72</v>
      </c>
      <c r="H604" s="24">
        <v>35456</v>
      </c>
      <c r="I604">
        <v>104431</v>
      </c>
      <c r="J604">
        <v>0.07</v>
      </c>
      <c r="K604">
        <v>111741</v>
      </c>
      <c r="L604" t="s">
        <v>60</v>
      </c>
      <c r="M604" t="s">
        <v>79</v>
      </c>
      <c r="N604" s="25"/>
      <c r="O604">
        <v>0</v>
      </c>
    </row>
    <row r="605" spans="1:15">
      <c r="A605" t="s">
        <v>724</v>
      </c>
      <c r="B605" t="s">
        <v>166</v>
      </c>
      <c r="C605" t="s">
        <v>94</v>
      </c>
      <c r="D605" t="s">
        <v>71</v>
      </c>
      <c r="E605" t="s">
        <v>65</v>
      </c>
      <c r="F605">
        <v>28</v>
      </c>
      <c r="G605" t="s">
        <v>76</v>
      </c>
      <c r="H605" s="24">
        <v>44374</v>
      </c>
      <c r="I605">
        <v>48510</v>
      </c>
      <c r="J605">
        <v>0</v>
      </c>
      <c r="K605">
        <v>48510</v>
      </c>
      <c r="L605" t="s">
        <v>60</v>
      </c>
      <c r="M605" t="s">
        <v>73</v>
      </c>
      <c r="N605" s="25"/>
      <c r="O605">
        <v>0</v>
      </c>
    </row>
    <row r="606" spans="1:15">
      <c r="A606" t="s">
        <v>725</v>
      </c>
      <c r="B606" t="s">
        <v>122</v>
      </c>
      <c r="C606" t="s">
        <v>98</v>
      </c>
      <c r="D606" t="s">
        <v>71</v>
      </c>
      <c r="E606" t="s">
        <v>65</v>
      </c>
      <c r="F606">
        <v>27</v>
      </c>
      <c r="G606" t="s">
        <v>76</v>
      </c>
      <c r="H606" s="24">
        <v>43613</v>
      </c>
      <c r="I606">
        <v>70110</v>
      </c>
      <c r="J606">
        <v>0</v>
      </c>
      <c r="K606">
        <v>70110</v>
      </c>
      <c r="L606" t="s">
        <v>60</v>
      </c>
      <c r="M606" t="s">
        <v>88</v>
      </c>
      <c r="N606" s="25">
        <v>44203</v>
      </c>
      <c r="O606">
        <v>1</v>
      </c>
    </row>
    <row r="607" spans="1:15">
      <c r="A607" t="s">
        <v>726</v>
      </c>
      <c r="B607" t="s">
        <v>69</v>
      </c>
      <c r="C607" t="s">
        <v>105</v>
      </c>
      <c r="D607" t="s">
        <v>83</v>
      </c>
      <c r="E607" t="s">
        <v>65</v>
      </c>
      <c r="F607">
        <v>45</v>
      </c>
      <c r="G607" t="s">
        <v>72</v>
      </c>
      <c r="H607" s="24">
        <v>39519</v>
      </c>
      <c r="I607">
        <v>186138</v>
      </c>
      <c r="J607">
        <v>0.28</v>
      </c>
      <c r="K607">
        <v>238257</v>
      </c>
      <c r="L607" t="s">
        <v>66</v>
      </c>
      <c r="M607" t="s">
        <v>67</v>
      </c>
      <c r="N607" s="25"/>
      <c r="O607">
        <v>0</v>
      </c>
    </row>
    <row r="608" spans="1:15">
      <c r="A608" t="s">
        <v>727</v>
      </c>
      <c r="B608" t="s">
        <v>87</v>
      </c>
      <c r="C608" t="s">
        <v>90</v>
      </c>
      <c r="D608" t="s">
        <v>64</v>
      </c>
      <c r="E608" t="s">
        <v>65</v>
      </c>
      <c r="F608">
        <v>58</v>
      </c>
      <c r="G608" t="s">
        <v>59</v>
      </c>
      <c r="H608" s="24">
        <v>40287</v>
      </c>
      <c r="I608">
        <v>56350</v>
      </c>
      <c r="J608">
        <v>0</v>
      </c>
      <c r="K608">
        <v>56350</v>
      </c>
      <c r="L608" t="s">
        <v>113</v>
      </c>
      <c r="M608" t="s">
        <v>117</v>
      </c>
      <c r="N608" s="25"/>
      <c r="O608">
        <v>0</v>
      </c>
    </row>
    <row r="609" spans="1:15">
      <c r="A609" t="s">
        <v>728</v>
      </c>
      <c r="B609" t="s">
        <v>55</v>
      </c>
      <c r="C609" t="s">
        <v>70</v>
      </c>
      <c r="D609" t="s">
        <v>57</v>
      </c>
      <c r="E609" t="s">
        <v>58</v>
      </c>
      <c r="F609">
        <v>45</v>
      </c>
      <c r="G609" t="s">
        <v>72</v>
      </c>
      <c r="H609" s="24">
        <v>42379</v>
      </c>
      <c r="I609">
        <v>149761</v>
      </c>
      <c r="J609">
        <v>0.12</v>
      </c>
      <c r="K609">
        <v>167732</v>
      </c>
      <c r="L609" t="s">
        <v>60</v>
      </c>
      <c r="M609" t="s">
        <v>110</v>
      </c>
      <c r="N609" s="25"/>
      <c r="O609">
        <v>0</v>
      </c>
    </row>
    <row r="610" spans="1:15">
      <c r="A610" t="s">
        <v>729</v>
      </c>
      <c r="B610" t="s">
        <v>55</v>
      </c>
      <c r="C610" t="s">
        <v>70</v>
      </c>
      <c r="D610" t="s">
        <v>83</v>
      </c>
      <c r="E610" t="s">
        <v>65</v>
      </c>
      <c r="F610">
        <v>44</v>
      </c>
      <c r="G610" t="s">
        <v>95</v>
      </c>
      <c r="H610" s="24">
        <v>39305</v>
      </c>
      <c r="I610">
        <v>126277</v>
      </c>
      <c r="J610">
        <v>0.13</v>
      </c>
      <c r="K610">
        <v>142693</v>
      </c>
      <c r="L610" t="s">
        <v>113</v>
      </c>
      <c r="M610" t="s">
        <v>114</v>
      </c>
      <c r="N610" s="25"/>
      <c r="O610">
        <v>0</v>
      </c>
    </row>
    <row r="611" spans="1:15">
      <c r="A611" t="s">
        <v>730</v>
      </c>
      <c r="B611" t="s">
        <v>85</v>
      </c>
      <c r="C611" t="s">
        <v>82</v>
      </c>
      <c r="D611" t="s">
        <v>71</v>
      </c>
      <c r="E611" t="s">
        <v>65</v>
      </c>
      <c r="F611">
        <v>33</v>
      </c>
      <c r="G611" t="s">
        <v>76</v>
      </c>
      <c r="H611" s="24">
        <v>41446</v>
      </c>
      <c r="I611">
        <v>119631</v>
      </c>
      <c r="J611">
        <v>0.06</v>
      </c>
      <c r="K611">
        <v>126809</v>
      </c>
      <c r="L611" t="s">
        <v>60</v>
      </c>
      <c r="M611" t="s">
        <v>79</v>
      </c>
      <c r="N611" s="25"/>
      <c r="O611">
        <v>0</v>
      </c>
    </row>
    <row r="612" spans="1:15">
      <c r="A612" t="s">
        <v>731</v>
      </c>
      <c r="B612" t="s">
        <v>104</v>
      </c>
      <c r="C612" t="s">
        <v>56</v>
      </c>
      <c r="D612" t="s">
        <v>57</v>
      </c>
      <c r="E612" t="s">
        <v>65</v>
      </c>
      <c r="F612">
        <v>26</v>
      </c>
      <c r="G612" t="s">
        <v>76</v>
      </c>
      <c r="H612" s="24">
        <v>43960</v>
      </c>
      <c r="I612">
        <v>256561</v>
      </c>
      <c r="J612">
        <v>0.39</v>
      </c>
      <c r="K612">
        <v>356620</v>
      </c>
      <c r="L612" t="s">
        <v>60</v>
      </c>
      <c r="M612" t="s">
        <v>91</v>
      </c>
      <c r="N612" s="25"/>
      <c r="O612">
        <v>0</v>
      </c>
    </row>
    <row r="613" spans="1:15">
      <c r="A613" t="s">
        <v>732</v>
      </c>
      <c r="B613" t="s">
        <v>266</v>
      </c>
      <c r="C613" t="s">
        <v>56</v>
      </c>
      <c r="D613" t="s">
        <v>71</v>
      </c>
      <c r="E613" t="s">
        <v>58</v>
      </c>
      <c r="F613">
        <v>45</v>
      </c>
      <c r="G613" t="s">
        <v>72</v>
      </c>
      <c r="H613" s="24">
        <v>43937</v>
      </c>
      <c r="I613">
        <v>66958</v>
      </c>
      <c r="J613">
        <v>0</v>
      </c>
      <c r="K613">
        <v>66958</v>
      </c>
      <c r="L613" t="s">
        <v>60</v>
      </c>
      <c r="M613" t="s">
        <v>88</v>
      </c>
      <c r="N613" s="25"/>
      <c r="O613">
        <v>0</v>
      </c>
    </row>
    <row r="614" spans="1:15">
      <c r="A614" t="s">
        <v>733</v>
      </c>
      <c r="B614" t="s">
        <v>55</v>
      </c>
      <c r="C614" t="s">
        <v>82</v>
      </c>
      <c r="D614" t="s">
        <v>64</v>
      </c>
      <c r="E614" t="s">
        <v>58</v>
      </c>
      <c r="F614">
        <v>46</v>
      </c>
      <c r="G614" t="s">
        <v>72</v>
      </c>
      <c r="H614" s="24">
        <v>38046</v>
      </c>
      <c r="I614">
        <v>158897</v>
      </c>
      <c r="J614">
        <v>0.1</v>
      </c>
      <c r="K614">
        <v>174787</v>
      </c>
      <c r="L614" t="s">
        <v>66</v>
      </c>
      <c r="M614" t="s">
        <v>67</v>
      </c>
      <c r="N614" s="25"/>
      <c r="O614">
        <v>0</v>
      </c>
    </row>
    <row r="615" spans="1:15">
      <c r="A615" t="s">
        <v>734</v>
      </c>
      <c r="B615" t="s">
        <v>63</v>
      </c>
      <c r="C615" t="s">
        <v>56</v>
      </c>
      <c r="D615" t="s">
        <v>83</v>
      </c>
      <c r="E615" t="s">
        <v>65</v>
      </c>
      <c r="F615">
        <v>37</v>
      </c>
      <c r="G615" t="s">
        <v>95</v>
      </c>
      <c r="H615" s="24">
        <v>39493</v>
      </c>
      <c r="I615">
        <v>71695</v>
      </c>
      <c r="J615">
        <v>0</v>
      </c>
      <c r="K615">
        <v>71695</v>
      </c>
      <c r="L615" t="s">
        <v>60</v>
      </c>
      <c r="M615" t="s">
        <v>79</v>
      </c>
      <c r="N615" s="25"/>
      <c r="O615">
        <v>0</v>
      </c>
    </row>
    <row r="616" spans="1:15">
      <c r="A616" t="s">
        <v>735</v>
      </c>
      <c r="B616" t="s">
        <v>78</v>
      </c>
      <c r="C616" t="s">
        <v>105</v>
      </c>
      <c r="D616" t="s">
        <v>83</v>
      </c>
      <c r="E616" t="s">
        <v>65</v>
      </c>
      <c r="F616">
        <v>40</v>
      </c>
      <c r="G616" t="s">
        <v>95</v>
      </c>
      <c r="H616" s="24">
        <v>41904</v>
      </c>
      <c r="I616">
        <v>73779</v>
      </c>
      <c r="J616">
        <v>0</v>
      </c>
      <c r="K616">
        <v>73779</v>
      </c>
      <c r="L616" t="s">
        <v>66</v>
      </c>
      <c r="M616" t="s">
        <v>67</v>
      </c>
      <c r="N616" s="25">
        <v>43594</v>
      </c>
      <c r="O616">
        <v>1</v>
      </c>
    </row>
    <row r="617" spans="1:15">
      <c r="A617" t="s">
        <v>736</v>
      </c>
      <c r="B617" t="s">
        <v>85</v>
      </c>
      <c r="C617" t="s">
        <v>82</v>
      </c>
      <c r="D617" t="s">
        <v>71</v>
      </c>
      <c r="E617" t="s">
        <v>58</v>
      </c>
      <c r="F617">
        <v>45</v>
      </c>
      <c r="G617" t="s">
        <v>72</v>
      </c>
      <c r="H617" s="24">
        <v>40836</v>
      </c>
      <c r="I617">
        <v>123640</v>
      </c>
      <c r="J617">
        <v>0.07</v>
      </c>
      <c r="K617">
        <v>132295</v>
      </c>
      <c r="L617" t="s">
        <v>66</v>
      </c>
      <c r="M617" t="s">
        <v>101</v>
      </c>
      <c r="N617" s="25"/>
      <c r="O617">
        <v>0</v>
      </c>
    </row>
    <row r="618" spans="1:15">
      <c r="A618" t="s">
        <v>737</v>
      </c>
      <c r="B618" t="s">
        <v>87</v>
      </c>
      <c r="C618" t="s">
        <v>82</v>
      </c>
      <c r="D618" t="s">
        <v>71</v>
      </c>
      <c r="E618" t="s">
        <v>58</v>
      </c>
      <c r="F618">
        <v>33</v>
      </c>
      <c r="G618" t="s">
        <v>76</v>
      </c>
      <c r="H618" s="24">
        <v>41742</v>
      </c>
      <c r="I618">
        <v>46878</v>
      </c>
      <c r="J618">
        <v>0</v>
      </c>
      <c r="K618">
        <v>46878</v>
      </c>
      <c r="L618" t="s">
        <v>60</v>
      </c>
      <c r="M618" t="s">
        <v>88</v>
      </c>
      <c r="N618" s="25"/>
      <c r="O618">
        <v>0</v>
      </c>
    </row>
    <row r="619" spans="1:15">
      <c r="A619" t="s">
        <v>738</v>
      </c>
      <c r="B619" t="s">
        <v>87</v>
      </c>
      <c r="C619" t="s">
        <v>105</v>
      </c>
      <c r="D619" t="s">
        <v>71</v>
      </c>
      <c r="E619" t="s">
        <v>58</v>
      </c>
      <c r="F619">
        <v>64</v>
      </c>
      <c r="G619" t="s">
        <v>59</v>
      </c>
      <c r="H619" s="24">
        <v>37662</v>
      </c>
      <c r="I619">
        <v>57032</v>
      </c>
      <c r="J619">
        <v>0</v>
      </c>
      <c r="K619">
        <v>57032</v>
      </c>
      <c r="L619" t="s">
        <v>60</v>
      </c>
      <c r="M619" t="s">
        <v>88</v>
      </c>
      <c r="N619" s="25"/>
      <c r="O619">
        <v>0</v>
      </c>
    </row>
    <row r="620" spans="1:15">
      <c r="A620" t="s">
        <v>739</v>
      </c>
      <c r="B620" t="s">
        <v>78</v>
      </c>
      <c r="C620" t="s">
        <v>82</v>
      </c>
      <c r="D620" t="s">
        <v>64</v>
      </c>
      <c r="E620" t="s">
        <v>58</v>
      </c>
      <c r="F620">
        <v>57</v>
      </c>
      <c r="G620" t="s">
        <v>59</v>
      </c>
      <c r="H620" s="24">
        <v>39357</v>
      </c>
      <c r="I620">
        <v>98150</v>
      </c>
      <c r="J620">
        <v>0</v>
      </c>
      <c r="K620">
        <v>98150</v>
      </c>
      <c r="L620" t="s">
        <v>113</v>
      </c>
      <c r="M620" t="s">
        <v>117</v>
      </c>
      <c r="N620" s="25"/>
      <c r="O620">
        <v>0</v>
      </c>
    </row>
    <row r="621" spans="1:15">
      <c r="A621" t="s">
        <v>740</v>
      </c>
      <c r="B621" t="s">
        <v>69</v>
      </c>
      <c r="C621" t="s">
        <v>105</v>
      </c>
      <c r="D621" t="s">
        <v>64</v>
      </c>
      <c r="E621" t="s">
        <v>58</v>
      </c>
      <c r="F621">
        <v>35</v>
      </c>
      <c r="G621" t="s">
        <v>95</v>
      </c>
      <c r="H621" s="24">
        <v>42800</v>
      </c>
      <c r="I621">
        <v>171426</v>
      </c>
      <c r="J621">
        <v>0.15</v>
      </c>
      <c r="K621">
        <v>197140</v>
      </c>
      <c r="L621" t="s">
        <v>66</v>
      </c>
      <c r="M621" t="s">
        <v>126</v>
      </c>
      <c r="N621" s="25">
        <v>43000</v>
      </c>
      <c r="O621">
        <v>1</v>
      </c>
    </row>
    <row r="622" spans="1:15">
      <c r="A622" t="s">
        <v>741</v>
      </c>
      <c r="B622" t="s">
        <v>87</v>
      </c>
      <c r="C622" t="s">
        <v>70</v>
      </c>
      <c r="D622" t="s">
        <v>64</v>
      </c>
      <c r="E622" t="s">
        <v>58</v>
      </c>
      <c r="F622">
        <v>55</v>
      </c>
      <c r="G622" t="s">
        <v>59</v>
      </c>
      <c r="H622" s="24">
        <v>44302</v>
      </c>
      <c r="I622">
        <v>48266</v>
      </c>
      <c r="J622">
        <v>0</v>
      </c>
      <c r="K622">
        <v>48266</v>
      </c>
      <c r="L622" t="s">
        <v>60</v>
      </c>
      <c r="M622" t="s">
        <v>73</v>
      </c>
      <c r="N622" s="25"/>
      <c r="O622">
        <v>0</v>
      </c>
    </row>
    <row r="623" spans="1:15">
      <c r="A623" t="s">
        <v>742</v>
      </c>
      <c r="B623" t="s">
        <v>104</v>
      </c>
      <c r="C623" t="s">
        <v>70</v>
      </c>
      <c r="D623" t="s">
        <v>57</v>
      </c>
      <c r="E623" t="s">
        <v>65</v>
      </c>
      <c r="F623">
        <v>36</v>
      </c>
      <c r="G623" t="s">
        <v>95</v>
      </c>
      <c r="H623" s="24">
        <v>43330</v>
      </c>
      <c r="I623">
        <v>223404</v>
      </c>
      <c r="J623">
        <v>0.32</v>
      </c>
      <c r="K623">
        <v>294893</v>
      </c>
      <c r="L623" t="s">
        <v>60</v>
      </c>
      <c r="M623" t="s">
        <v>110</v>
      </c>
      <c r="N623" s="25"/>
      <c r="O623">
        <v>0</v>
      </c>
    </row>
    <row r="624" spans="1:15">
      <c r="A624" t="s">
        <v>743</v>
      </c>
      <c r="B624" t="s">
        <v>228</v>
      </c>
      <c r="C624" t="s">
        <v>56</v>
      </c>
      <c r="D624" t="s">
        <v>71</v>
      </c>
      <c r="E624" t="s">
        <v>58</v>
      </c>
      <c r="F624">
        <v>57</v>
      </c>
      <c r="G624" t="s">
        <v>59</v>
      </c>
      <c r="H624" s="24">
        <v>41649</v>
      </c>
      <c r="I624">
        <v>74854</v>
      </c>
      <c r="J624">
        <v>0</v>
      </c>
      <c r="K624">
        <v>74854</v>
      </c>
      <c r="L624" t="s">
        <v>60</v>
      </c>
      <c r="M624" t="s">
        <v>61</v>
      </c>
      <c r="N624" s="25"/>
      <c r="O624">
        <v>0</v>
      </c>
    </row>
    <row r="625" spans="1:15">
      <c r="A625" t="s">
        <v>744</v>
      </c>
      <c r="B625" t="s">
        <v>104</v>
      </c>
      <c r="C625" t="s">
        <v>90</v>
      </c>
      <c r="D625" t="s">
        <v>71</v>
      </c>
      <c r="E625" t="s">
        <v>58</v>
      </c>
      <c r="F625">
        <v>48</v>
      </c>
      <c r="G625" t="s">
        <v>72</v>
      </c>
      <c r="H625" s="24">
        <v>39197</v>
      </c>
      <c r="I625">
        <v>217783</v>
      </c>
      <c r="J625">
        <v>0.36</v>
      </c>
      <c r="K625">
        <v>296185</v>
      </c>
      <c r="L625" t="s">
        <v>60</v>
      </c>
      <c r="M625" t="s">
        <v>61</v>
      </c>
      <c r="N625" s="25"/>
      <c r="O625">
        <v>0</v>
      </c>
    </row>
    <row r="626" spans="1:15">
      <c r="A626" t="s">
        <v>745</v>
      </c>
      <c r="B626" t="s">
        <v>244</v>
      </c>
      <c r="C626" t="s">
        <v>56</v>
      </c>
      <c r="D626" t="s">
        <v>64</v>
      </c>
      <c r="E626" t="s">
        <v>58</v>
      </c>
      <c r="F626">
        <v>53</v>
      </c>
      <c r="G626" t="s">
        <v>72</v>
      </c>
      <c r="H626" s="24">
        <v>38214</v>
      </c>
      <c r="I626">
        <v>44735</v>
      </c>
      <c r="J626">
        <v>0</v>
      </c>
      <c r="K626">
        <v>44735</v>
      </c>
      <c r="L626" t="s">
        <v>113</v>
      </c>
      <c r="M626" t="s">
        <v>114</v>
      </c>
      <c r="N626" s="25"/>
      <c r="O626">
        <v>0</v>
      </c>
    </row>
    <row r="627" spans="1:15">
      <c r="A627" t="s">
        <v>746</v>
      </c>
      <c r="B627" t="s">
        <v>132</v>
      </c>
      <c r="C627" t="s">
        <v>70</v>
      </c>
      <c r="D627" t="s">
        <v>64</v>
      </c>
      <c r="E627" t="s">
        <v>58</v>
      </c>
      <c r="F627">
        <v>41</v>
      </c>
      <c r="G627" t="s">
        <v>95</v>
      </c>
      <c r="H627" s="24">
        <v>39091</v>
      </c>
      <c r="I627">
        <v>50685</v>
      </c>
      <c r="J627">
        <v>0</v>
      </c>
      <c r="K627">
        <v>50685</v>
      </c>
      <c r="L627" t="s">
        <v>60</v>
      </c>
      <c r="M627" t="s">
        <v>110</v>
      </c>
      <c r="N627" s="25"/>
      <c r="O627">
        <v>0</v>
      </c>
    </row>
    <row r="628" spans="1:15">
      <c r="A628" t="s">
        <v>747</v>
      </c>
      <c r="B628" t="s">
        <v>132</v>
      </c>
      <c r="C628" t="s">
        <v>82</v>
      </c>
      <c r="D628" t="s">
        <v>57</v>
      </c>
      <c r="E628" t="s">
        <v>65</v>
      </c>
      <c r="F628">
        <v>34</v>
      </c>
      <c r="G628" t="s">
        <v>76</v>
      </c>
      <c r="H628" s="24">
        <v>43169</v>
      </c>
      <c r="I628">
        <v>58993</v>
      </c>
      <c r="J628">
        <v>0</v>
      </c>
      <c r="K628">
        <v>58993</v>
      </c>
      <c r="L628" t="s">
        <v>60</v>
      </c>
      <c r="M628" t="s">
        <v>91</v>
      </c>
      <c r="N628" s="25"/>
      <c r="O628">
        <v>0</v>
      </c>
    </row>
    <row r="629" spans="1:15">
      <c r="A629" t="s">
        <v>748</v>
      </c>
      <c r="B629" t="s">
        <v>164</v>
      </c>
      <c r="C629" t="s">
        <v>98</v>
      </c>
      <c r="D629" t="s">
        <v>83</v>
      </c>
      <c r="E629" t="s">
        <v>65</v>
      </c>
      <c r="F629">
        <v>47</v>
      </c>
      <c r="G629" t="s">
        <v>72</v>
      </c>
      <c r="H629" s="24">
        <v>43990</v>
      </c>
      <c r="I629">
        <v>115765</v>
      </c>
      <c r="J629">
        <v>0</v>
      </c>
      <c r="K629">
        <v>115765</v>
      </c>
      <c r="L629" t="s">
        <v>60</v>
      </c>
      <c r="M629" t="s">
        <v>88</v>
      </c>
      <c r="N629" s="25">
        <v>44229</v>
      </c>
      <c r="O629">
        <v>1</v>
      </c>
    </row>
    <row r="630" spans="1:15">
      <c r="A630" t="s">
        <v>749</v>
      </c>
      <c r="B630" t="s">
        <v>69</v>
      </c>
      <c r="C630" t="s">
        <v>90</v>
      </c>
      <c r="D630" t="s">
        <v>64</v>
      </c>
      <c r="E630" t="s">
        <v>58</v>
      </c>
      <c r="F630">
        <v>63</v>
      </c>
      <c r="G630" t="s">
        <v>59</v>
      </c>
      <c r="H630" s="24">
        <v>39147</v>
      </c>
      <c r="I630">
        <v>193044</v>
      </c>
      <c r="J630">
        <v>0.15</v>
      </c>
      <c r="K630">
        <v>222001</v>
      </c>
      <c r="L630" t="s">
        <v>60</v>
      </c>
      <c r="M630" t="s">
        <v>88</v>
      </c>
      <c r="N630" s="25"/>
      <c r="O630">
        <v>0</v>
      </c>
    </row>
    <row r="631" spans="1:15">
      <c r="A631" t="s">
        <v>750</v>
      </c>
      <c r="B631" t="s">
        <v>87</v>
      </c>
      <c r="C631" t="s">
        <v>105</v>
      </c>
      <c r="D631" t="s">
        <v>57</v>
      </c>
      <c r="E631" t="s">
        <v>58</v>
      </c>
      <c r="F631">
        <v>65</v>
      </c>
      <c r="G631" t="s">
        <v>107</v>
      </c>
      <c r="H631" s="24">
        <v>40711</v>
      </c>
      <c r="I631">
        <v>56686</v>
      </c>
      <c r="J631">
        <v>0</v>
      </c>
      <c r="K631">
        <v>56686</v>
      </c>
      <c r="L631" t="s">
        <v>60</v>
      </c>
      <c r="M631" t="s">
        <v>61</v>
      </c>
      <c r="N631" s="25">
        <v>42164</v>
      </c>
      <c r="O631">
        <v>1</v>
      </c>
    </row>
    <row r="632" spans="1:15">
      <c r="A632" t="s">
        <v>751</v>
      </c>
      <c r="B632" t="s">
        <v>55</v>
      </c>
      <c r="C632" t="s">
        <v>70</v>
      </c>
      <c r="D632" t="s">
        <v>64</v>
      </c>
      <c r="E632" t="s">
        <v>58</v>
      </c>
      <c r="F632">
        <v>33</v>
      </c>
      <c r="G632" t="s">
        <v>76</v>
      </c>
      <c r="H632" s="24">
        <v>43763</v>
      </c>
      <c r="I632">
        <v>131652</v>
      </c>
      <c r="J632">
        <v>0.11</v>
      </c>
      <c r="K632">
        <v>146134</v>
      </c>
      <c r="L632" t="s">
        <v>60</v>
      </c>
      <c r="M632" t="s">
        <v>61</v>
      </c>
      <c r="N632" s="25"/>
      <c r="O632">
        <v>0</v>
      </c>
    </row>
    <row r="633" spans="1:15">
      <c r="A633" t="s">
        <v>752</v>
      </c>
      <c r="B633" t="s">
        <v>69</v>
      </c>
      <c r="C633" t="s">
        <v>105</v>
      </c>
      <c r="D633" t="s">
        <v>64</v>
      </c>
      <c r="E633" t="s">
        <v>58</v>
      </c>
      <c r="F633">
        <v>45</v>
      </c>
      <c r="G633" t="s">
        <v>72</v>
      </c>
      <c r="H633" s="24">
        <v>39507</v>
      </c>
      <c r="I633">
        <v>150577</v>
      </c>
      <c r="J633">
        <v>0.25</v>
      </c>
      <c r="K633">
        <v>188221</v>
      </c>
      <c r="L633" t="s">
        <v>60</v>
      </c>
      <c r="M633" t="s">
        <v>88</v>
      </c>
      <c r="N633" s="25"/>
      <c r="O633">
        <v>0</v>
      </c>
    </row>
    <row r="634" spans="1:15">
      <c r="A634" t="s">
        <v>753</v>
      </c>
      <c r="B634" t="s">
        <v>125</v>
      </c>
      <c r="C634" t="s">
        <v>98</v>
      </c>
      <c r="D634" t="s">
        <v>57</v>
      </c>
      <c r="E634" t="s">
        <v>58</v>
      </c>
      <c r="F634">
        <v>37</v>
      </c>
      <c r="G634" t="s">
        <v>95</v>
      </c>
      <c r="H634" s="24">
        <v>43461</v>
      </c>
      <c r="I634">
        <v>87359</v>
      </c>
      <c r="J634">
        <v>0.11</v>
      </c>
      <c r="K634">
        <v>96968</v>
      </c>
      <c r="L634" t="s">
        <v>113</v>
      </c>
      <c r="M634" t="s">
        <v>117</v>
      </c>
      <c r="N634" s="25"/>
      <c r="O634">
        <v>0</v>
      </c>
    </row>
    <row r="635" spans="1:15">
      <c r="A635" t="s">
        <v>754</v>
      </c>
      <c r="B635" t="s">
        <v>132</v>
      </c>
      <c r="C635" t="s">
        <v>82</v>
      </c>
      <c r="D635" t="s">
        <v>71</v>
      </c>
      <c r="E635" t="s">
        <v>58</v>
      </c>
      <c r="F635">
        <v>60</v>
      </c>
      <c r="G635" t="s">
        <v>59</v>
      </c>
      <c r="H635" s="24">
        <v>41647</v>
      </c>
      <c r="I635">
        <v>51877</v>
      </c>
      <c r="J635">
        <v>0</v>
      </c>
      <c r="K635">
        <v>51877</v>
      </c>
      <c r="L635" t="s">
        <v>66</v>
      </c>
      <c r="M635" t="s">
        <v>126</v>
      </c>
      <c r="N635" s="25"/>
      <c r="O635">
        <v>0</v>
      </c>
    </row>
    <row r="636" spans="1:15">
      <c r="A636" t="s">
        <v>755</v>
      </c>
      <c r="B636" t="s">
        <v>266</v>
      </c>
      <c r="C636" t="s">
        <v>56</v>
      </c>
      <c r="D636" t="s">
        <v>64</v>
      </c>
      <c r="E636" t="s">
        <v>65</v>
      </c>
      <c r="F636">
        <v>43</v>
      </c>
      <c r="G636" t="s">
        <v>95</v>
      </c>
      <c r="H636" s="24">
        <v>42753</v>
      </c>
      <c r="I636">
        <v>86417</v>
      </c>
      <c r="J636">
        <v>0</v>
      </c>
      <c r="K636">
        <v>86417</v>
      </c>
      <c r="L636" t="s">
        <v>60</v>
      </c>
      <c r="M636" t="s">
        <v>73</v>
      </c>
      <c r="N636" s="25"/>
      <c r="O636">
        <v>0</v>
      </c>
    </row>
    <row r="637" spans="1:15">
      <c r="A637" t="s">
        <v>756</v>
      </c>
      <c r="B637" t="s">
        <v>228</v>
      </c>
      <c r="C637" t="s">
        <v>56</v>
      </c>
      <c r="D637" t="s">
        <v>57</v>
      </c>
      <c r="E637" t="s">
        <v>58</v>
      </c>
      <c r="F637">
        <v>65</v>
      </c>
      <c r="G637" t="s">
        <v>107</v>
      </c>
      <c r="H637" s="24">
        <v>37749</v>
      </c>
      <c r="I637">
        <v>96548</v>
      </c>
      <c r="J637">
        <v>0</v>
      </c>
      <c r="K637">
        <v>96548</v>
      </c>
      <c r="L637" t="s">
        <v>60</v>
      </c>
      <c r="M637" t="s">
        <v>91</v>
      </c>
      <c r="N637" s="25"/>
      <c r="O637">
        <v>0</v>
      </c>
    </row>
    <row r="638" spans="1:15">
      <c r="A638" t="s">
        <v>757</v>
      </c>
      <c r="B638" t="s">
        <v>78</v>
      </c>
      <c r="C638" t="s">
        <v>90</v>
      </c>
      <c r="D638" t="s">
        <v>64</v>
      </c>
      <c r="E638" t="s">
        <v>58</v>
      </c>
      <c r="F638">
        <v>43</v>
      </c>
      <c r="G638" t="s">
        <v>95</v>
      </c>
      <c r="H638" s="24">
        <v>41662</v>
      </c>
      <c r="I638">
        <v>92940</v>
      </c>
      <c r="J638">
        <v>0</v>
      </c>
      <c r="K638">
        <v>92940</v>
      </c>
      <c r="L638" t="s">
        <v>66</v>
      </c>
      <c r="M638" t="s">
        <v>138</v>
      </c>
      <c r="N638" s="25"/>
      <c r="O638">
        <v>0</v>
      </c>
    </row>
    <row r="639" spans="1:15">
      <c r="A639" t="s">
        <v>758</v>
      </c>
      <c r="B639" t="s">
        <v>132</v>
      </c>
      <c r="C639" t="s">
        <v>90</v>
      </c>
      <c r="D639" t="s">
        <v>71</v>
      </c>
      <c r="E639" t="s">
        <v>65</v>
      </c>
      <c r="F639">
        <v>28</v>
      </c>
      <c r="G639" t="s">
        <v>76</v>
      </c>
      <c r="H639" s="24">
        <v>43336</v>
      </c>
      <c r="I639">
        <v>61410</v>
      </c>
      <c r="J639">
        <v>0</v>
      </c>
      <c r="K639">
        <v>61410</v>
      </c>
      <c r="L639" t="s">
        <v>60</v>
      </c>
      <c r="M639" t="s">
        <v>79</v>
      </c>
      <c r="N639" s="25"/>
      <c r="O639">
        <v>0</v>
      </c>
    </row>
    <row r="640" spans="1:15">
      <c r="A640" t="s">
        <v>759</v>
      </c>
      <c r="B640" t="s">
        <v>85</v>
      </c>
      <c r="C640" t="s">
        <v>70</v>
      </c>
      <c r="D640" t="s">
        <v>71</v>
      </c>
      <c r="E640" t="s">
        <v>58</v>
      </c>
      <c r="F640">
        <v>61</v>
      </c>
      <c r="G640" t="s">
        <v>59</v>
      </c>
      <c r="H640" s="24">
        <v>40293</v>
      </c>
      <c r="I640">
        <v>110302</v>
      </c>
      <c r="J640">
        <v>0.06</v>
      </c>
      <c r="K640">
        <v>116920</v>
      </c>
      <c r="L640" t="s">
        <v>60</v>
      </c>
      <c r="M640" t="s">
        <v>88</v>
      </c>
      <c r="N640" s="25"/>
      <c r="O640">
        <v>0</v>
      </c>
    </row>
    <row r="641" spans="1:15">
      <c r="A641" t="s">
        <v>760</v>
      </c>
      <c r="B641" t="s">
        <v>69</v>
      </c>
      <c r="C641" t="s">
        <v>98</v>
      </c>
      <c r="D641" t="s">
        <v>71</v>
      </c>
      <c r="E641" t="s">
        <v>58</v>
      </c>
      <c r="F641">
        <v>45</v>
      </c>
      <c r="G641" t="s">
        <v>72</v>
      </c>
      <c r="H641" s="24">
        <v>43212</v>
      </c>
      <c r="I641">
        <v>187205</v>
      </c>
      <c r="J641">
        <v>0.24</v>
      </c>
      <c r="K641">
        <v>232134</v>
      </c>
      <c r="L641" t="s">
        <v>60</v>
      </c>
      <c r="M641" t="s">
        <v>110</v>
      </c>
      <c r="N641" s="25">
        <v>44732</v>
      </c>
      <c r="O641">
        <v>1</v>
      </c>
    </row>
    <row r="642" spans="1:15">
      <c r="A642" t="s">
        <v>761</v>
      </c>
      <c r="B642" t="s">
        <v>78</v>
      </c>
      <c r="C642" t="s">
        <v>82</v>
      </c>
      <c r="D642" t="s">
        <v>83</v>
      </c>
      <c r="E642" t="s">
        <v>65</v>
      </c>
      <c r="F642">
        <v>45</v>
      </c>
      <c r="G642" t="s">
        <v>72</v>
      </c>
      <c r="H642" s="24">
        <v>40618</v>
      </c>
      <c r="I642">
        <v>81687</v>
      </c>
      <c r="J642">
        <v>0</v>
      </c>
      <c r="K642">
        <v>81687</v>
      </c>
      <c r="L642" t="s">
        <v>60</v>
      </c>
      <c r="M642" t="s">
        <v>79</v>
      </c>
      <c r="N642" s="25"/>
      <c r="O642">
        <v>0</v>
      </c>
    </row>
    <row r="643" spans="1:15">
      <c r="A643" t="s">
        <v>762</v>
      </c>
      <c r="B643" t="s">
        <v>104</v>
      </c>
      <c r="C643" t="s">
        <v>56</v>
      </c>
      <c r="D643" t="s">
        <v>71</v>
      </c>
      <c r="E643" t="s">
        <v>65</v>
      </c>
      <c r="F643">
        <v>54</v>
      </c>
      <c r="G643" t="s">
        <v>72</v>
      </c>
      <c r="H643" s="24">
        <v>40040</v>
      </c>
      <c r="I643">
        <v>241083</v>
      </c>
      <c r="J643">
        <v>0.39</v>
      </c>
      <c r="K643">
        <v>335105</v>
      </c>
      <c r="L643" t="s">
        <v>60</v>
      </c>
      <c r="M643" t="s">
        <v>110</v>
      </c>
      <c r="N643" s="25"/>
      <c r="O643">
        <v>0</v>
      </c>
    </row>
    <row r="644" spans="1:15">
      <c r="A644" t="s">
        <v>763</v>
      </c>
      <c r="B644" t="s">
        <v>104</v>
      </c>
      <c r="C644" t="s">
        <v>70</v>
      </c>
      <c r="D644" t="s">
        <v>71</v>
      </c>
      <c r="E644" t="s">
        <v>58</v>
      </c>
      <c r="F644">
        <v>38</v>
      </c>
      <c r="G644" t="s">
        <v>95</v>
      </c>
      <c r="H644" s="24">
        <v>43413</v>
      </c>
      <c r="I644">
        <v>223805</v>
      </c>
      <c r="J644">
        <v>0.36</v>
      </c>
      <c r="K644">
        <v>304375</v>
      </c>
      <c r="L644" t="s">
        <v>60</v>
      </c>
      <c r="M644" t="s">
        <v>73</v>
      </c>
      <c r="N644" s="25"/>
      <c r="O644">
        <v>0</v>
      </c>
    </row>
    <row r="645" spans="1:15">
      <c r="A645" t="s">
        <v>764</v>
      </c>
      <c r="B645" t="s">
        <v>69</v>
      </c>
      <c r="C645" t="s">
        <v>90</v>
      </c>
      <c r="D645" t="s">
        <v>83</v>
      </c>
      <c r="E645" t="s">
        <v>58</v>
      </c>
      <c r="F645">
        <v>27</v>
      </c>
      <c r="G645" t="s">
        <v>76</v>
      </c>
      <c r="H645" s="24">
        <v>44393</v>
      </c>
      <c r="I645">
        <v>161759</v>
      </c>
      <c r="J645">
        <v>0.16</v>
      </c>
      <c r="K645">
        <v>187640</v>
      </c>
      <c r="L645" t="s">
        <v>60</v>
      </c>
      <c r="M645" t="s">
        <v>88</v>
      </c>
      <c r="N645" s="25"/>
      <c r="O645">
        <v>0</v>
      </c>
    </row>
    <row r="646" spans="1:15">
      <c r="A646" t="s">
        <v>765</v>
      </c>
      <c r="B646" t="s">
        <v>75</v>
      </c>
      <c r="C646" t="s">
        <v>56</v>
      </c>
      <c r="D646" t="s">
        <v>57</v>
      </c>
      <c r="E646" t="s">
        <v>65</v>
      </c>
      <c r="F646">
        <v>40</v>
      </c>
      <c r="G646" t="s">
        <v>95</v>
      </c>
      <c r="H646" s="24">
        <v>43520</v>
      </c>
      <c r="I646">
        <v>95899</v>
      </c>
      <c r="J646">
        <v>0.1</v>
      </c>
      <c r="K646">
        <v>105489</v>
      </c>
      <c r="L646" t="s">
        <v>60</v>
      </c>
      <c r="M646" t="s">
        <v>110</v>
      </c>
      <c r="N646" s="25">
        <v>44263</v>
      </c>
      <c r="O646">
        <v>1</v>
      </c>
    </row>
    <row r="647" spans="1:15">
      <c r="A647" t="s">
        <v>766</v>
      </c>
      <c r="B647" t="s">
        <v>78</v>
      </c>
      <c r="C647" t="s">
        <v>70</v>
      </c>
      <c r="D647" t="s">
        <v>83</v>
      </c>
      <c r="E647" t="s">
        <v>65</v>
      </c>
      <c r="F647">
        <v>49</v>
      </c>
      <c r="G647" t="s">
        <v>72</v>
      </c>
      <c r="H647" s="24">
        <v>43623</v>
      </c>
      <c r="I647">
        <v>80700</v>
      </c>
      <c r="J647">
        <v>0</v>
      </c>
      <c r="K647">
        <v>80700</v>
      </c>
      <c r="L647" t="s">
        <v>60</v>
      </c>
      <c r="M647" t="s">
        <v>110</v>
      </c>
      <c r="N647" s="25"/>
      <c r="O647">
        <v>0</v>
      </c>
    </row>
    <row r="648" spans="1:15">
      <c r="A648" t="s">
        <v>767</v>
      </c>
      <c r="B648" t="s">
        <v>85</v>
      </c>
      <c r="C648" t="s">
        <v>94</v>
      </c>
      <c r="D648" t="s">
        <v>71</v>
      </c>
      <c r="E648" t="s">
        <v>65</v>
      </c>
      <c r="F648">
        <v>54</v>
      </c>
      <c r="G648" t="s">
        <v>72</v>
      </c>
      <c r="H648" s="24">
        <v>35500</v>
      </c>
      <c r="I648">
        <v>128136</v>
      </c>
      <c r="J648">
        <v>0.05</v>
      </c>
      <c r="K648">
        <v>134543</v>
      </c>
      <c r="L648" t="s">
        <v>66</v>
      </c>
      <c r="M648" t="s">
        <v>126</v>
      </c>
      <c r="N648" s="25"/>
      <c r="O648">
        <v>0</v>
      </c>
    </row>
    <row r="649" spans="1:15">
      <c r="A649" t="s">
        <v>768</v>
      </c>
      <c r="B649" t="s">
        <v>132</v>
      </c>
      <c r="C649" t="s">
        <v>105</v>
      </c>
      <c r="D649" t="s">
        <v>83</v>
      </c>
      <c r="E649" t="s">
        <v>58</v>
      </c>
      <c r="F649">
        <v>39</v>
      </c>
      <c r="G649" t="s">
        <v>95</v>
      </c>
      <c r="H649" s="24">
        <v>42843</v>
      </c>
      <c r="I649">
        <v>58745</v>
      </c>
      <c r="J649">
        <v>0</v>
      </c>
      <c r="K649">
        <v>58745</v>
      </c>
      <c r="L649" t="s">
        <v>60</v>
      </c>
      <c r="M649" t="s">
        <v>91</v>
      </c>
      <c r="N649" s="25"/>
      <c r="O649">
        <v>0</v>
      </c>
    </row>
    <row r="650" spans="1:15">
      <c r="A650" t="s">
        <v>769</v>
      </c>
      <c r="B650" t="s">
        <v>63</v>
      </c>
      <c r="C650" t="s">
        <v>56</v>
      </c>
      <c r="D650" t="s">
        <v>83</v>
      </c>
      <c r="E650" t="s">
        <v>58</v>
      </c>
      <c r="F650">
        <v>57</v>
      </c>
      <c r="G650" t="s">
        <v>59</v>
      </c>
      <c r="H650" s="24">
        <v>33728</v>
      </c>
      <c r="I650">
        <v>76202</v>
      </c>
      <c r="J650">
        <v>0</v>
      </c>
      <c r="K650">
        <v>76202</v>
      </c>
      <c r="L650" t="s">
        <v>60</v>
      </c>
      <c r="M650" t="s">
        <v>91</v>
      </c>
      <c r="N650" s="25">
        <v>34686</v>
      </c>
      <c r="O650">
        <v>1</v>
      </c>
    </row>
    <row r="651" spans="1:15">
      <c r="A651" t="s">
        <v>770</v>
      </c>
      <c r="B651" t="s">
        <v>104</v>
      </c>
      <c r="C651" t="s">
        <v>82</v>
      </c>
      <c r="D651" t="s">
        <v>71</v>
      </c>
      <c r="E651" t="s">
        <v>65</v>
      </c>
      <c r="F651">
        <v>36</v>
      </c>
      <c r="G651" t="s">
        <v>95</v>
      </c>
      <c r="H651" s="24">
        <v>43178</v>
      </c>
      <c r="I651">
        <v>195200</v>
      </c>
      <c r="J651">
        <v>0.36</v>
      </c>
      <c r="K651">
        <v>265472</v>
      </c>
      <c r="L651" t="s">
        <v>60</v>
      </c>
      <c r="M651" t="s">
        <v>91</v>
      </c>
      <c r="N651" s="25"/>
      <c r="O651">
        <v>0</v>
      </c>
    </row>
    <row r="652" spans="1:15">
      <c r="A652" t="s">
        <v>771</v>
      </c>
      <c r="B652" t="s">
        <v>132</v>
      </c>
      <c r="C652" t="s">
        <v>70</v>
      </c>
      <c r="D652" t="s">
        <v>64</v>
      </c>
      <c r="E652" t="s">
        <v>58</v>
      </c>
      <c r="F652">
        <v>45</v>
      </c>
      <c r="G652" t="s">
        <v>72</v>
      </c>
      <c r="H652" s="24">
        <v>42711</v>
      </c>
      <c r="I652">
        <v>71454</v>
      </c>
      <c r="J652">
        <v>0</v>
      </c>
      <c r="K652">
        <v>71454</v>
      </c>
      <c r="L652" t="s">
        <v>66</v>
      </c>
      <c r="M652" t="s">
        <v>101</v>
      </c>
      <c r="N652" s="25"/>
      <c r="O652">
        <v>0</v>
      </c>
    </row>
    <row r="653" spans="1:15">
      <c r="A653" t="s">
        <v>772</v>
      </c>
      <c r="B653" t="s">
        <v>178</v>
      </c>
      <c r="C653" t="s">
        <v>56</v>
      </c>
      <c r="D653" t="s">
        <v>64</v>
      </c>
      <c r="E653" t="s">
        <v>58</v>
      </c>
      <c r="F653">
        <v>30</v>
      </c>
      <c r="G653" t="s">
        <v>76</v>
      </c>
      <c r="H653" s="24">
        <v>43864</v>
      </c>
      <c r="I653">
        <v>94652</v>
      </c>
      <c r="J653">
        <v>0</v>
      </c>
      <c r="K653">
        <v>94652</v>
      </c>
      <c r="L653" t="s">
        <v>60</v>
      </c>
      <c r="M653" t="s">
        <v>61</v>
      </c>
      <c r="N653" s="25"/>
      <c r="O653">
        <v>0</v>
      </c>
    </row>
    <row r="654" spans="1:15">
      <c r="A654" t="s">
        <v>773</v>
      </c>
      <c r="B654" t="s">
        <v>63</v>
      </c>
      <c r="C654" t="s">
        <v>56</v>
      </c>
      <c r="D654" t="s">
        <v>64</v>
      </c>
      <c r="E654" t="s">
        <v>65</v>
      </c>
      <c r="F654">
        <v>34</v>
      </c>
      <c r="G654" t="s">
        <v>76</v>
      </c>
      <c r="H654" s="24">
        <v>42416</v>
      </c>
      <c r="I654">
        <v>63411</v>
      </c>
      <c r="J654">
        <v>0</v>
      </c>
      <c r="K654">
        <v>63411</v>
      </c>
      <c r="L654" t="s">
        <v>60</v>
      </c>
      <c r="M654" t="s">
        <v>88</v>
      </c>
      <c r="N654" s="25"/>
      <c r="O654">
        <v>0</v>
      </c>
    </row>
    <row r="655" spans="1:15">
      <c r="A655" t="s">
        <v>774</v>
      </c>
      <c r="B655" t="s">
        <v>132</v>
      </c>
      <c r="C655" t="s">
        <v>82</v>
      </c>
      <c r="D655" t="s">
        <v>71</v>
      </c>
      <c r="E655" t="s">
        <v>65</v>
      </c>
      <c r="F655">
        <v>31</v>
      </c>
      <c r="G655" t="s">
        <v>76</v>
      </c>
      <c r="H655" s="24">
        <v>43878</v>
      </c>
      <c r="I655">
        <v>67171</v>
      </c>
      <c r="J655">
        <v>0</v>
      </c>
      <c r="K655">
        <v>67171</v>
      </c>
      <c r="L655" t="s">
        <v>66</v>
      </c>
      <c r="M655" t="s">
        <v>67</v>
      </c>
      <c r="N655" s="25">
        <v>44317</v>
      </c>
      <c r="O655">
        <v>1</v>
      </c>
    </row>
    <row r="656" spans="1:15">
      <c r="A656" t="s">
        <v>775</v>
      </c>
      <c r="B656" t="s">
        <v>55</v>
      </c>
      <c r="C656" t="s">
        <v>90</v>
      </c>
      <c r="D656" t="s">
        <v>71</v>
      </c>
      <c r="E656" t="s">
        <v>58</v>
      </c>
      <c r="F656">
        <v>28</v>
      </c>
      <c r="G656" t="s">
        <v>76</v>
      </c>
      <c r="H656" s="24">
        <v>43652</v>
      </c>
      <c r="I656">
        <v>152036</v>
      </c>
      <c r="J656">
        <v>0.15</v>
      </c>
      <c r="K656">
        <v>174841</v>
      </c>
      <c r="L656" t="s">
        <v>113</v>
      </c>
      <c r="M656" t="s">
        <v>117</v>
      </c>
      <c r="N656" s="25"/>
      <c r="O656">
        <v>0</v>
      </c>
    </row>
    <row r="657" spans="1:15">
      <c r="A657" t="s">
        <v>776</v>
      </c>
      <c r="B657" t="s">
        <v>97</v>
      </c>
      <c r="C657" t="s">
        <v>98</v>
      </c>
      <c r="D657" t="s">
        <v>64</v>
      </c>
      <c r="E657" t="s">
        <v>58</v>
      </c>
      <c r="F657">
        <v>55</v>
      </c>
      <c r="G657" t="s">
        <v>59</v>
      </c>
      <c r="H657" s="24">
        <v>44276</v>
      </c>
      <c r="I657">
        <v>95562</v>
      </c>
      <c r="J657">
        <v>0</v>
      </c>
      <c r="K657">
        <v>95562</v>
      </c>
      <c r="L657" t="s">
        <v>60</v>
      </c>
      <c r="M657" t="s">
        <v>73</v>
      </c>
      <c r="N657" s="25"/>
      <c r="O657">
        <v>0</v>
      </c>
    </row>
    <row r="658" spans="1:15">
      <c r="A658" t="s">
        <v>777</v>
      </c>
      <c r="B658" t="s">
        <v>78</v>
      </c>
      <c r="C658" t="s">
        <v>82</v>
      </c>
      <c r="D658" t="s">
        <v>57</v>
      </c>
      <c r="E658" t="s">
        <v>65</v>
      </c>
      <c r="F658">
        <v>30</v>
      </c>
      <c r="G658" t="s">
        <v>76</v>
      </c>
      <c r="H658" s="24">
        <v>43773</v>
      </c>
      <c r="I658">
        <v>96092</v>
      </c>
      <c r="J658">
        <v>0</v>
      </c>
      <c r="K658">
        <v>96092</v>
      </c>
      <c r="L658" t="s">
        <v>60</v>
      </c>
      <c r="M658" t="s">
        <v>91</v>
      </c>
      <c r="N658" s="25"/>
      <c r="O658">
        <v>0</v>
      </c>
    </row>
    <row r="659" spans="1:15">
      <c r="A659" t="s">
        <v>778</v>
      </c>
      <c r="B659" t="s">
        <v>104</v>
      </c>
      <c r="C659" t="s">
        <v>98</v>
      </c>
      <c r="D659" t="s">
        <v>64</v>
      </c>
      <c r="E659" t="s">
        <v>65</v>
      </c>
      <c r="F659">
        <v>63</v>
      </c>
      <c r="G659" t="s">
        <v>59</v>
      </c>
      <c r="H659" s="24">
        <v>41428</v>
      </c>
      <c r="I659">
        <v>254289</v>
      </c>
      <c r="J659">
        <v>0.39</v>
      </c>
      <c r="K659">
        <v>353462</v>
      </c>
      <c r="L659" t="s">
        <v>60</v>
      </c>
      <c r="M659" t="s">
        <v>73</v>
      </c>
      <c r="N659" s="25"/>
      <c r="O659">
        <v>0</v>
      </c>
    </row>
    <row r="660" spans="1:15">
      <c r="A660" t="s">
        <v>779</v>
      </c>
      <c r="B660" t="s">
        <v>75</v>
      </c>
      <c r="C660" t="s">
        <v>56</v>
      </c>
      <c r="D660" t="s">
        <v>57</v>
      </c>
      <c r="E660" t="s">
        <v>65</v>
      </c>
      <c r="F660">
        <v>26</v>
      </c>
      <c r="G660" t="s">
        <v>76</v>
      </c>
      <c r="H660" s="24">
        <v>43656</v>
      </c>
      <c r="I660">
        <v>69110</v>
      </c>
      <c r="J660">
        <v>0.05</v>
      </c>
      <c r="K660">
        <v>72566</v>
      </c>
      <c r="L660" t="s">
        <v>60</v>
      </c>
      <c r="M660" t="s">
        <v>73</v>
      </c>
      <c r="N660" s="25"/>
      <c r="O660">
        <v>0</v>
      </c>
    </row>
    <row r="661" spans="1:15">
      <c r="A661" t="s">
        <v>780</v>
      </c>
      <c r="B661" t="s">
        <v>104</v>
      </c>
      <c r="C661" t="s">
        <v>105</v>
      </c>
      <c r="D661" t="s">
        <v>71</v>
      </c>
      <c r="E661" t="s">
        <v>65</v>
      </c>
      <c r="F661">
        <v>52</v>
      </c>
      <c r="G661" t="s">
        <v>72</v>
      </c>
      <c r="H661" s="24">
        <v>37418</v>
      </c>
      <c r="I661">
        <v>236314</v>
      </c>
      <c r="J661">
        <v>0.34</v>
      </c>
      <c r="K661">
        <v>316661</v>
      </c>
      <c r="L661" t="s">
        <v>60</v>
      </c>
      <c r="M661" t="s">
        <v>88</v>
      </c>
      <c r="N661" s="25"/>
      <c r="O661">
        <v>0</v>
      </c>
    </row>
    <row r="662" spans="1:15">
      <c r="A662" t="s">
        <v>781</v>
      </c>
      <c r="B662" t="s">
        <v>87</v>
      </c>
      <c r="C662" t="s">
        <v>105</v>
      </c>
      <c r="D662" t="s">
        <v>83</v>
      </c>
      <c r="E662" t="s">
        <v>65</v>
      </c>
      <c r="F662">
        <v>51</v>
      </c>
      <c r="G662" t="s">
        <v>72</v>
      </c>
      <c r="H662" s="24">
        <v>39252</v>
      </c>
      <c r="I662">
        <v>45206</v>
      </c>
      <c r="J662">
        <v>0</v>
      </c>
      <c r="K662">
        <v>45206</v>
      </c>
      <c r="L662" t="s">
        <v>60</v>
      </c>
      <c r="M662" t="s">
        <v>110</v>
      </c>
      <c r="N662" s="25"/>
      <c r="O662">
        <v>0</v>
      </c>
    </row>
    <row r="663" spans="1:15">
      <c r="A663" t="s">
        <v>782</v>
      </c>
      <c r="B663" t="s">
        <v>104</v>
      </c>
      <c r="C663" t="s">
        <v>70</v>
      </c>
      <c r="D663" t="s">
        <v>57</v>
      </c>
      <c r="E663" t="s">
        <v>58</v>
      </c>
      <c r="F663">
        <v>25</v>
      </c>
      <c r="G663" t="s">
        <v>76</v>
      </c>
      <c r="H663" s="24">
        <v>44515</v>
      </c>
      <c r="I663">
        <v>210708</v>
      </c>
      <c r="J663">
        <v>0.33</v>
      </c>
      <c r="K663">
        <v>280242</v>
      </c>
      <c r="L663" t="s">
        <v>60</v>
      </c>
      <c r="M663" t="s">
        <v>73</v>
      </c>
      <c r="N663" s="25"/>
      <c r="O663">
        <v>0</v>
      </c>
    </row>
    <row r="664" spans="1:15">
      <c r="A664" t="s">
        <v>783</v>
      </c>
      <c r="B664" t="s">
        <v>228</v>
      </c>
      <c r="C664" t="s">
        <v>56</v>
      </c>
      <c r="D664" t="s">
        <v>83</v>
      </c>
      <c r="E664" t="s">
        <v>65</v>
      </c>
      <c r="F664">
        <v>40</v>
      </c>
      <c r="G664" t="s">
        <v>95</v>
      </c>
      <c r="H664" s="24">
        <v>44465</v>
      </c>
      <c r="I664">
        <v>87770</v>
      </c>
      <c r="J664">
        <v>0</v>
      </c>
      <c r="K664">
        <v>87770</v>
      </c>
      <c r="L664" t="s">
        <v>60</v>
      </c>
      <c r="M664" t="s">
        <v>91</v>
      </c>
      <c r="N664" s="25"/>
      <c r="O664">
        <v>0</v>
      </c>
    </row>
    <row r="665" spans="1:15">
      <c r="A665" t="s">
        <v>784</v>
      </c>
      <c r="B665" t="s">
        <v>85</v>
      </c>
      <c r="C665" t="s">
        <v>90</v>
      </c>
      <c r="D665" t="s">
        <v>83</v>
      </c>
      <c r="E665" t="s">
        <v>58</v>
      </c>
      <c r="F665">
        <v>38</v>
      </c>
      <c r="G665" t="s">
        <v>95</v>
      </c>
      <c r="H665" s="24">
        <v>42228</v>
      </c>
      <c r="I665">
        <v>106858</v>
      </c>
      <c r="J665">
        <v>0.05</v>
      </c>
      <c r="K665">
        <v>112201</v>
      </c>
      <c r="L665" t="s">
        <v>60</v>
      </c>
      <c r="M665" t="s">
        <v>61</v>
      </c>
      <c r="N665" s="25"/>
      <c r="O665">
        <v>0</v>
      </c>
    </row>
    <row r="666" spans="1:15">
      <c r="A666" t="s">
        <v>785</v>
      </c>
      <c r="B666" t="s">
        <v>69</v>
      </c>
      <c r="C666" t="s">
        <v>94</v>
      </c>
      <c r="D666" t="s">
        <v>83</v>
      </c>
      <c r="E666" t="s">
        <v>65</v>
      </c>
      <c r="F666">
        <v>60</v>
      </c>
      <c r="G666" t="s">
        <v>59</v>
      </c>
      <c r="H666" s="24">
        <v>42108</v>
      </c>
      <c r="I666">
        <v>155788</v>
      </c>
      <c r="J666">
        <v>0.17</v>
      </c>
      <c r="K666">
        <v>182272</v>
      </c>
      <c r="L666" t="s">
        <v>60</v>
      </c>
      <c r="M666" t="s">
        <v>61</v>
      </c>
      <c r="N666" s="25"/>
      <c r="O666">
        <v>0</v>
      </c>
    </row>
    <row r="667" spans="1:15">
      <c r="A667" t="s">
        <v>786</v>
      </c>
      <c r="B667" t="s">
        <v>143</v>
      </c>
      <c r="C667" t="s">
        <v>94</v>
      </c>
      <c r="D667" t="s">
        <v>71</v>
      </c>
      <c r="E667" t="s">
        <v>58</v>
      </c>
      <c r="F667">
        <v>45</v>
      </c>
      <c r="G667" t="s">
        <v>72</v>
      </c>
      <c r="H667" s="24">
        <v>43581</v>
      </c>
      <c r="I667">
        <v>74891</v>
      </c>
      <c r="J667">
        <v>0</v>
      </c>
      <c r="K667">
        <v>74891</v>
      </c>
      <c r="L667" t="s">
        <v>113</v>
      </c>
      <c r="M667" t="s">
        <v>117</v>
      </c>
      <c r="N667" s="25"/>
      <c r="O667">
        <v>0</v>
      </c>
    </row>
    <row r="668" spans="1:15">
      <c r="A668" t="s">
        <v>787</v>
      </c>
      <c r="B668" t="s">
        <v>97</v>
      </c>
      <c r="C668" t="s">
        <v>98</v>
      </c>
      <c r="D668" t="s">
        <v>83</v>
      </c>
      <c r="E668" t="s">
        <v>65</v>
      </c>
      <c r="F668">
        <v>28</v>
      </c>
      <c r="G668" t="s">
        <v>76</v>
      </c>
      <c r="H668" s="24">
        <v>44548</v>
      </c>
      <c r="I668">
        <v>95670</v>
      </c>
      <c r="J668">
        <v>0</v>
      </c>
      <c r="K668">
        <v>95670</v>
      </c>
      <c r="L668" t="s">
        <v>60</v>
      </c>
      <c r="M668" t="s">
        <v>79</v>
      </c>
      <c r="N668" s="25"/>
      <c r="O668">
        <v>0</v>
      </c>
    </row>
    <row r="669" spans="1:15">
      <c r="A669" t="s">
        <v>788</v>
      </c>
      <c r="B669" t="s">
        <v>81</v>
      </c>
      <c r="C669" t="s">
        <v>82</v>
      </c>
      <c r="D669" t="s">
        <v>57</v>
      </c>
      <c r="E669" t="s">
        <v>58</v>
      </c>
      <c r="F669">
        <v>65</v>
      </c>
      <c r="G669" t="s">
        <v>107</v>
      </c>
      <c r="H669" s="24">
        <v>36798</v>
      </c>
      <c r="I669">
        <v>67837</v>
      </c>
      <c r="J669">
        <v>0</v>
      </c>
      <c r="K669">
        <v>67837</v>
      </c>
      <c r="L669" t="s">
        <v>60</v>
      </c>
      <c r="M669" t="s">
        <v>91</v>
      </c>
      <c r="N669" s="25"/>
      <c r="O669">
        <v>0</v>
      </c>
    </row>
    <row r="670" spans="1:15">
      <c r="A670" t="s">
        <v>789</v>
      </c>
      <c r="B670" t="s">
        <v>132</v>
      </c>
      <c r="C670" t="s">
        <v>82</v>
      </c>
      <c r="D670" t="s">
        <v>57</v>
      </c>
      <c r="E670" t="s">
        <v>65</v>
      </c>
      <c r="F670">
        <v>41</v>
      </c>
      <c r="G670" t="s">
        <v>95</v>
      </c>
      <c r="H670" s="24">
        <v>40333</v>
      </c>
      <c r="I670">
        <v>72425</v>
      </c>
      <c r="J670">
        <v>0</v>
      </c>
      <c r="K670">
        <v>72425</v>
      </c>
      <c r="L670" t="s">
        <v>66</v>
      </c>
      <c r="M670" t="s">
        <v>126</v>
      </c>
      <c r="N670" s="25"/>
      <c r="O670">
        <v>0</v>
      </c>
    </row>
    <row r="671" spans="1:15">
      <c r="A671" t="s">
        <v>790</v>
      </c>
      <c r="B671" t="s">
        <v>78</v>
      </c>
      <c r="C671" t="s">
        <v>82</v>
      </c>
      <c r="D671" t="s">
        <v>83</v>
      </c>
      <c r="E671" t="s">
        <v>58</v>
      </c>
      <c r="F671">
        <v>52</v>
      </c>
      <c r="G671" t="s">
        <v>72</v>
      </c>
      <c r="H671" s="24">
        <v>34623</v>
      </c>
      <c r="I671">
        <v>93103</v>
      </c>
      <c r="J671">
        <v>0</v>
      </c>
      <c r="K671">
        <v>93103</v>
      </c>
      <c r="L671" t="s">
        <v>60</v>
      </c>
      <c r="M671" t="s">
        <v>79</v>
      </c>
      <c r="N671" s="25"/>
      <c r="O671">
        <v>0</v>
      </c>
    </row>
    <row r="672" spans="1:15">
      <c r="A672" t="s">
        <v>791</v>
      </c>
      <c r="B672" t="s">
        <v>97</v>
      </c>
      <c r="C672" t="s">
        <v>98</v>
      </c>
      <c r="D672" t="s">
        <v>83</v>
      </c>
      <c r="E672" t="s">
        <v>58</v>
      </c>
      <c r="F672">
        <v>56</v>
      </c>
      <c r="G672" t="s">
        <v>59</v>
      </c>
      <c r="H672" s="24">
        <v>42291</v>
      </c>
      <c r="I672">
        <v>76272</v>
      </c>
      <c r="J672">
        <v>0</v>
      </c>
      <c r="K672">
        <v>76272</v>
      </c>
      <c r="L672" t="s">
        <v>60</v>
      </c>
      <c r="M672" t="s">
        <v>88</v>
      </c>
      <c r="N672" s="25">
        <v>44491</v>
      </c>
      <c r="O672">
        <v>1</v>
      </c>
    </row>
    <row r="673" spans="1:15">
      <c r="A673" t="s">
        <v>792</v>
      </c>
      <c r="B673" t="s">
        <v>132</v>
      </c>
      <c r="C673" t="s">
        <v>70</v>
      </c>
      <c r="D673" t="s">
        <v>64</v>
      </c>
      <c r="E673" t="s">
        <v>58</v>
      </c>
      <c r="F673">
        <v>48</v>
      </c>
      <c r="G673" t="s">
        <v>72</v>
      </c>
      <c r="H673" s="24">
        <v>37796</v>
      </c>
      <c r="I673">
        <v>55760</v>
      </c>
      <c r="J673">
        <v>0</v>
      </c>
      <c r="K673">
        <v>55760</v>
      </c>
      <c r="L673" t="s">
        <v>60</v>
      </c>
      <c r="M673" t="s">
        <v>91</v>
      </c>
      <c r="N673" s="25"/>
      <c r="O673">
        <v>0</v>
      </c>
    </row>
    <row r="674" spans="1:15">
      <c r="A674" t="s">
        <v>793</v>
      </c>
      <c r="B674" t="s">
        <v>104</v>
      </c>
      <c r="C674" t="s">
        <v>90</v>
      </c>
      <c r="D674" t="s">
        <v>83</v>
      </c>
      <c r="E674" t="s">
        <v>58</v>
      </c>
      <c r="F674">
        <v>36</v>
      </c>
      <c r="G674" t="s">
        <v>95</v>
      </c>
      <c r="H674" s="24">
        <v>43843</v>
      </c>
      <c r="I674">
        <v>253294</v>
      </c>
      <c r="J674">
        <v>0.4</v>
      </c>
      <c r="K674">
        <v>354612</v>
      </c>
      <c r="L674" t="s">
        <v>60</v>
      </c>
      <c r="M674" t="s">
        <v>88</v>
      </c>
      <c r="N674" s="25"/>
      <c r="O674">
        <v>0</v>
      </c>
    </row>
    <row r="675" spans="1:15">
      <c r="A675" t="s">
        <v>794</v>
      </c>
      <c r="B675" t="s">
        <v>132</v>
      </c>
      <c r="C675" t="s">
        <v>70</v>
      </c>
      <c r="D675" t="s">
        <v>83</v>
      </c>
      <c r="E675" t="s">
        <v>65</v>
      </c>
      <c r="F675">
        <v>60</v>
      </c>
      <c r="G675" t="s">
        <v>59</v>
      </c>
      <c r="H675" s="24">
        <v>39310</v>
      </c>
      <c r="I675">
        <v>58671</v>
      </c>
      <c r="J675">
        <v>0</v>
      </c>
      <c r="K675">
        <v>58671</v>
      </c>
      <c r="L675" t="s">
        <v>60</v>
      </c>
      <c r="M675" t="s">
        <v>110</v>
      </c>
      <c r="N675" s="25"/>
      <c r="O675">
        <v>0</v>
      </c>
    </row>
    <row r="676" spans="1:15">
      <c r="A676" t="s">
        <v>795</v>
      </c>
      <c r="B676" t="s">
        <v>81</v>
      </c>
      <c r="C676" t="s">
        <v>82</v>
      </c>
      <c r="D676" t="s">
        <v>57</v>
      </c>
      <c r="E676" t="s">
        <v>58</v>
      </c>
      <c r="F676">
        <v>40</v>
      </c>
      <c r="G676" t="s">
        <v>95</v>
      </c>
      <c r="H676" s="24">
        <v>43175</v>
      </c>
      <c r="I676">
        <v>55457</v>
      </c>
      <c r="J676">
        <v>0</v>
      </c>
      <c r="K676">
        <v>55457</v>
      </c>
      <c r="L676" t="s">
        <v>60</v>
      </c>
      <c r="M676" t="s">
        <v>110</v>
      </c>
      <c r="N676" s="25"/>
      <c r="O676">
        <v>0</v>
      </c>
    </row>
    <row r="677" spans="1:15">
      <c r="A677" t="s">
        <v>796</v>
      </c>
      <c r="B677" t="s">
        <v>81</v>
      </c>
      <c r="C677" t="s">
        <v>82</v>
      </c>
      <c r="D677" t="s">
        <v>64</v>
      </c>
      <c r="E677" t="s">
        <v>58</v>
      </c>
      <c r="F677">
        <v>63</v>
      </c>
      <c r="G677" t="s">
        <v>59</v>
      </c>
      <c r="H677" s="24">
        <v>43004</v>
      </c>
      <c r="I677">
        <v>72340</v>
      </c>
      <c r="J677">
        <v>0</v>
      </c>
      <c r="K677">
        <v>72340</v>
      </c>
      <c r="L677" t="s">
        <v>60</v>
      </c>
      <c r="M677" t="s">
        <v>79</v>
      </c>
      <c r="N677" s="25">
        <v>43558</v>
      </c>
      <c r="O677">
        <v>1</v>
      </c>
    </row>
    <row r="678" spans="1:15">
      <c r="A678" t="s">
        <v>797</v>
      </c>
      <c r="B678" t="s">
        <v>85</v>
      </c>
      <c r="C678" t="s">
        <v>105</v>
      </c>
      <c r="D678" t="s">
        <v>83</v>
      </c>
      <c r="E678" t="s">
        <v>58</v>
      </c>
      <c r="F678">
        <v>29</v>
      </c>
      <c r="G678" t="s">
        <v>76</v>
      </c>
      <c r="H678" s="24">
        <v>42676</v>
      </c>
      <c r="I678">
        <v>122054</v>
      </c>
      <c r="J678">
        <v>0.06</v>
      </c>
      <c r="K678">
        <v>129377</v>
      </c>
      <c r="L678" t="s">
        <v>60</v>
      </c>
      <c r="M678" t="s">
        <v>79</v>
      </c>
      <c r="N678" s="25"/>
      <c r="O678">
        <v>0</v>
      </c>
    </row>
    <row r="679" spans="1:15">
      <c r="A679" t="s">
        <v>798</v>
      </c>
      <c r="B679" t="s">
        <v>69</v>
      </c>
      <c r="C679" t="s">
        <v>56</v>
      </c>
      <c r="D679" t="s">
        <v>64</v>
      </c>
      <c r="E679" t="s">
        <v>58</v>
      </c>
      <c r="F679">
        <v>27</v>
      </c>
      <c r="G679" t="s">
        <v>76</v>
      </c>
      <c r="H679" s="24">
        <v>43103</v>
      </c>
      <c r="I679">
        <v>167100</v>
      </c>
      <c r="J679">
        <v>0.2</v>
      </c>
      <c r="K679">
        <v>200520</v>
      </c>
      <c r="L679" t="s">
        <v>66</v>
      </c>
      <c r="M679" t="s">
        <v>138</v>
      </c>
      <c r="N679" s="25"/>
      <c r="O679">
        <v>0</v>
      </c>
    </row>
    <row r="680" spans="1:15">
      <c r="A680" t="s">
        <v>799</v>
      </c>
      <c r="B680" t="s">
        <v>63</v>
      </c>
      <c r="C680" t="s">
        <v>56</v>
      </c>
      <c r="D680" t="s">
        <v>83</v>
      </c>
      <c r="E680" t="s">
        <v>58</v>
      </c>
      <c r="F680">
        <v>53</v>
      </c>
      <c r="G680" t="s">
        <v>72</v>
      </c>
      <c r="H680" s="24">
        <v>35543</v>
      </c>
      <c r="I680">
        <v>78153</v>
      </c>
      <c r="J680">
        <v>0</v>
      </c>
      <c r="K680">
        <v>78153</v>
      </c>
      <c r="L680" t="s">
        <v>60</v>
      </c>
      <c r="M680" t="s">
        <v>88</v>
      </c>
      <c r="N680" s="25"/>
      <c r="O680">
        <v>0</v>
      </c>
    </row>
    <row r="681" spans="1:15">
      <c r="A681" t="s">
        <v>800</v>
      </c>
      <c r="B681" t="s">
        <v>85</v>
      </c>
      <c r="C681" t="s">
        <v>70</v>
      </c>
      <c r="D681" t="s">
        <v>64</v>
      </c>
      <c r="E681" t="s">
        <v>58</v>
      </c>
      <c r="F681">
        <v>37</v>
      </c>
      <c r="G681" t="s">
        <v>95</v>
      </c>
      <c r="H681" s="24">
        <v>43935</v>
      </c>
      <c r="I681">
        <v>103524</v>
      </c>
      <c r="J681">
        <v>0.09</v>
      </c>
      <c r="K681">
        <v>112841</v>
      </c>
      <c r="L681" t="s">
        <v>60</v>
      </c>
      <c r="M681" t="s">
        <v>79</v>
      </c>
      <c r="N681" s="25"/>
      <c r="O681">
        <v>0</v>
      </c>
    </row>
    <row r="682" spans="1:15">
      <c r="A682" t="s">
        <v>801</v>
      </c>
      <c r="B682" t="s">
        <v>85</v>
      </c>
      <c r="C682" t="s">
        <v>56</v>
      </c>
      <c r="D682" t="s">
        <v>83</v>
      </c>
      <c r="E682" t="s">
        <v>65</v>
      </c>
      <c r="F682">
        <v>30</v>
      </c>
      <c r="G682" t="s">
        <v>76</v>
      </c>
      <c r="H682" s="24">
        <v>42952</v>
      </c>
      <c r="I682">
        <v>119906</v>
      </c>
      <c r="J682">
        <v>0.05</v>
      </c>
      <c r="K682">
        <v>125901</v>
      </c>
      <c r="L682" t="s">
        <v>60</v>
      </c>
      <c r="M682" t="s">
        <v>110</v>
      </c>
      <c r="N682" s="25"/>
      <c r="O682">
        <v>0</v>
      </c>
    </row>
    <row r="683" spans="1:15">
      <c r="A683" t="s">
        <v>802</v>
      </c>
      <c r="B683" t="s">
        <v>87</v>
      </c>
      <c r="C683" t="s">
        <v>105</v>
      </c>
      <c r="D683" t="s">
        <v>71</v>
      </c>
      <c r="E683" t="s">
        <v>58</v>
      </c>
      <c r="F683">
        <v>28</v>
      </c>
      <c r="G683" t="s">
        <v>76</v>
      </c>
      <c r="H683" s="24">
        <v>43847</v>
      </c>
      <c r="I683">
        <v>45061</v>
      </c>
      <c r="J683">
        <v>0</v>
      </c>
      <c r="K683">
        <v>45061</v>
      </c>
      <c r="L683" t="s">
        <v>60</v>
      </c>
      <c r="M683" t="s">
        <v>88</v>
      </c>
      <c r="N683" s="25"/>
      <c r="O683">
        <v>0</v>
      </c>
    </row>
    <row r="684" spans="1:15">
      <c r="A684" t="s">
        <v>803</v>
      </c>
      <c r="B684" t="s">
        <v>303</v>
      </c>
      <c r="C684" t="s">
        <v>56</v>
      </c>
      <c r="D684" t="s">
        <v>83</v>
      </c>
      <c r="E684" t="s">
        <v>65</v>
      </c>
      <c r="F684">
        <v>51</v>
      </c>
      <c r="G684" t="s">
        <v>72</v>
      </c>
      <c r="H684" s="24">
        <v>37638</v>
      </c>
      <c r="I684">
        <v>91399</v>
      </c>
      <c r="J684">
        <v>0</v>
      </c>
      <c r="K684">
        <v>91399</v>
      </c>
      <c r="L684" t="s">
        <v>60</v>
      </c>
      <c r="M684" t="s">
        <v>61</v>
      </c>
      <c r="N684" s="25"/>
      <c r="O684">
        <v>0</v>
      </c>
    </row>
    <row r="685" spans="1:15">
      <c r="A685" t="s">
        <v>804</v>
      </c>
      <c r="B685" t="s">
        <v>136</v>
      </c>
      <c r="C685" t="s">
        <v>56</v>
      </c>
      <c r="D685" t="s">
        <v>57</v>
      </c>
      <c r="E685" t="s">
        <v>65</v>
      </c>
      <c r="F685">
        <v>28</v>
      </c>
      <c r="G685" t="s">
        <v>76</v>
      </c>
      <c r="H685" s="24">
        <v>43006</v>
      </c>
      <c r="I685">
        <v>97336</v>
      </c>
      <c r="J685">
        <v>0</v>
      </c>
      <c r="K685">
        <v>97336</v>
      </c>
      <c r="L685" t="s">
        <v>60</v>
      </c>
      <c r="M685" t="s">
        <v>91</v>
      </c>
      <c r="N685" s="25"/>
      <c r="O685">
        <v>0</v>
      </c>
    </row>
    <row r="686" spans="1:15">
      <c r="A686" t="s">
        <v>805</v>
      </c>
      <c r="B686" t="s">
        <v>55</v>
      </c>
      <c r="C686" t="s">
        <v>90</v>
      </c>
      <c r="D686" t="s">
        <v>83</v>
      </c>
      <c r="E686" t="s">
        <v>58</v>
      </c>
      <c r="F686">
        <v>31</v>
      </c>
      <c r="G686" t="s">
        <v>76</v>
      </c>
      <c r="H686" s="24">
        <v>42755</v>
      </c>
      <c r="I686">
        <v>124629</v>
      </c>
      <c r="J686">
        <v>0.1</v>
      </c>
      <c r="K686">
        <v>137092</v>
      </c>
      <c r="L686" t="s">
        <v>60</v>
      </c>
      <c r="M686" t="s">
        <v>110</v>
      </c>
      <c r="N686" s="25"/>
      <c r="O686">
        <v>0</v>
      </c>
    </row>
    <row r="687" spans="1:15">
      <c r="A687" t="s">
        <v>806</v>
      </c>
      <c r="B687" t="s">
        <v>104</v>
      </c>
      <c r="C687" t="s">
        <v>94</v>
      </c>
      <c r="D687" t="s">
        <v>71</v>
      </c>
      <c r="E687" t="s">
        <v>58</v>
      </c>
      <c r="F687">
        <v>28</v>
      </c>
      <c r="G687" t="s">
        <v>76</v>
      </c>
      <c r="H687" s="24">
        <v>44402</v>
      </c>
      <c r="I687">
        <v>231850</v>
      </c>
      <c r="J687">
        <v>0.39</v>
      </c>
      <c r="K687">
        <v>322272</v>
      </c>
      <c r="L687" t="s">
        <v>60</v>
      </c>
      <c r="M687" t="s">
        <v>88</v>
      </c>
      <c r="N687" s="25"/>
      <c r="O687">
        <v>0</v>
      </c>
    </row>
    <row r="688" spans="1:15">
      <c r="A688" t="s">
        <v>807</v>
      </c>
      <c r="B688" t="s">
        <v>85</v>
      </c>
      <c r="C688" t="s">
        <v>90</v>
      </c>
      <c r="D688" t="s">
        <v>57</v>
      </c>
      <c r="E688" t="s">
        <v>65</v>
      </c>
      <c r="F688">
        <v>34</v>
      </c>
      <c r="G688" t="s">
        <v>76</v>
      </c>
      <c r="H688" s="24">
        <v>43255</v>
      </c>
      <c r="I688">
        <v>128329</v>
      </c>
      <c r="J688">
        <v>0.08</v>
      </c>
      <c r="K688">
        <v>138595</v>
      </c>
      <c r="L688" t="s">
        <v>60</v>
      </c>
      <c r="M688" t="s">
        <v>79</v>
      </c>
      <c r="N688" s="25"/>
      <c r="O688">
        <v>0</v>
      </c>
    </row>
    <row r="689" spans="1:15">
      <c r="A689" t="s">
        <v>808</v>
      </c>
      <c r="B689" t="s">
        <v>104</v>
      </c>
      <c r="C689" t="s">
        <v>105</v>
      </c>
      <c r="D689" t="s">
        <v>71</v>
      </c>
      <c r="E689" t="s">
        <v>65</v>
      </c>
      <c r="F689">
        <v>44</v>
      </c>
      <c r="G689" t="s">
        <v>95</v>
      </c>
      <c r="H689" s="24">
        <v>44283</v>
      </c>
      <c r="I689">
        <v>186033</v>
      </c>
      <c r="J689">
        <v>0.34</v>
      </c>
      <c r="K689">
        <v>249284</v>
      </c>
      <c r="L689" t="s">
        <v>113</v>
      </c>
      <c r="M689" t="s">
        <v>184</v>
      </c>
      <c r="N689" s="25"/>
      <c r="O689">
        <v>0</v>
      </c>
    </row>
    <row r="690" spans="1:15">
      <c r="A690" t="s">
        <v>809</v>
      </c>
      <c r="B690" t="s">
        <v>55</v>
      </c>
      <c r="C690" t="s">
        <v>105</v>
      </c>
      <c r="D690" t="s">
        <v>64</v>
      </c>
      <c r="E690" t="s">
        <v>65</v>
      </c>
      <c r="F690">
        <v>60</v>
      </c>
      <c r="G690" t="s">
        <v>59</v>
      </c>
      <c r="H690" s="24">
        <v>44403</v>
      </c>
      <c r="I690">
        <v>121480</v>
      </c>
      <c r="J690">
        <v>0.14</v>
      </c>
      <c r="K690">
        <v>138487</v>
      </c>
      <c r="L690" t="s">
        <v>60</v>
      </c>
      <c r="M690" t="s">
        <v>79</v>
      </c>
      <c r="N690" s="25"/>
      <c r="O690">
        <v>0</v>
      </c>
    </row>
    <row r="691" spans="1:15">
      <c r="A691" t="s">
        <v>810</v>
      </c>
      <c r="B691" t="s">
        <v>69</v>
      </c>
      <c r="C691" t="s">
        <v>94</v>
      </c>
      <c r="D691" t="s">
        <v>71</v>
      </c>
      <c r="E691" t="s">
        <v>58</v>
      </c>
      <c r="F691">
        <v>41</v>
      </c>
      <c r="G691" t="s">
        <v>95</v>
      </c>
      <c r="H691" s="24">
        <v>40319</v>
      </c>
      <c r="I691">
        <v>153275</v>
      </c>
      <c r="J691">
        <v>0.24</v>
      </c>
      <c r="K691">
        <v>190061</v>
      </c>
      <c r="L691" t="s">
        <v>60</v>
      </c>
      <c r="M691" t="s">
        <v>110</v>
      </c>
      <c r="N691" s="25"/>
      <c r="O691">
        <v>0</v>
      </c>
    </row>
    <row r="692" spans="1:15">
      <c r="A692" t="s">
        <v>811</v>
      </c>
      <c r="B692" t="s">
        <v>78</v>
      </c>
      <c r="C692" t="s">
        <v>82</v>
      </c>
      <c r="D692" t="s">
        <v>57</v>
      </c>
      <c r="E692" t="s">
        <v>58</v>
      </c>
      <c r="F692">
        <v>62</v>
      </c>
      <c r="G692" t="s">
        <v>59</v>
      </c>
      <c r="H692" s="24">
        <v>43969</v>
      </c>
      <c r="I692">
        <v>97830</v>
      </c>
      <c r="J692">
        <v>0</v>
      </c>
      <c r="K692">
        <v>97830</v>
      </c>
      <c r="L692" t="s">
        <v>60</v>
      </c>
      <c r="M692" t="s">
        <v>91</v>
      </c>
      <c r="N692" s="25"/>
      <c r="O692">
        <v>0</v>
      </c>
    </row>
    <row r="693" spans="1:15">
      <c r="A693" t="s">
        <v>812</v>
      </c>
      <c r="B693" t="s">
        <v>104</v>
      </c>
      <c r="C693" t="s">
        <v>105</v>
      </c>
      <c r="D693" t="s">
        <v>83</v>
      </c>
      <c r="E693" t="s">
        <v>58</v>
      </c>
      <c r="F693">
        <v>47</v>
      </c>
      <c r="G693" t="s">
        <v>72</v>
      </c>
      <c r="H693" s="24">
        <v>36232</v>
      </c>
      <c r="I693">
        <v>239394</v>
      </c>
      <c r="J693">
        <v>0.32</v>
      </c>
      <c r="K693">
        <v>316000</v>
      </c>
      <c r="L693" t="s">
        <v>60</v>
      </c>
      <c r="M693" t="s">
        <v>91</v>
      </c>
      <c r="N693" s="25"/>
      <c r="O693">
        <v>0</v>
      </c>
    </row>
    <row r="694" spans="1:15">
      <c r="A694" t="s">
        <v>813</v>
      </c>
      <c r="B694" t="s">
        <v>87</v>
      </c>
      <c r="C694" t="s">
        <v>70</v>
      </c>
      <c r="D694" t="s">
        <v>71</v>
      </c>
      <c r="E694" t="s">
        <v>58</v>
      </c>
      <c r="F694">
        <v>62</v>
      </c>
      <c r="G694" t="s">
        <v>59</v>
      </c>
      <c r="H694" s="24">
        <v>37519</v>
      </c>
      <c r="I694">
        <v>49738</v>
      </c>
      <c r="J694">
        <v>0</v>
      </c>
      <c r="K694">
        <v>49738</v>
      </c>
      <c r="L694" t="s">
        <v>66</v>
      </c>
      <c r="M694" t="s">
        <v>126</v>
      </c>
      <c r="N694" s="25"/>
      <c r="O694">
        <v>0</v>
      </c>
    </row>
    <row r="695" spans="1:15">
      <c r="A695" t="s">
        <v>814</v>
      </c>
      <c r="B695" t="s">
        <v>87</v>
      </c>
      <c r="C695" t="s">
        <v>90</v>
      </c>
      <c r="D695" t="s">
        <v>64</v>
      </c>
      <c r="E695" t="s">
        <v>58</v>
      </c>
      <c r="F695">
        <v>33</v>
      </c>
      <c r="G695" t="s">
        <v>76</v>
      </c>
      <c r="H695" s="24">
        <v>43247</v>
      </c>
      <c r="I695">
        <v>45049</v>
      </c>
      <c r="J695">
        <v>0</v>
      </c>
      <c r="K695">
        <v>45049</v>
      </c>
      <c r="L695" t="s">
        <v>60</v>
      </c>
      <c r="M695" t="s">
        <v>61</v>
      </c>
      <c r="N695" s="25"/>
      <c r="O695">
        <v>0</v>
      </c>
    </row>
    <row r="696" spans="1:15">
      <c r="A696" t="s">
        <v>815</v>
      </c>
      <c r="B696" t="s">
        <v>69</v>
      </c>
      <c r="C696" t="s">
        <v>70</v>
      </c>
      <c r="D696" t="s">
        <v>57</v>
      </c>
      <c r="E696" t="s">
        <v>58</v>
      </c>
      <c r="F696">
        <v>27</v>
      </c>
      <c r="G696" t="s">
        <v>76</v>
      </c>
      <c r="H696" s="24">
        <v>43977</v>
      </c>
      <c r="I696">
        <v>153628</v>
      </c>
      <c r="J696">
        <v>0.29</v>
      </c>
      <c r="K696">
        <v>198180</v>
      </c>
      <c r="L696" t="s">
        <v>66</v>
      </c>
      <c r="M696" t="s">
        <v>67</v>
      </c>
      <c r="N696" s="25">
        <v>44177</v>
      </c>
      <c r="O696">
        <v>1</v>
      </c>
    </row>
    <row r="697" spans="1:15">
      <c r="A697" t="s">
        <v>816</v>
      </c>
      <c r="B697" t="s">
        <v>55</v>
      </c>
      <c r="C697" t="s">
        <v>82</v>
      </c>
      <c r="D697" t="s">
        <v>64</v>
      </c>
      <c r="E697" t="s">
        <v>65</v>
      </c>
      <c r="F697">
        <v>25</v>
      </c>
      <c r="G697" t="s">
        <v>76</v>
      </c>
      <c r="H697" s="24">
        <v>44362</v>
      </c>
      <c r="I697">
        <v>142731</v>
      </c>
      <c r="J697">
        <v>0.11</v>
      </c>
      <c r="K697">
        <v>158431</v>
      </c>
      <c r="L697" t="s">
        <v>66</v>
      </c>
      <c r="M697" t="s">
        <v>101</v>
      </c>
      <c r="N697" s="25">
        <v>44715</v>
      </c>
      <c r="O697">
        <v>1</v>
      </c>
    </row>
    <row r="698" spans="1:15">
      <c r="A698" t="s">
        <v>817</v>
      </c>
      <c r="B698" t="s">
        <v>55</v>
      </c>
      <c r="C698" t="s">
        <v>105</v>
      </c>
      <c r="D698" t="s">
        <v>71</v>
      </c>
      <c r="E698" t="s">
        <v>58</v>
      </c>
      <c r="F698">
        <v>29</v>
      </c>
      <c r="G698" t="s">
        <v>76</v>
      </c>
      <c r="H698" s="24">
        <v>43966</v>
      </c>
      <c r="I698">
        <v>137106</v>
      </c>
      <c r="J698">
        <v>0.12</v>
      </c>
      <c r="K698">
        <v>153559</v>
      </c>
      <c r="L698" t="s">
        <v>113</v>
      </c>
      <c r="M698" t="s">
        <v>184</v>
      </c>
      <c r="N698" s="25"/>
      <c r="O698">
        <v>0</v>
      </c>
    </row>
    <row r="699" spans="1:15">
      <c r="A699" t="s">
        <v>818</v>
      </c>
      <c r="B699" t="s">
        <v>104</v>
      </c>
      <c r="C699" t="s">
        <v>70</v>
      </c>
      <c r="D699" t="s">
        <v>83</v>
      </c>
      <c r="E699" t="s">
        <v>58</v>
      </c>
      <c r="F699">
        <v>54</v>
      </c>
      <c r="G699" t="s">
        <v>72</v>
      </c>
      <c r="H699" s="24">
        <v>39330</v>
      </c>
      <c r="I699">
        <v>183239</v>
      </c>
      <c r="J699">
        <v>0.32</v>
      </c>
      <c r="K699">
        <v>241875</v>
      </c>
      <c r="L699" t="s">
        <v>60</v>
      </c>
      <c r="M699" t="s">
        <v>61</v>
      </c>
      <c r="N699" s="25"/>
      <c r="O699">
        <v>0</v>
      </c>
    </row>
    <row r="700" spans="1:15">
      <c r="A700" t="s">
        <v>819</v>
      </c>
      <c r="B700" t="s">
        <v>87</v>
      </c>
      <c r="C700" t="s">
        <v>90</v>
      </c>
      <c r="D700" t="s">
        <v>64</v>
      </c>
      <c r="E700" t="s">
        <v>58</v>
      </c>
      <c r="F700">
        <v>28</v>
      </c>
      <c r="G700" t="s">
        <v>76</v>
      </c>
      <c r="H700" s="24">
        <v>43610</v>
      </c>
      <c r="I700">
        <v>45819</v>
      </c>
      <c r="J700">
        <v>0</v>
      </c>
      <c r="K700">
        <v>45819</v>
      </c>
      <c r="L700" t="s">
        <v>60</v>
      </c>
      <c r="M700" t="s">
        <v>88</v>
      </c>
      <c r="N700" s="25"/>
      <c r="O700">
        <v>0</v>
      </c>
    </row>
    <row r="701" spans="1:15">
      <c r="A701" t="s">
        <v>820</v>
      </c>
      <c r="B701" t="s">
        <v>87</v>
      </c>
      <c r="C701" t="s">
        <v>90</v>
      </c>
      <c r="D701" t="s">
        <v>57</v>
      </c>
      <c r="E701" t="s">
        <v>58</v>
      </c>
      <c r="F701">
        <v>54</v>
      </c>
      <c r="G701" t="s">
        <v>72</v>
      </c>
      <c r="H701" s="24">
        <v>39080</v>
      </c>
      <c r="I701">
        <v>55518</v>
      </c>
      <c r="J701">
        <v>0</v>
      </c>
      <c r="K701">
        <v>55518</v>
      </c>
      <c r="L701" t="s">
        <v>60</v>
      </c>
      <c r="M701" t="s">
        <v>110</v>
      </c>
      <c r="N701" s="25"/>
      <c r="O701">
        <v>0</v>
      </c>
    </row>
    <row r="702" spans="1:15">
      <c r="A702" t="s">
        <v>821</v>
      </c>
      <c r="B702" t="s">
        <v>85</v>
      </c>
      <c r="C702" t="s">
        <v>105</v>
      </c>
      <c r="D702" t="s">
        <v>64</v>
      </c>
      <c r="E702" t="s">
        <v>58</v>
      </c>
      <c r="F702">
        <v>50</v>
      </c>
      <c r="G702" t="s">
        <v>72</v>
      </c>
      <c r="H702" s="24">
        <v>40979</v>
      </c>
      <c r="I702">
        <v>108134</v>
      </c>
      <c r="J702">
        <v>0.1</v>
      </c>
      <c r="K702">
        <v>118947</v>
      </c>
      <c r="L702" t="s">
        <v>66</v>
      </c>
      <c r="M702" t="s">
        <v>101</v>
      </c>
      <c r="N702" s="25"/>
      <c r="O702">
        <v>0</v>
      </c>
    </row>
    <row r="703" spans="1:15">
      <c r="A703" t="s">
        <v>822</v>
      </c>
      <c r="B703" t="s">
        <v>85</v>
      </c>
      <c r="C703" t="s">
        <v>105</v>
      </c>
      <c r="D703" t="s">
        <v>57</v>
      </c>
      <c r="E703" t="s">
        <v>58</v>
      </c>
      <c r="F703">
        <v>55</v>
      </c>
      <c r="G703" t="s">
        <v>59</v>
      </c>
      <c r="H703" s="24">
        <v>33958</v>
      </c>
      <c r="I703">
        <v>113950</v>
      </c>
      <c r="J703">
        <v>0.09</v>
      </c>
      <c r="K703">
        <v>124206</v>
      </c>
      <c r="L703" t="s">
        <v>60</v>
      </c>
      <c r="M703" t="s">
        <v>88</v>
      </c>
      <c r="N703" s="25"/>
      <c r="O703">
        <v>0</v>
      </c>
    </row>
    <row r="704" spans="1:15">
      <c r="A704" t="s">
        <v>823</v>
      </c>
      <c r="B704" t="s">
        <v>104</v>
      </c>
      <c r="C704" t="s">
        <v>105</v>
      </c>
      <c r="D704" t="s">
        <v>71</v>
      </c>
      <c r="E704" t="s">
        <v>58</v>
      </c>
      <c r="F704">
        <v>52</v>
      </c>
      <c r="G704" t="s">
        <v>72</v>
      </c>
      <c r="H704" s="24">
        <v>35886</v>
      </c>
      <c r="I704">
        <v>182035</v>
      </c>
      <c r="J704">
        <v>0.3</v>
      </c>
      <c r="K704">
        <v>236646</v>
      </c>
      <c r="L704" t="s">
        <v>60</v>
      </c>
      <c r="M704" t="s">
        <v>73</v>
      </c>
      <c r="N704" s="25"/>
      <c r="O704">
        <v>0</v>
      </c>
    </row>
    <row r="705" spans="1:15">
      <c r="A705" t="s">
        <v>824</v>
      </c>
      <c r="B705" t="s">
        <v>69</v>
      </c>
      <c r="C705" t="s">
        <v>90</v>
      </c>
      <c r="D705" t="s">
        <v>71</v>
      </c>
      <c r="E705" t="s">
        <v>65</v>
      </c>
      <c r="F705">
        <v>35</v>
      </c>
      <c r="G705" t="s">
        <v>95</v>
      </c>
      <c r="H705" s="24">
        <v>42963</v>
      </c>
      <c r="I705">
        <v>181356</v>
      </c>
      <c r="J705">
        <v>0.23</v>
      </c>
      <c r="K705">
        <v>223068</v>
      </c>
      <c r="L705" t="s">
        <v>66</v>
      </c>
      <c r="M705" t="s">
        <v>126</v>
      </c>
      <c r="N705" s="25"/>
      <c r="O705">
        <v>0</v>
      </c>
    </row>
    <row r="706" spans="1:15">
      <c r="A706" t="s">
        <v>825</v>
      </c>
      <c r="B706" t="s">
        <v>81</v>
      </c>
      <c r="C706" t="s">
        <v>82</v>
      </c>
      <c r="D706" t="s">
        <v>83</v>
      </c>
      <c r="E706" t="s">
        <v>58</v>
      </c>
      <c r="F706">
        <v>26</v>
      </c>
      <c r="G706" t="s">
        <v>76</v>
      </c>
      <c r="H706" s="24">
        <v>43698</v>
      </c>
      <c r="I706">
        <v>66084</v>
      </c>
      <c r="J706">
        <v>0</v>
      </c>
      <c r="K706">
        <v>66084</v>
      </c>
      <c r="L706" t="s">
        <v>60</v>
      </c>
      <c r="M706" t="s">
        <v>61</v>
      </c>
      <c r="N706" s="25"/>
      <c r="O706">
        <v>0</v>
      </c>
    </row>
    <row r="707" spans="1:15">
      <c r="A707" t="s">
        <v>826</v>
      </c>
      <c r="B707" t="s">
        <v>266</v>
      </c>
      <c r="C707" t="s">
        <v>56</v>
      </c>
      <c r="D707" t="s">
        <v>71</v>
      </c>
      <c r="E707" t="s">
        <v>58</v>
      </c>
      <c r="F707">
        <v>43</v>
      </c>
      <c r="G707" t="s">
        <v>95</v>
      </c>
      <c r="H707" s="24">
        <v>40290</v>
      </c>
      <c r="I707">
        <v>76912</v>
      </c>
      <c r="J707">
        <v>0</v>
      </c>
      <c r="K707">
        <v>76912</v>
      </c>
      <c r="L707" t="s">
        <v>113</v>
      </c>
      <c r="M707" t="s">
        <v>184</v>
      </c>
      <c r="N707" s="25"/>
      <c r="O707">
        <v>0</v>
      </c>
    </row>
    <row r="708" spans="1:15">
      <c r="A708" t="s">
        <v>827</v>
      </c>
      <c r="B708" t="s">
        <v>187</v>
      </c>
      <c r="C708" t="s">
        <v>98</v>
      </c>
      <c r="D708" t="s">
        <v>57</v>
      </c>
      <c r="E708" t="s">
        <v>58</v>
      </c>
      <c r="F708">
        <v>63</v>
      </c>
      <c r="G708" t="s">
        <v>59</v>
      </c>
      <c r="H708" s="24">
        <v>43227</v>
      </c>
      <c r="I708">
        <v>67987</v>
      </c>
      <c r="J708">
        <v>0</v>
      </c>
      <c r="K708">
        <v>67987</v>
      </c>
      <c r="L708" t="s">
        <v>60</v>
      </c>
      <c r="M708" t="s">
        <v>88</v>
      </c>
      <c r="N708" s="25"/>
      <c r="O708">
        <v>0</v>
      </c>
    </row>
    <row r="709" spans="1:15">
      <c r="A709" t="s">
        <v>828</v>
      </c>
      <c r="B709" t="s">
        <v>132</v>
      </c>
      <c r="C709" t="s">
        <v>105</v>
      </c>
      <c r="D709" t="s">
        <v>64</v>
      </c>
      <c r="E709" t="s">
        <v>65</v>
      </c>
      <c r="F709">
        <v>65</v>
      </c>
      <c r="G709" t="s">
        <v>107</v>
      </c>
      <c r="H709" s="24">
        <v>38584</v>
      </c>
      <c r="I709">
        <v>59833</v>
      </c>
      <c r="J709">
        <v>0</v>
      </c>
      <c r="K709">
        <v>59833</v>
      </c>
      <c r="L709" t="s">
        <v>60</v>
      </c>
      <c r="M709" t="s">
        <v>110</v>
      </c>
      <c r="N709" s="25"/>
      <c r="O709">
        <v>0</v>
      </c>
    </row>
    <row r="710" spans="1:15">
      <c r="A710" t="s">
        <v>829</v>
      </c>
      <c r="B710" t="s">
        <v>55</v>
      </c>
      <c r="C710" t="s">
        <v>105</v>
      </c>
      <c r="D710" t="s">
        <v>71</v>
      </c>
      <c r="E710" t="s">
        <v>65</v>
      </c>
      <c r="F710">
        <v>45</v>
      </c>
      <c r="G710" t="s">
        <v>72</v>
      </c>
      <c r="H710" s="24">
        <v>38453</v>
      </c>
      <c r="I710">
        <v>128468</v>
      </c>
      <c r="J710">
        <v>0.11</v>
      </c>
      <c r="K710">
        <v>142599</v>
      </c>
      <c r="L710" t="s">
        <v>60</v>
      </c>
      <c r="M710" t="s">
        <v>73</v>
      </c>
      <c r="N710" s="25"/>
      <c r="O710">
        <v>0</v>
      </c>
    </row>
    <row r="711" spans="1:15">
      <c r="A711" t="s">
        <v>830</v>
      </c>
      <c r="B711" t="s">
        <v>85</v>
      </c>
      <c r="C711" t="s">
        <v>82</v>
      </c>
      <c r="D711" t="s">
        <v>83</v>
      </c>
      <c r="E711" t="s">
        <v>65</v>
      </c>
      <c r="F711">
        <v>42</v>
      </c>
      <c r="G711" t="s">
        <v>95</v>
      </c>
      <c r="H711" s="24">
        <v>40692</v>
      </c>
      <c r="I711">
        <v>102440</v>
      </c>
      <c r="J711">
        <v>0.06</v>
      </c>
      <c r="K711">
        <v>108586</v>
      </c>
      <c r="L711" t="s">
        <v>60</v>
      </c>
      <c r="M711" t="s">
        <v>73</v>
      </c>
      <c r="N711" s="25"/>
      <c r="O711">
        <v>0</v>
      </c>
    </row>
    <row r="712" spans="1:15">
      <c r="A712" t="s">
        <v>831</v>
      </c>
      <c r="B712" t="s">
        <v>104</v>
      </c>
      <c r="C712" t="s">
        <v>56</v>
      </c>
      <c r="D712" t="s">
        <v>71</v>
      </c>
      <c r="E712" t="s">
        <v>65</v>
      </c>
      <c r="F712">
        <v>59</v>
      </c>
      <c r="G712" t="s">
        <v>59</v>
      </c>
      <c r="H712" s="24">
        <v>40542</v>
      </c>
      <c r="I712">
        <v>246619</v>
      </c>
      <c r="J712">
        <v>0.36</v>
      </c>
      <c r="K712">
        <v>335402</v>
      </c>
      <c r="L712" t="s">
        <v>60</v>
      </c>
      <c r="M712" t="s">
        <v>88</v>
      </c>
      <c r="N712" s="25"/>
      <c r="O712">
        <v>0</v>
      </c>
    </row>
    <row r="713" spans="1:15">
      <c r="A713" t="s">
        <v>832</v>
      </c>
      <c r="B713" t="s">
        <v>85</v>
      </c>
      <c r="C713" t="s">
        <v>94</v>
      </c>
      <c r="D713" t="s">
        <v>83</v>
      </c>
      <c r="E713" t="s">
        <v>58</v>
      </c>
      <c r="F713">
        <v>42</v>
      </c>
      <c r="G713" t="s">
        <v>95</v>
      </c>
      <c r="H713" s="24">
        <v>43058</v>
      </c>
      <c r="I713">
        <v>101143</v>
      </c>
      <c r="J713">
        <v>0.06</v>
      </c>
      <c r="K713">
        <v>107212</v>
      </c>
      <c r="L713" t="s">
        <v>60</v>
      </c>
      <c r="M713" t="s">
        <v>88</v>
      </c>
      <c r="N713" s="25"/>
      <c r="O713">
        <v>0</v>
      </c>
    </row>
    <row r="714" spans="1:15">
      <c r="A714" t="s">
        <v>833</v>
      </c>
      <c r="B714" t="s">
        <v>166</v>
      </c>
      <c r="C714" t="s">
        <v>94</v>
      </c>
      <c r="D714" t="s">
        <v>64</v>
      </c>
      <c r="E714" t="s">
        <v>58</v>
      </c>
      <c r="F714">
        <v>45</v>
      </c>
      <c r="G714" t="s">
        <v>72</v>
      </c>
      <c r="H714" s="24">
        <v>38639</v>
      </c>
      <c r="I714">
        <v>51404</v>
      </c>
      <c r="J714">
        <v>0</v>
      </c>
      <c r="K714">
        <v>51404</v>
      </c>
      <c r="L714" t="s">
        <v>113</v>
      </c>
      <c r="M714" t="s">
        <v>114</v>
      </c>
      <c r="N714" s="25">
        <v>40153</v>
      </c>
      <c r="O714">
        <v>1</v>
      </c>
    </row>
    <row r="715" spans="1:15">
      <c r="A715" t="s">
        <v>834</v>
      </c>
      <c r="B715" t="s">
        <v>160</v>
      </c>
      <c r="C715" t="s">
        <v>98</v>
      </c>
      <c r="D715" t="s">
        <v>71</v>
      </c>
      <c r="E715" t="s">
        <v>65</v>
      </c>
      <c r="F715">
        <v>45</v>
      </c>
      <c r="G715" t="s">
        <v>72</v>
      </c>
      <c r="H715" s="24">
        <v>42329</v>
      </c>
      <c r="I715">
        <v>87292</v>
      </c>
      <c r="J715">
        <v>0</v>
      </c>
      <c r="K715">
        <v>87292</v>
      </c>
      <c r="L715" t="s">
        <v>60</v>
      </c>
      <c r="M715" t="s">
        <v>110</v>
      </c>
      <c r="N715" s="25"/>
      <c r="O715">
        <v>0</v>
      </c>
    </row>
    <row r="716" spans="1:15">
      <c r="A716" t="s">
        <v>835</v>
      </c>
      <c r="B716" t="s">
        <v>69</v>
      </c>
      <c r="C716" t="s">
        <v>105</v>
      </c>
      <c r="D716" t="s">
        <v>71</v>
      </c>
      <c r="E716" t="s">
        <v>58</v>
      </c>
      <c r="F716">
        <v>28</v>
      </c>
      <c r="G716" t="s">
        <v>76</v>
      </c>
      <c r="H716" s="24">
        <v>43810</v>
      </c>
      <c r="I716">
        <v>182321</v>
      </c>
      <c r="J716">
        <v>0.28</v>
      </c>
      <c r="K716">
        <v>233371</v>
      </c>
      <c r="L716" t="s">
        <v>66</v>
      </c>
      <c r="M716" t="s">
        <v>126</v>
      </c>
      <c r="N716" s="25"/>
      <c r="O716">
        <v>0</v>
      </c>
    </row>
    <row r="717" spans="1:15">
      <c r="A717" t="s">
        <v>836</v>
      </c>
      <c r="B717" t="s">
        <v>244</v>
      </c>
      <c r="C717" t="s">
        <v>56</v>
      </c>
      <c r="D717" t="s">
        <v>83</v>
      </c>
      <c r="E717" t="s">
        <v>65</v>
      </c>
      <c r="F717">
        <v>51</v>
      </c>
      <c r="G717" t="s">
        <v>72</v>
      </c>
      <c r="H717" s="24">
        <v>41697</v>
      </c>
      <c r="I717">
        <v>53929</v>
      </c>
      <c r="J717">
        <v>0</v>
      </c>
      <c r="K717">
        <v>53929</v>
      </c>
      <c r="L717" t="s">
        <v>60</v>
      </c>
      <c r="M717" t="s">
        <v>88</v>
      </c>
      <c r="N717" s="25">
        <v>43091</v>
      </c>
      <c r="O717">
        <v>1</v>
      </c>
    </row>
    <row r="718" spans="1:15">
      <c r="A718" t="s">
        <v>837</v>
      </c>
      <c r="B718" t="s">
        <v>104</v>
      </c>
      <c r="C718" t="s">
        <v>90</v>
      </c>
      <c r="D718" t="s">
        <v>64</v>
      </c>
      <c r="E718" t="s">
        <v>58</v>
      </c>
      <c r="F718">
        <v>38</v>
      </c>
      <c r="G718" t="s">
        <v>95</v>
      </c>
      <c r="H718" s="24">
        <v>41256</v>
      </c>
      <c r="I718">
        <v>191571</v>
      </c>
      <c r="J718">
        <v>0.32</v>
      </c>
      <c r="K718">
        <v>252874</v>
      </c>
      <c r="L718" t="s">
        <v>60</v>
      </c>
      <c r="M718" t="s">
        <v>91</v>
      </c>
      <c r="N718" s="25"/>
      <c r="O718">
        <v>0</v>
      </c>
    </row>
    <row r="719" spans="1:15">
      <c r="A719" t="s">
        <v>838</v>
      </c>
      <c r="B719" t="s">
        <v>55</v>
      </c>
      <c r="C719" t="s">
        <v>90</v>
      </c>
      <c r="D719" t="s">
        <v>83</v>
      </c>
      <c r="E719" t="s">
        <v>58</v>
      </c>
      <c r="F719">
        <v>62</v>
      </c>
      <c r="G719" t="s">
        <v>59</v>
      </c>
      <c r="H719" s="24">
        <v>39843</v>
      </c>
      <c r="I719">
        <v>150555</v>
      </c>
      <c r="J719">
        <v>0.13</v>
      </c>
      <c r="K719">
        <v>170127</v>
      </c>
      <c r="L719" t="s">
        <v>60</v>
      </c>
      <c r="M719" t="s">
        <v>79</v>
      </c>
      <c r="N719" s="25"/>
      <c r="O719">
        <v>0</v>
      </c>
    </row>
    <row r="720" spans="1:15">
      <c r="A720" t="s">
        <v>839</v>
      </c>
      <c r="B720" t="s">
        <v>85</v>
      </c>
      <c r="C720" t="s">
        <v>70</v>
      </c>
      <c r="D720" t="s">
        <v>83</v>
      </c>
      <c r="E720" t="s">
        <v>65</v>
      </c>
      <c r="F720">
        <v>52</v>
      </c>
      <c r="G720" t="s">
        <v>72</v>
      </c>
      <c r="H720" s="24">
        <v>40091</v>
      </c>
      <c r="I720">
        <v>122890</v>
      </c>
      <c r="J720">
        <v>0.07</v>
      </c>
      <c r="K720">
        <v>131492</v>
      </c>
      <c r="L720" t="s">
        <v>66</v>
      </c>
      <c r="M720" t="s">
        <v>101</v>
      </c>
      <c r="N720" s="25"/>
      <c r="O720">
        <v>0</v>
      </c>
    </row>
    <row r="721" spans="1:15">
      <c r="A721" t="s">
        <v>840</v>
      </c>
      <c r="B721" t="s">
        <v>104</v>
      </c>
      <c r="C721" t="s">
        <v>70</v>
      </c>
      <c r="D721" t="s">
        <v>57</v>
      </c>
      <c r="E721" t="s">
        <v>65</v>
      </c>
      <c r="F721">
        <v>52</v>
      </c>
      <c r="G721" t="s">
        <v>72</v>
      </c>
      <c r="H721" s="24">
        <v>35576</v>
      </c>
      <c r="I721">
        <v>216999</v>
      </c>
      <c r="J721">
        <v>0.37</v>
      </c>
      <c r="K721">
        <v>297289</v>
      </c>
      <c r="L721" t="s">
        <v>60</v>
      </c>
      <c r="M721" t="s">
        <v>88</v>
      </c>
      <c r="N721" s="25"/>
      <c r="O721">
        <v>0</v>
      </c>
    </row>
    <row r="722" spans="1:15">
      <c r="A722" t="s">
        <v>841</v>
      </c>
      <c r="B722" t="s">
        <v>85</v>
      </c>
      <c r="C722" t="s">
        <v>94</v>
      </c>
      <c r="D722" t="s">
        <v>83</v>
      </c>
      <c r="E722" t="s">
        <v>65</v>
      </c>
      <c r="F722">
        <v>48</v>
      </c>
      <c r="G722" t="s">
        <v>72</v>
      </c>
      <c r="H722" s="24">
        <v>42201</v>
      </c>
      <c r="I722">
        <v>110565</v>
      </c>
      <c r="J722">
        <v>0.09</v>
      </c>
      <c r="K722">
        <v>120516</v>
      </c>
      <c r="L722" t="s">
        <v>66</v>
      </c>
      <c r="M722" t="s">
        <v>126</v>
      </c>
      <c r="N722" s="25"/>
      <c r="O722">
        <v>0</v>
      </c>
    </row>
    <row r="723" spans="1:15">
      <c r="A723" t="s">
        <v>842</v>
      </c>
      <c r="B723" t="s">
        <v>129</v>
      </c>
      <c r="C723" t="s">
        <v>56</v>
      </c>
      <c r="D723" t="s">
        <v>71</v>
      </c>
      <c r="E723" t="s">
        <v>65</v>
      </c>
      <c r="F723">
        <v>38</v>
      </c>
      <c r="G723" t="s">
        <v>95</v>
      </c>
      <c r="H723" s="24">
        <v>42113</v>
      </c>
      <c r="I723">
        <v>48762</v>
      </c>
      <c r="J723">
        <v>0</v>
      </c>
      <c r="K723">
        <v>48762</v>
      </c>
      <c r="L723" t="s">
        <v>60</v>
      </c>
      <c r="M723" t="s">
        <v>61</v>
      </c>
      <c r="N723" s="25"/>
      <c r="O723">
        <v>0</v>
      </c>
    </row>
    <row r="724" spans="1:15">
      <c r="A724" t="s">
        <v>843</v>
      </c>
      <c r="B724" t="s">
        <v>216</v>
      </c>
      <c r="C724" t="s">
        <v>98</v>
      </c>
      <c r="D724" t="s">
        <v>71</v>
      </c>
      <c r="E724" t="s">
        <v>58</v>
      </c>
      <c r="F724">
        <v>51</v>
      </c>
      <c r="G724" t="s">
        <v>72</v>
      </c>
      <c r="H724" s="24">
        <v>42777</v>
      </c>
      <c r="I724">
        <v>87036</v>
      </c>
      <c r="J724">
        <v>0</v>
      </c>
      <c r="K724">
        <v>87036</v>
      </c>
      <c r="L724" t="s">
        <v>66</v>
      </c>
      <c r="M724" t="s">
        <v>67</v>
      </c>
      <c r="N724" s="25"/>
      <c r="O724">
        <v>0</v>
      </c>
    </row>
    <row r="725" spans="1:15">
      <c r="A725" t="s">
        <v>844</v>
      </c>
      <c r="B725" t="s">
        <v>69</v>
      </c>
      <c r="C725" t="s">
        <v>105</v>
      </c>
      <c r="D725" t="s">
        <v>71</v>
      </c>
      <c r="E725" t="s">
        <v>65</v>
      </c>
      <c r="F725">
        <v>32</v>
      </c>
      <c r="G725" t="s">
        <v>76</v>
      </c>
      <c r="H725" s="24">
        <v>42702</v>
      </c>
      <c r="I725">
        <v>177443</v>
      </c>
      <c r="J725">
        <v>0.16</v>
      </c>
      <c r="K725">
        <v>205834</v>
      </c>
      <c r="L725" t="s">
        <v>60</v>
      </c>
      <c r="M725" t="s">
        <v>61</v>
      </c>
      <c r="N725" s="25"/>
      <c r="O725">
        <v>0</v>
      </c>
    </row>
    <row r="726" spans="1:15">
      <c r="A726" t="s">
        <v>845</v>
      </c>
      <c r="B726" t="s">
        <v>136</v>
      </c>
      <c r="C726" t="s">
        <v>56</v>
      </c>
      <c r="D726" t="s">
        <v>57</v>
      </c>
      <c r="E726" t="s">
        <v>58</v>
      </c>
      <c r="F726">
        <v>36</v>
      </c>
      <c r="G726" t="s">
        <v>95</v>
      </c>
      <c r="H726" s="24">
        <v>42489</v>
      </c>
      <c r="I726">
        <v>75862</v>
      </c>
      <c r="J726">
        <v>0</v>
      </c>
      <c r="K726">
        <v>75862</v>
      </c>
      <c r="L726" t="s">
        <v>60</v>
      </c>
      <c r="M726" t="s">
        <v>91</v>
      </c>
      <c r="N726" s="25"/>
      <c r="O726">
        <v>0</v>
      </c>
    </row>
    <row r="727" spans="1:15">
      <c r="A727" t="s">
        <v>846</v>
      </c>
      <c r="B727" t="s">
        <v>143</v>
      </c>
      <c r="C727" t="s">
        <v>94</v>
      </c>
      <c r="D727" t="s">
        <v>57</v>
      </c>
      <c r="E727" t="s">
        <v>58</v>
      </c>
      <c r="F727">
        <v>45</v>
      </c>
      <c r="G727" t="s">
        <v>72</v>
      </c>
      <c r="H727" s="24">
        <v>43581</v>
      </c>
      <c r="I727">
        <v>90870</v>
      </c>
      <c r="J727">
        <v>0</v>
      </c>
      <c r="K727">
        <v>90870</v>
      </c>
      <c r="L727" t="s">
        <v>60</v>
      </c>
      <c r="M727" t="s">
        <v>73</v>
      </c>
      <c r="N727" s="25"/>
      <c r="O727">
        <v>0</v>
      </c>
    </row>
    <row r="728" spans="1:15">
      <c r="A728" t="s">
        <v>847</v>
      </c>
      <c r="B728" t="s">
        <v>125</v>
      </c>
      <c r="C728" t="s">
        <v>98</v>
      </c>
      <c r="D728" t="s">
        <v>83</v>
      </c>
      <c r="E728" t="s">
        <v>58</v>
      </c>
      <c r="F728">
        <v>32</v>
      </c>
      <c r="G728" t="s">
        <v>76</v>
      </c>
      <c r="H728" s="24">
        <v>41977</v>
      </c>
      <c r="I728">
        <v>99202</v>
      </c>
      <c r="J728">
        <v>0.11</v>
      </c>
      <c r="K728">
        <v>110114</v>
      </c>
      <c r="L728" t="s">
        <v>60</v>
      </c>
      <c r="M728" t="s">
        <v>79</v>
      </c>
      <c r="N728" s="25"/>
      <c r="O728">
        <v>0</v>
      </c>
    </row>
    <row r="729" spans="1:15">
      <c r="A729" t="s">
        <v>848</v>
      </c>
      <c r="B729" t="s">
        <v>78</v>
      </c>
      <c r="C729" t="s">
        <v>105</v>
      </c>
      <c r="D729" t="s">
        <v>83</v>
      </c>
      <c r="E729" t="s">
        <v>65</v>
      </c>
      <c r="F729">
        <v>45</v>
      </c>
      <c r="G729" t="s">
        <v>72</v>
      </c>
      <c r="H729" s="24">
        <v>39347</v>
      </c>
      <c r="I729">
        <v>92293</v>
      </c>
      <c r="J729">
        <v>0</v>
      </c>
      <c r="K729">
        <v>92293</v>
      </c>
      <c r="L729" t="s">
        <v>66</v>
      </c>
      <c r="M729" t="s">
        <v>138</v>
      </c>
      <c r="N729" s="25"/>
      <c r="O729">
        <v>0</v>
      </c>
    </row>
    <row r="730" spans="1:15">
      <c r="A730" t="s">
        <v>849</v>
      </c>
      <c r="B730" t="s">
        <v>266</v>
      </c>
      <c r="C730" t="s">
        <v>56</v>
      </c>
      <c r="D730" t="s">
        <v>83</v>
      </c>
      <c r="E730" t="s">
        <v>65</v>
      </c>
      <c r="F730">
        <v>54</v>
      </c>
      <c r="G730" t="s">
        <v>72</v>
      </c>
      <c r="H730" s="24">
        <v>33785</v>
      </c>
      <c r="I730">
        <v>63196</v>
      </c>
      <c r="J730">
        <v>0</v>
      </c>
      <c r="K730">
        <v>63196</v>
      </c>
      <c r="L730" t="s">
        <v>60</v>
      </c>
      <c r="M730" t="s">
        <v>73</v>
      </c>
      <c r="N730" s="25">
        <v>41938</v>
      </c>
      <c r="O730">
        <v>1</v>
      </c>
    </row>
    <row r="731" spans="1:15">
      <c r="A731" t="s">
        <v>850</v>
      </c>
      <c r="B731" t="s">
        <v>216</v>
      </c>
      <c r="C731" t="s">
        <v>98</v>
      </c>
      <c r="D731" t="s">
        <v>71</v>
      </c>
      <c r="E731" t="s">
        <v>58</v>
      </c>
      <c r="F731">
        <v>48</v>
      </c>
      <c r="G731" t="s">
        <v>72</v>
      </c>
      <c r="H731" s="24">
        <v>41032</v>
      </c>
      <c r="I731">
        <v>65340</v>
      </c>
      <c r="J731">
        <v>0</v>
      </c>
      <c r="K731">
        <v>65340</v>
      </c>
      <c r="L731" t="s">
        <v>66</v>
      </c>
      <c r="M731" t="s">
        <v>101</v>
      </c>
      <c r="N731" s="25">
        <v>43229</v>
      </c>
      <c r="O731">
        <v>1</v>
      </c>
    </row>
    <row r="732" spans="1:15">
      <c r="A732" t="s">
        <v>851</v>
      </c>
      <c r="B732" t="s">
        <v>104</v>
      </c>
      <c r="C732" t="s">
        <v>105</v>
      </c>
      <c r="D732" t="s">
        <v>83</v>
      </c>
      <c r="E732" t="s">
        <v>65</v>
      </c>
      <c r="F732">
        <v>45</v>
      </c>
      <c r="G732" t="s">
        <v>72</v>
      </c>
      <c r="H732" s="24">
        <v>42271</v>
      </c>
      <c r="I732">
        <v>202680</v>
      </c>
      <c r="J732">
        <v>0.32</v>
      </c>
      <c r="K732">
        <v>267538</v>
      </c>
      <c r="L732" t="s">
        <v>60</v>
      </c>
      <c r="M732" t="s">
        <v>79</v>
      </c>
      <c r="N732" s="25">
        <v>44790</v>
      </c>
      <c r="O732">
        <v>1</v>
      </c>
    </row>
    <row r="733" spans="1:15">
      <c r="A733" t="s">
        <v>852</v>
      </c>
      <c r="B733" t="s">
        <v>75</v>
      </c>
      <c r="C733" t="s">
        <v>56</v>
      </c>
      <c r="D733" t="s">
        <v>64</v>
      </c>
      <c r="E733" t="s">
        <v>58</v>
      </c>
      <c r="F733">
        <v>46</v>
      </c>
      <c r="G733" t="s">
        <v>72</v>
      </c>
      <c r="H733" s="24">
        <v>42849</v>
      </c>
      <c r="I733">
        <v>77461</v>
      </c>
      <c r="J733">
        <v>0.09</v>
      </c>
      <c r="K733">
        <v>84432</v>
      </c>
      <c r="L733" t="s">
        <v>113</v>
      </c>
      <c r="M733" t="s">
        <v>184</v>
      </c>
      <c r="N733" s="25"/>
      <c r="O733">
        <v>0</v>
      </c>
    </row>
    <row r="734" spans="1:15">
      <c r="A734" t="s">
        <v>853</v>
      </c>
      <c r="B734" t="s">
        <v>164</v>
      </c>
      <c r="C734" t="s">
        <v>98</v>
      </c>
      <c r="D734" t="s">
        <v>57</v>
      </c>
      <c r="E734" t="s">
        <v>58</v>
      </c>
      <c r="F734">
        <v>40</v>
      </c>
      <c r="G734" t="s">
        <v>95</v>
      </c>
      <c r="H734" s="24">
        <v>42622</v>
      </c>
      <c r="I734">
        <v>109680</v>
      </c>
      <c r="J734">
        <v>0</v>
      </c>
      <c r="K734">
        <v>109680</v>
      </c>
      <c r="L734" t="s">
        <v>66</v>
      </c>
      <c r="M734" t="s">
        <v>138</v>
      </c>
      <c r="N734" s="25"/>
      <c r="O734">
        <v>0</v>
      </c>
    </row>
    <row r="735" spans="1:15">
      <c r="A735" t="s">
        <v>854</v>
      </c>
      <c r="B735" t="s">
        <v>69</v>
      </c>
      <c r="C735" t="s">
        <v>82</v>
      </c>
      <c r="D735" t="s">
        <v>64</v>
      </c>
      <c r="E735" t="s">
        <v>58</v>
      </c>
      <c r="F735">
        <v>61</v>
      </c>
      <c r="G735" t="s">
        <v>59</v>
      </c>
      <c r="H735" s="24">
        <v>35661</v>
      </c>
      <c r="I735">
        <v>159567</v>
      </c>
      <c r="J735">
        <v>0.28</v>
      </c>
      <c r="K735">
        <v>204246</v>
      </c>
      <c r="L735" t="s">
        <v>60</v>
      </c>
      <c r="M735" t="s">
        <v>79</v>
      </c>
      <c r="N735" s="25"/>
      <c r="O735">
        <v>0</v>
      </c>
    </row>
    <row r="736" spans="1:15">
      <c r="A736" t="s">
        <v>855</v>
      </c>
      <c r="B736" t="s">
        <v>216</v>
      </c>
      <c r="C736" t="s">
        <v>98</v>
      </c>
      <c r="D736" t="s">
        <v>71</v>
      </c>
      <c r="E736" t="s">
        <v>65</v>
      </c>
      <c r="F736">
        <v>54</v>
      </c>
      <c r="G736" t="s">
        <v>72</v>
      </c>
      <c r="H736" s="24">
        <v>41237</v>
      </c>
      <c r="I736">
        <v>94407</v>
      </c>
      <c r="J736">
        <v>0</v>
      </c>
      <c r="K736">
        <v>94407</v>
      </c>
      <c r="L736" t="s">
        <v>113</v>
      </c>
      <c r="M736" t="s">
        <v>184</v>
      </c>
      <c r="N736" s="25"/>
      <c r="O736">
        <v>0</v>
      </c>
    </row>
    <row r="737" spans="1:15">
      <c r="A737" t="s">
        <v>856</v>
      </c>
      <c r="B737" t="s">
        <v>104</v>
      </c>
      <c r="C737" t="s">
        <v>94</v>
      </c>
      <c r="D737" t="s">
        <v>83</v>
      </c>
      <c r="E737" t="s">
        <v>65</v>
      </c>
      <c r="F737">
        <v>62</v>
      </c>
      <c r="G737" t="s">
        <v>59</v>
      </c>
      <c r="H737" s="24">
        <v>37484</v>
      </c>
      <c r="I737">
        <v>234594</v>
      </c>
      <c r="J737">
        <v>0.33</v>
      </c>
      <c r="K737">
        <v>312010</v>
      </c>
      <c r="L737" t="s">
        <v>60</v>
      </c>
      <c r="M737" t="s">
        <v>61</v>
      </c>
      <c r="N737" s="25"/>
      <c r="O737">
        <v>0</v>
      </c>
    </row>
    <row r="738" spans="1:15">
      <c r="A738" t="s">
        <v>857</v>
      </c>
      <c r="B738" t="s">
        <v>244</v>
      </c>
      <c r="C738" t="s">
        <v>56</v>
      </c>
      <c r="D738" t="s">
        <v>71</v>
      </c>
      <c r="E738" t="s">
        <v>65</v>
      </c>
      <c r="F738">
        <v>48</v>
      </c>
      <c r="G738" t="s">
        <v>72</v>
      </c>
      <c r="H738" s="24">
        <v>37298</v>
      </c>
      <c r="I738">
        <v>43080</v>
      </c>
      <c r="J738">
        <v>0</v>
      </c>
      <c r="K738">
        <v>43080</v>
      </c>
      <c r="L738" t="s">
        <v>60</v>
      </c>
      <c r="M738" t="s">
        <v>91</v>
      </c>
      <c r="N738" s="25"/>
      <c r="O738">
        <v>0</v>
      </c>
    </row>
    <row r="739" spans="1:15">
      <c r="A739" t="s">
        <v>858</v>
      </c>
      <c r="B739" t="s">
        <v>85</v>
      </c>
      <c r="C739" t="s">
        <v>105</v>
      </c>
      <c r="D739" t="s">
        <v>64</v>
      </c>
      <c r="E739" t="s">
        <v>58</v>
      </c>
      <c r="F739">
        <v>29</v>
      </c>
      <c r="G739" t="s">
        <v>76</v>
      </c>
      <c r="H739" s="24">
        <v>44325</v>
      </c>
      <c r="I739">
        <v>129541</v>
      </c>
      <c r="J739">
        <v>0.08</v>
      </c>
      <c r="K739">
        <v>139904</v>
      </c>
      <c r="L739" t="s">
        <v>60</v>
      </c>
      <c r="M739" t="s">
        <v>79</v>
      </c>
      <c r="N739" s="25">
        <v>44340</v>
      </c>
      <c r="O739">
        <v>1</v>
      </c>
    </row>
    <row r="740" spans="1:15">
      <c r="A740" t="s">
        <v>859</v>
      </c>
      <c r="B740" t="s">
        <v>69</v>
      </c>
      <c r="C740" t="s">
        <v>82</v>
      </c>
      <c r="D740" t="s">
        <v>57</v>
      </c>
      <c r="E740" t="s">
        <v>65</v>
      </c>
      <c r="F740">
        <v>39</v>
      </c>
      <c r="G740" t="s">
        <v>95</v>
      </c>
      <c r="H740" s="24">
        <v>41635</v>
      </c>
      <c r="I740">
        <v>165756</v>
      </c>
      <c r="J740">
        <v>0.28</v>
      </c>
      <c r="K740">
        <v>212168</v>
      </c>
      <c r="L740" t="s">
        <v>60</v>
      </c>
      <c r="M740" t="s">
        <v>110</v>
      </c>
      <c r="N740" s="25">
        <v>43991</v>
      </c>
      <c r="O740">
        <v>1</v>
      </c>
    </row>
    <row r="741" spans="1:15">
      <c r="A741" t="s">
        <v>860</v>
      </c>
      <c r="B741" t="s">
        <v>55</v>
      </c>
      <c r="C741" t="s">
        <v>70</v>
      </c>
      <c r="D741" t="s">
        <v>71</v>
      </c>
      <c r="E741" t="s">
        <v>65</v>
      </c>
      <c r="F741">
        <v>44</v>
      </c>
      <c r="G741" t="s">
        <v>95</v>
      </c>
      <c r="H741" s="24">
        <v>40274</v>
      </c>
      <c r="I741">
        <v>142878</v>
      </c>
      <c r="J741">
        <v>0.12</v>
      </c>
      <c r="K741">
        <v>160023</v>
      </c>
      <c r="L741" t="s">
        <v>60</v>
      </c>
      <c r="M741" t="s">
        <v>110</v>
      </c>
      <c r="N741" s="25"/>
      <c r="O741">
        <v>0</v>
      </c>
    </row>
    <row r="742" spans="1:15">
      <c r="A742" t="s">
        <v>861</v>
      </c>
      <c r="B742" t="s">
        <v>69</v>
      </c>
      <c r="C742" t="s">
        <v>98</v>
      </c>
      <c r="D742" t="s">
        <v>64</v>
      </c>
      <c r="E742" t="s">
        <v>65</v>
      </c>
      <c r="F742">
        <v>52</v>
      </c>
      <c r="G742" t="s">
        <v>72</v>
      </c>
      <c r="H742" s="24">
        <v>39018</v>
      </c>
      <c r="I742">
        <v>187992</v>
      </c>
      <c r="J742">
        <v>0.28</v>
      </c>
      <c r="K742">
        <v>240630</v>
      </c>
      <c r="L742" t="s">
        <v>60</v>
      </c>
      <c r="M742" t="s">
        <v>88</v>
      </c>
      <c r="N742" s="25"/>
      <c r="O742">
        <v>0</v>
      </c>
    </row>
    <row r="743" spans="1:15">
      <c r="A743" t="s">
        <v>862</v>
      </c>
      <c r="B743" t="s">
        <v>104</v>
      </c>
      <c r="C743" t="s">
        <v>94</v>
      </c>
      <c r="D743" t="s">
        <v>71</v>
      </c>
      <c r="E743" t="s">
        <v>58</v>
      </c>
      <c r="F743">
        <v>45</v>
      </c>
      <c r="G743" t="s">
        <v>72</v>
      </c>
      <c r="H743" s="24">
        <v>43521</v>
      </c>
      <c r="I743">
        <v>249801</v>
      </c>
      <c r="J743">
        <v>0.39</v>
      </c>
      <c r="K743">
        <v>347223</v>
      </c>
      <c r="L743" t="s">
        <v>113</v>
      </c>
      <c r="M743" t="s">
        <v>184</v>
      </c>
      <c r="N743" s="25"/>
      <c r="O743">
        <v>0</v>
      </c>
    </row>
    <row r="744" spans="1:15">
      <c r="A744" t="s">
        <v>863</v>
      </c>
      <c r="B744" t="s">
        <v>326</v>
      </c>
      <c r="C744" t="s">
        <v>56</v>
      </c>
      <c r="D744" t="s">
        <v>57</v>
      </c>
      <c r="E744" t="s">
        <v>65</v>
      </c>
      <c r="F744">
        <v>48</v>
      </c>
      <c r="G744" t="s">
        <v>72</v>
      </c>
      <c r="H744" s="24">
        <v>38987</v>
      </c>
      <c r="I744">
        <v>76505</v>
      </c>
      <c r="J744">
        <v>0</v>
      </c>
      <c r="K744">
        <v>76505</v>
      </c>
      <c r="L744" t="s">
        <v>60</v>
      </c>
      <c r="M744" t="s">
        <v>61</v>
      </c>
      <c r="N744" s="25">
        <v>39180</v>
      </c>
      <c r="O744">
        <v>1</v>
      </c>
    </row>
    <row r="745" spans="1:15">
      <c r="A745" t="s">
        <v>864</v>
      </c>
      <c r="B745" t="s">
        <v>314</v>
      </c>
      <c r="C745" t="s">
        <v>56</v>
      </c>
      <c r="D745" t="s">
        <v>83</v>
      </c>
      <c r="E745" t="s">
        <v>65</v>
      </c>
      <c r="F745">
        <v>39</v>
      </c>
      <c r="G745" t="s">
        <v>95</v>
      </c>
      <c r="H745" s="24">
        <v>42664</v>
      </c>
      <c r="I745">
        <v>84297</v>
      </c>
      <c r="J745">
        <v>0</v>
      </c>
      <c r="K745">
        <v>84297</v>
      </c>
      <c r="L745" t="s">
        <v>113</v>
      </c>
      <c r="M745" t="s">
        <v>114</v>
      </c>
      <c r="N745" s="25"/>
      <c r="O745">
        <v>0</v>
      </c>
    </row>
    <row r="746" spans="1:15">
      <c r="A746" t="s">
        <v>865</v>
      </c>
      <c r="B746" t="s">
        <v>78</v>
      </c>
      <c r="C746" t="s">
        <v>82</v>
      </c>
      <c r="D746" t="s">
        <v>71</v>
      </c>
      <c r="E746" t="s">
        <v>58</v>
      </c>
      <c r="F746">
        <v>53</v>
      </c>
      <c r="G746" t="s">
        <v>72</v>
      </c>
      <c r="H746" s="24">
        <v>42744</v>
      </c>
      <c r="I746">
        <v>75769</v>
      </c>
      <c r="J746">
        <v>0</v>
      </c>
      <c r="K746">
        <v>75769</v>
      </c>
      <c r="L746" t="s">
        <v>113</v>
      </c>
      <c r="M746" t="s">
        <v>114</v>
      </c>
      <c r="N746" s="25">
        <v>44029</v>
      </c>
      <c r="O746">
        <v>1</v>
      </c>
    </row>
    <row r="747" spans="1:15">
      <c r="A747" t="s">
        <v>866</v>
      </c>
      <c r="B747" t="s">
        <v>104</v>
      </c>
      <c r="C747" t="s">
        <v>90</v>
      </c>
      <c r="D747" t="s">
        <v>71</v>
      </c>
      <c r="E747" t="s">
        <v>65</v>
      </c>
      <c r="F747">
        <v>41</v>
      </c>
      <c r="G747" t="s">
        <v>95</v>
      </c>
      <c r="H747" s="24">
        <v>41503</v>
      </c>
      <c r="I747">
        <v>235619</v>
      </c>
      <c r="J747">
        <v>0.3</v>
      </c>
      <c r="K747">
        <v>306305</v>
      </c>
      <c r="L747" t="s">
        <v>60</v>
      </c>
      <c r="M747" t="s">
        <v>61</v>
      </c>
      <c r="N747" s="25"/>
      <c r="O747">
        <v>0</v>
      </c>
    </row>
    <row r="748" spans="1:15">
      <c r="A748" t="s">
        <v>867</v>
      </c>
      <c r="B748" t="s">
        <v>69</v>
      </c>
      <c r="C748" t="s">
        <v>98</v>
      </c>
      <c r="D748" t="s">
        <v>71</v>
      </c>
      <c r="E748" t="s">
        <v>65</v>
      </c>
      <c r="F748">
        <v>40</v>
      </c>
      <c r="G748" t="s">
        <v>95</v>
      </c>
      <c r="H748" s="24">
        <v>43868</v>
      </c>
      <c r="I748">
        <v>187187</v>
      </c>
      <c r="J748">
        <v>0.18</v>
      </c>
      <c r="K748">
        <v>220881</v>
      </c>
      <c r="L748" t="s">
        <v>113</v>
      </c>
      <c r="M748" t="s">
        <v>114</v>
      </c>
      <c r="N748" s="25"/>
      <c r="O748">
        <v>0</v>
      </c>
    </row>
    <row r="749" spans="1:15">
      <c r="A749" t="s">
        <v>868</v>
      </c>
      <c r="B749" t="s">
        <v>202</v>
      </c>
      <c r="C749" t="s">
        <v>56</v>
      </c>
      <c r="D749" t="s">
        <v>57</v>
      </c>
      <c r="E749" t="s">
        <v>65</v>
      </c>
      <c r="F749">
        <v>48</v>
      </c>
      <c r="G749" t="s">
        <v>72</v>
      </c>
      <c r="H749" s="24">
        <v>38560</v>
      </c>
      <c r="I749">
        <v>68987</v>
      </c>
      <c r="J749">
        <v>0</v>
      </c>
      <c r="K749">
        <v>68987</v>
      </c>
      <c r="L749" t="s">
        <v>60</v>
      </c>
      <c r="M749" t="s">
        <v>73</v>
      </c>
      <c r="N749" s="25">
        <v>38829</v>
      </c>
      <c r="O749">
        <v>1</v>
      </c>
    </row>
    <row r="750" spans="1:15">
      <c r="A750" t="s">
        <v>869</v>
      </c>
      <c r="B750" t="s">
        <v>69</v>
      </c>
      <c r="C750" t="s">
        <v>98</v>
      </c>
      <c r="D750" t="s">
        <v>71</v>
      </c>
      <c r="E750" t="s">
        <v>65</v>
      </c>
      <c r="F750">
        <v>41</v>
      </c>
      <c r="G750" t="s">
        <v>95</v>
      </c>
      <c r="H750" s="24">
        <v>39156</v>
      </c>
      <c r="I750">
        <v>155926</v>
      </c>
      <c r="J750">
        <v>0.24</v>
      </c>
      <c r="K750">
        <v>193348</v>
      </c>
      <c r="L750" t="s">
        <v>60</v>
      </c>
      <c r="M750" t="s">
        <v>110</v>
      </c>
      <c r="N750" s="25">
        <v>39598</v>
      </c>
      <c r="O750">
        <v>1</v>
      </c>
    </row>
    <row r="751" spans="1:15">
      <c r="A751" t="s">
        <v>870</v>
      </c>
      <c r="B751" t="s">
        <v>78</v>
      </c>
      <c r="C751" t="s">
        <v>90</v>
      </c>
      <c r="D751" t="s">
        <v>71</v>
      </c>
      <c r="E751" t="s">
        <v>65</v>
      </c>
      <c r="F751">
        <v>54</v>
      </c>
      <c r="G751" t="s">
        <v>72</v>
      </c>
      <c r="H751" s="24">
        <v>42494</v>
      </c>
      <c r="I751">
        <v>93668</v>
      </c>
      <c r="J751">
        <v>0</v>
      </c>
      <c r="K751">
        <v>93668</v>
      </c>
      <c r="L751" t="s">
        <v>60</v>
      </c>
      <c r="M751" t="s">
        <v>73</v>
      </c>
      <c r="N751" s="25"/>
      <c r="O751">
        <v>0</v>
      </c>
    </row>
    <row r="752" spans="1:15">
      <c r="A752" t="s">
        <v>871</v>
      </c>
      <c r="B752" t="s">
        <v>154</v>
      </c>
      <c r="C752" t="s">
        <v>94</v>
      </c>
      <c r="D752" t="s">
        <v>57</v>
      </c>
      <c r="E752" t="s">
        <v>65</v>
      </c>
      <c r="F752">
        <v>38</v>
      </c>
      <c r="G752" t="s">
        <v>95</v>
      </c>
      <c r="H752" s="24">
        <v>43798</v>
      </c>
      <c r="I752">
        <v>69647</v>
      </c>
      <c r="J752">
        <v>0</v>
      </c>
      <c r="K752">
        <v>69647</v>
      </c>
      <c r="L752" t="s">
        <v>60</v>
      </c>
      <c r="M752" t="s">
        <v>88</v>
      </c>
      <c r="N752" s="25">
        <v>44671</v>
      </c>
      <c r="O752">
        <v>1</v>
      </c>
    </row>
    <row r="753" spans="1:15">
      <c r="A753" t="s">
        <v>872</v>
      </c>
      <c r="B753" t="s">
        <v>228</v>
      </c>
      <c r="C753" t="s">
        <v>56</v>
      </c>
      <c r="D753" t="s">
        <v>83</v>
      </c>
      <c r="E753" t="s">
        <v>65</v>
      </c>
      <c r="F753">
        <v>57</v>
      </c>
      <c r="G753" t="s">
        <v>59</v>
      </c>
      <c r="H753" s="24">
        <v>37798</v>
      </c>
      <c r="I753">
        <v>63318</v>
      </c>
      <c r="J753">
        <v>0</v>
      </c>
      <c r="K753">
        <v>63318</v>
      </c>
      <c r="L753" t="s">
        <v>60</v>
      </c>
      <c r="M753" t="s">
        <v>110</v>
      </c>
      <c r="N753" s="25"/>
      <c r="O753">
        <v>0</v>
      </c>
    </row>
    <row r="754" spans="1:15">
      <c r="A754" t="s">
        <v>873</v>
      </c>
      <c r="B754" t="s">
        <v>78</v>
      </c>
      <c r="C754" t="s">
        <v>105</v>
      </c>
      <c r="D754" t="s">
        <v>64</v>
      </c>
      <c r="E754" t="s">
        <v>65</v>
      </c>
      <c r="F754">
        <v>63</v>
      </c>
      <c r="G754" t="s">
        <v>59</v>
      </c>
      <c r="H754" s="24">
        <v>42778</v>
      </c>
      <c r="I754">
        <v>77629</v>
      </c>
      <c r="J754">
        <v>0</v>
      </c>
      <c r="K754">
        <v>77629</v>
      </c>
      <c r="L754" t="s">
        <v>66</v>
      </c>
      <c r="M754" t="s">
        <v>126</v>
      </c>
      <c r="N754" s="25"/>
      <c r="O754">
        <v>0</v>
      </c>
    </row>
    <row r="755" spans="1:15">
      <c r="A755" t="s">
        <v>874</v>
      </c>
      <c r="B755" t="s">
        <v>55</v>
      </c>
      <c r="C755" t="s">
        <v>94</v>
      </c>
      <c r="D755" t="s">
        <v>64</v>
      </c>
      <c r="E755" t="s">
        <v>65</v>
      </c>
      <c r="F755">
        <v>62</v>
      </c>
      <c r="G755" t="s">
        <v>59</v>
      </c>
      <c r="H755" s="24">
        <v>43061</v>
      </c>
      <c r="I755">
        <v>138808</v>
      </c>
      <c r="J755">
        <v>0.15</v>
      </c>
      <c r="K755">
        <v>159629</v>
      </c>
      <c r="L755" t="s">
        <v>66</v>
      </c>
      <c r="M755" t="s">
        <v>67</v>
      </c>
      <c r="N755" s="25"/>
      <c r="O755">
        <v>0</v>
      </c>
    </row>
    <row r="756" spans="1:15">
      <c r="A756" t="s">
        <v>875</v>
      </c>
      <c r="B756" t="s">
        <v>136</v>
      </c>
      <c r="C756" t="s">
        <v>56</v>
      </c>
      <c r="D756" t="s">
        <v>57</v>
      </c>
      <c r="E756" t="s">
        <v>58</v>
      </c>
      <c r="F756">
        <v>49</v>
      </c>
      <c r="G756" t="s">
        <v>72</v>
      </c>
      <c r="H756" s="24">
        <v>41703</v>
      </c>
      <c r="I756">
        <v>88777</v>
      </c>
      <c r="J756">
        <v>0</v>
      </c>
      <c r="K756">
        <v>88777</v>
      </c>
      <c r="L756" t="s">
        <v>60</v>
      </c>
      <c r="M756" t="s">
        <v>73</v>
      </c>
      <c r="N756" s="25"/>
      <c r="O756">
        <v>0</v>
      </c>
    </row>
    <row r="757" spans="1:15">
      <c r="A757" t="s">
        <v>876</v>
      </c>
      <c r="B757" t="s">
        <v>69</v>
      </c>
      <c r="C757" t="s">
        <v>90</v>
      </c>
      <c r="D757" t="s">
        <v>83</v>
      </c>
      <c r="E757" t="s">
        <v>58</v>
      </c>
      <c r="F757">
        <v>60</v>
      </c>
      <c r="G757" t="s">
        <v>59</v>
      </c>
      <c r="H757" s="24">
        <v>38121</v>
      </c>
      <c r="I757">
        <v>186378</v>
      </c>
      <c r="J757">
        <v>0.26</v>
      </c>
      <c r="K757">
        <v>234836</v>
      </c>
      <c r="L757" t="s">
        <v>66</v>
      </c>
      <c r="M757" t="s">
        <v>67</v>
      </c>
      <c r="N757" s="25"/>
      <c r="O757">
        <v>0</v>
      </c>
    </row>
    <row r="758" spans="1:15">
      <c r="A758" t="s">
        <v>877</v>
      </c>
      <c r="B758" t="s">
        <v>122</v>
      </c>
      <c r="C758" t="s">
        <v>98</v>
      </c>
      <c r="D758" t="s">
        <v>57</v>
      </c>
      <c r="E758" t="s">
        <v>58</v>
      </c>
      <c r="F758">
        <v>45</v>
      </c>
      <c r="G758" t="s">
        <v>72</v>
      </c>
      <c r="H758" s="24">
        <v>42117</v>
      </c>
      <c r="I758">
        <v>60017</v>
      </c>
      <c r="J758">
        <v>0</v>
      </c>
      <c r="K758">
        <v>60017</v>
      </c>
      <c r="L758" t="s">
        <v>60</v>
      </c>
      <c r="M758" t="s">
        <v>73</v>
      </c>
      <c r="N758" s="25"/>
      <c r="O758">
        <v>0</v>
      </c>
    </row>
    <row r="759" spans="1:15">
      <c r="A759" t="s">
        <v>878</v>
      </c>
      <c r="B759" t="s">
        <v>55</v>
      </c>
      <c r="C759" t="s">
        <v>82</v>
      </c>
      <c r="D759" t="s">
        <v>71</v>
      </c>
      <c r="E759" t="s">
        <v>58</v>
      </c>
      <c r="F759">
        <v>45</v>
      </c>
      <c r="G759" t="s">
        <v>72</v>
      </c>
      <c r="H759" s="24">
        <v>43305</v>
      </c>
      <c r="I759">
        <v>148991</v>
      </c>
      <c r="J759">
        <v>0.12</v>
      </c>
      <c r="K759">
        <v>166870</v>
      </c>
      <c r="L759" t="s">
        <v>113</v>
      </c>
      <c r="M759" t="s">
        <v>184</v>
      </c>
      <c r="N759" s="25"/>
      <c r="O759">
        <v>0</v>
      </c>
    </row>
    <row r="760" spans="1:15">
      <c r="A760" t="s">
        <v>879</v>
      </c>
      <c r="B760" t="s">
        <v>160</v>
      </c>
      <c r="C760" t="s">
        <v>98</v>
      </c>
      <c r="D760" t="s">
        <v>71</v>
      </c>
      <c r="E760" t="s">
        <v>58</v>
      </c>
      <c r="F760">
        <v>52</v>
      </c>
      <c r="G760" t="s">
        <v>72</v>
      </c>
      <c r="H760" s="24">
        <v>39532</v>
      </c>
      <c r="I760">
        <v>97398</v>
      </c>
      <c r="J760">
        <v>0</v>
      </c>
      <c r="K760">
        <v>97398</v>
      </c>
      <c r="L760" t="s">
        <v>113</v>
      </c>
      <c r="M760" t="s">
        <v>114</v>
      </c>
      <c r="N760" s="25"/>
      <c r="O760">
        <v>0</v>
      </c>
    </row>
    <row r="761" spans="1:15">
      <c r="A761" t="s">
        <v>880</v>
      </c>
      <c r="B761" t="s">
        <v>143</v>
      </c>
      <c r="C761" t="s">
        <v>94</v>
      </c>
      <c r="D761" t="s">
        <v>64</v>
      </c>
      <c r="E761" t="s">
        <v>58</v>
      </c>
      <c r="F761">
        <v>63</v>
      </c>
      <c r="G761" t="s">
        <v>59</v>
      </c>
      <c r="H761" s="24">
        <v>39204</v>
      </c>
      <c r="I761">
        <v>72805</v>
      </c>
      <c r="J761">
        <v>0</v>
      </c>
      <c r="K761">
        <v>72805</v>
      </c>
      <c r="L761" t="s">
        <v>66</v>
      </c>
      <c r="M761" t="s">
        <v>101</v>
      </c>
      <c r="N761" s="25"/>
      <c r="O761">
        <v>0</v>
      </c>
    </row>
    <row r="762" spans="1:15">
      <c r="A762" t="s">
        <v>881</v>
      </c>
      <c r="B762" t="s">
        <v>225</v>
      </c>
      <c r="C762" t="s">
        <v>82</v>
      </c>
      <c r="D762" t="s">
        <v>57</v>
      </c>
      <c r="E762" t="s">
        <v>58</v>
      </c>
      <c r="F762">
        <v>46</v>
      </c>
      <c r="G762" t="s">
        <v>72</v>
      </c>
      <c r="H762" s="24">
        <v>44213</v>
      </c>
      <c r="I762">
        <v>72131</v>
      </c>
      <c r="J762">
        <v>0</v>
      </c>
      <c r="K762">
        <v>72131</v>
      </c>
      <c r="L762" t="s">
        <v>66</v>
      </c>
      <c r="M762" t="s">
        <v>101</v>
      </c>
      <c r="N762" s="25"/>
      <c r="O762">
        <v>0</v>
      </c>
    </row>
    <row r="763" spans="1:15">
      <c r="A763" t="s">
        <v>882</v>
      </c>
      <c r="B763" t="s">
        <v>85</v>
      </c>
      <c r="C763" t="s">
        <v>94</v>
      </c>
      <c r="D763" t="s">
        <v>64</v>
      </c>
      <c r="E763" t="s">
        <v>65</v>
      </c>
      <c r="F763">
        <v>64</v>
      </c>
      <c r="G763" t="s">
        <v>59</v>
      </c>
      <c r="H763" s="24">
        <v>33964</v>
      </c>
      <c r="I763">
        <v>104668</v>
      </c>
      <c r="J763">
        <v>0.08</v>
      </c>
      <c r="K763">
        <v>113041</v>
      </c>
      <c r="L763" t="s">
        <v>60</v>
      </c>
      <c r="M763" t="s">
        <v>110</v>
      </c>
      <c r="N763" s="25"/>
      <c r="O763">
        <v>0</v>
      </c>
    </row>
    <row r="764" spans="1:15">
      <c r="A764" t="s">
        <v>883</v>
      </c>
      <c r="B764" t="s">
        <v>78</v>
      </c>
      <c r="C764" t="s">
        <v>82</v>
      </c>
      <c r="D764" t="s">
        <v>64</v>
      </c>
      <c r="E764" t="s">
        <v>58</v>
      </c>
      <c r="F764">
        <v>53</v>
      </c>
      <c r="G764" t="s">
        <v>72</v>
      </c>
      <c r="H764" s="24">
        <v>42952</v>
      </c>
      <c r="I764">
        <v>89769</v>
      </c>
      <c r="J764">
        <v>0</v>
      </c>
      <c r="K764">
        <v>89769</v>
      </c>
      <c r="L764" t="s">
        <v>60</v>
      </c>
      <c r="M764" t="s">
        <v>61</v>
      </c>
      <c r="N764" s="25"/>
      <c r="O764">
        <v>0</v>
      </c>
    </row>
    <row r="765" spans="1:15">
      <c r="A765" t="s">
        <v>884</v>
      </c>
      <c r="B765" t="s">
        <v>85</v>
      </c>
      <c r="C765" t="s">
        <v>82</v>
      </c>
      <c r="D765" t="s">
        <v>83</v>
      </c>
      <c r="E765" t="s">
        <v>58</v>
      </c>
      <c r="F765">
        <v>27</v>
      </c>
      <c r="G765" t="s">
        <v>76</v>
      </c>
      <c r="H765" s="24">
        <v>43358</v>
      </c>
      <c r="I765">
        <v>127616</v>
      </c>
      <c r="J765">
        <v>0.07</v>
      </c>
      <c r="K765">
        <v>136549</v>
      </c>
      <c r="L765" t="s">
        <v>60</v>
      </c>
      <c r="M765" t="s">
        <v>110</v>
      </c>
      <c r="N765" s="25"/>
      <c r="O765">
        <v>0</v>
      </c>
    </row>
    <row r="766" spans="1:15">
      <c r="A766" t="s">
        <v>885</v>
      </c>
      <c r="B766" t="s">
        <v>85</v>
      </c>
      <c r="C766" t="s">
        <v>94</v>
      </c>
      <c r="D766" t="s">
        <v>83</v>
      </c>
      <c r="E766" t="s">
        <v>65</v>
      </c>
      <c r="F766">
        <v>45</v>
      </c>
      <c r="G766" t="s">
        <v>72</v>
      </c>
      <c r="H766" s="24">
        <v>41099</v>
      </c>
      <c r="I766">
        <v>109883</v>
      </c>
      <c r="J766">
        <v>0.07</v>
      </c>
      <c r="K766">
        <v>117575</v>
      </c>
      <c r="L766" t="s">
        <v>60</v>
      </c>
      <c r="M766" t="s">
        <v>110</v>
      </c>
      <c r="N766" s="25"/>
      <c r="O766">
        <v>0</v>
      </c>
    </row>
    <row r="767" spans="1:15">
      <c r="A767" t="s">
        <v>886</v>
      </c>
      <c r="B767" t="s">
        <v>166</v>
      </c>
      <c r="C767" t="s">
        <v>94</v>
      </c>
      <c r="D767" t="s">
        <v>64</v>
      </c>
      <c r="E767" t="s">
        <v>58</v>
      </c>
      <c r="F767">
        <v>25</v>
      </c>
      <c r="G767" t="s">
        <v>76</v>
      </c>
      <c r="H767" s="24">
        <v>44270</v>
      </c>
      <c r="I767">
        <v>47974</v>
      </c>
      <c r="J767">
        <v>0</v>
      </c>
      <c r="K767">
        <v>47974</v>
      </c>
      <c r="L767" t="s">
        <v>66</v>
      </c>
      <c r="M767" t="s">
        <v>67</v>
      </c>
      <c r="N767" s="25"/>
      <c r="O767">
        <v>0</v>
      </c>
    </row>
    <row r="768" spans="1:15">
      <c r="A768" t="s">
        <v>887</v>
      </c>
      <c r="B768" t="s">
        <v>55</v>
      </c>
      <c r="C768" t="s">
        <v>56</v>
      </c>
      <c r="D768" t="s">
        <v>71</v>
      </c>
      <c r="E768" t="s">
        <v>58</v>
      </c>
      <c r="F768">
        <v>43</v>
      </c>
      <c r="G768" t="s">
        <v>95</v>
      </c>
      <c r="H768" s="24">
        <v>42090</v>
      </c>
      <c r="I768">
        <v>120321</v>
      </c>
      <c r="J768">
        <v>0.12</v>
      </c>
      <c r="K768">
        <v>134760</v>
      </c>
      <c r="L768" t="s">
        <v>60</v>
      </c>
      <c r="M768" t="s">
        <v>91</v>
      </c>
      <c r="N768" s="25"/>
      <c r="O768">
        <v>0</v>
      </c>
    </row>
    <row r="769" spans="1:15">
      <c r="A769" t="s">
        <v>888</v>
      </c>
      <c r="B769" t="s">
        <v>129</v>
      </c>
      <c r="C769" t="s">
        <v>56</v>
      </c>
      <c r="D769" t="s">
        <v>64</v>
      </c>
      <c r="E769" t="s">
        <v>58</v>
      </c>
      <c r="F769">
        <v>61</v>
      </c>
      <c r="G769" t="s">
        <v>59</v>
      </c>
      <c r="H769" s="24">
        <v>41861</v>
      </c>
      <c r="I769">
        <v>57446</v>
      </c>
      <c r="J769">
        <v>0</v>
      </c>
      <c r="K769">
        <v>57446</v>
      </c>
      <c r="L769" t="s">
        <v>60</v>
      </c>
      <c r="M769" t="s">
        <v>79</v>
      </c>
      <c r="N769" s="25"/>
      <c r="O769">
        <v>0</v>
      </c>
    </row>
    <row r="770" spans="1:15">
      <c r="A770" t="s">
        <v>889</v>
      </c>
      <c r="B770" t="s">
        <v>69</v>
      </c>
      <c r="C770" t="s">
        <v>90</v>
      </c>
      <c r="D770" t="s">
        <v>57</v>
      </c>
      <c r="E770" t="s">
        <v>58</v>
      </c>
      <c r="F770">
        <v>42</v>
      </c>
      <c r="G770" t="s">
        <v>95</v>
      </c>
      <c r="H770" s="24">
        <v>39968</v>
      </c>
      <c r="I770">
        <v>174099</v>
      </c>
      <c r="J770">
        <v>0.26</v>
      </c>
      <c r="K770">
        <v>219365</v>
      </c>
      <c r="L770" t="s">
        <v>60</v>
      </c>
      <c r="M770" t="s">
        <v>91</v>
      </c>
      <c r="N770" s="25"/>
      <c r="O770">
        <v>0</v>
      </c>
    </row>
    <row r="771" spans="1:15">
      <c r="A771" t="s">
        <v>890</v>
      </c>
      <c r="B771" t="s">
        <v>55</v>
      </c>
      <c r="C771" t="s">
        <v>70</v>
      </c>
      <c r="D771" t="s">
        <v>64</v>
      </c>
      <c r="E771" t="s">
        <v>65</v>
      </c>
      <c r="F771">
        <v>63</v>
      </c>
      <c r="G771" t="s">
        <v>59</v>
      </c>
      <c r="H771" s="24">
        <v>37295</v>
      </c>
      <c r="I771">
        <v>128703</v>
      </c>
      <c r="J771">
        <v>0.13</v>
      </c>
      <c r="K771">
        <v>145434</v>
      </c>
      <c r="L771" t="s">
        <v>60</v>
      </c>
      <c r="M771" t="s">
        <v>91</v>
      </c>
      <c r="N771" s="25"/>
      <c r="O771">
        <v>0</v>
      </c>
    </row>
    <row r="772" spans="1:15">
      <c r="A772" t="s">
        <v>891</v>
      </c>
      <c r="B772" t="s">
        <v>160</v>
      </c>
      <c r="C772" t="s">
        <v>98</v>
      </c>
      <c r="D772" t="s">
        <v>83</v>
      </c>
      <c r="E772" t="s">
        <v>58</v>
      </c>
      <c r="F772">
        <v>32</v>
      </c>
      <c r="G772" t="s">
        <v>76</v>
      </c>
      <c r="H772" s="24">
        <v>42317</v>
      </c>
      <c r="I772">
        <v>65247</v>
      </c>
      <c r="J772">
        <v>0</v>
      </c>
      <c r="K772">
        <v>65247</v>
      </c>
      <c r="L772" t="s">
        <v>60</v>
      </c>
      <c r="M772" t="s">
        <v>79</v>
      </c>
      <c r="N772" s="25"/>
      <c r="O772">
        <v>0</v>
      </c>
    </row>
    <row r="773" spans="1:15">
      <c r="A773" t="s">
        <v>892</v>
      </c>
      <c r="B773" t="s">
        <v>122</v>
      </c>
      <c r="C773" t="s">
        <v>98</v>
      </c>
      <c r="D773" t="s">
        <v>57</v>
      </c>
      <c r="E773" t="s">
        <v>65</v>
      </c>
      <c r="F773">
        <v>27</v>
      </c>
      <c r="G773" t="s">
        <v>76</v>
      </c>
      <c r="H773" s="24">
        <v>43371</v>
      </c>
      <c r="I773">
        <v>64247</v>
      </c>
      <c r="J773">
        <v>0</v>
      </c>
      <c r="K773">
        <v>64247</v>
      </c>
      <c r="L773" t="s">
        <v>113</v>
      </c>
      <c r="M773" t="s">
        <v>117</v>
      </c>
      <c r="N773" s="25"/>
      <c r="O773">
        <v>0</v>
      </c>
    </row>
    <row r="774" spans="1:15">
      <c r="A774" t="s">
        <v>893</v>
      </c>
      <c r="B774" t="s">
        <v>85</v>
      </c>
      <c r="C774" t="s">
        <v>94</v>
      </c>
      <c r="D774" t="s">
        <v>57</v>
      </c>
      <c r="E774" t="s">
        <v>58</v>
      </c>
      <c r="F774">
        <v>33</v>
      </c>
      <c r="G774" t="s">
        <v>76</v>
      </c>
      <c r="H774" s="24">
        <v>41071</v>
      </c>
      <c r="I774">
        <v>118253</v>
      </c>
      <c r="J774">
        <v>0.08</v>
      </c>
      <c r="K774">
        <v>127713</v>
      </c>
      <c r="L774" t="s">
        <v>60</v>
      </c>
      <c r="M774" t="s">
        <v>91</v>
      </c>
      <c r="N774" s="25"/>
      <c r="O774">
        <v>0</v>
      </c>
    </row>
    <row r="775" spans="1:15">
      <c r="A775" t="s">
        <v>894</v>
      </c>
      <c r="B775" t="s">
        <v>164</v>
      </c>
      <c r="C775" t="s">
        <v>98</v>
      </c>
      <c r="D775" t="s">
        <v>64</v>
      </c>
      <c r="E775" t="s">
        <v>58</v>
      </c>
      <c r="F775">
        <v>45</v>
      </c>
      <c r="G775" t="s">
        <v>72</v>
      </c>
      <c r="H775" s="24">
        <v>38057</v>
      </c>
      <c r="I775">
        <v>109422</v>
      </c>
      <c r="J775">
        <v>0</v>
      </c>
      <c r="K775">
        <v>109422</v>
      </c>
      <c r="L775" t="s">
        <v>66</v>
      </c>
      <c r="M775" t="s">
        <v>67</v>
      </c>
      <c r="N775" s="25"/>
      <c r="O775">
        <v>0</v>
      </c>
    </row>
    <row r="776" spans="1:15">
      <c r="A776" t="s">
        <v>895</v>
      </c>
      <c r="B776" t="s">
        <v>85</v>
      </c>
      <c r="C776" t="s">
        <v>94</v>
      </c>
      <c r="D776" t="s">
        <v>83</v>
      </c>
      <c r="E776" t="s">
        <v>65</v>
      </c>
      <c r="F776">
        <v>41</v>
      </c>
      <c r="G776" t="s">
        <v>95</v>
      </c>
      <c r="H776" s="24">
        <v>43502</v>
      </c>
      <c r="I776">
        <v>126950</v>
      </c>
      <c r="J776">
        <v>0.1</v>
      </c>
      <c r="K776">
        <v>139645</v>
      </c>
      <c r="L776" t="s">
        <v>60</v>
      </c>
      <c r="M776" t="s">
        <v>73</v>
      </c>
      <c r="N776" s="25"/>
      <c r="O776">
        <v>0</v>
      </c>
    </row>
    <row r="777" spans="1:15">
      <c r="A777" t="s">
        <v>896</v>
      </c>
      <c r="B777" t="s">
        <v>136</v>
      </c>
      <c r="C777" t="s">
        <v>56</v>
      </c>
      <c r="D777" t="s">
        <v>64</v>
      </c>
      <c r="E777" t="s">
        <v>58</v>
      </c>
      <c r="F777">
        <v>36</v>
      </c>
      <c r="G777" t="s">
        <v>95</v>
      </c>
      <c r="H777" s="24">
        <v>41964</v>
      </c>
      <c r="I777">
        <v>97500</v>
      </c>
      <c r="J777">
        <v>0</v>
      </c>
      <c r="K777">
        <v>97500</v>
      </c>
      <c r="L777" t="s">
        <v>60</v>
      </c>
      <c r="M777" t="s">
        <v>88</v>
      </c>
      <c r="N777" s="25"/>
      <c r="O777">
        <v>0</v>
      </c>
    </row>
    <row r="778" spans="1:15">
      <c r="A778" t="s">
        <v>897</v>
      </c>
      <c r="B778" t="s">
        <v>129</v>
      </c>
      <c r="C778" t="s">
        <v>56</v>
      </c>
      <c r="D778" t="s">
        <v>64</v>
      </c>
      <c r="E778" t="s">
        <v>65</v>
      </c>
      <c r="F778">
        <v>25</v>
      </c>
      <c r="G778" t="s">
        <v>76</v>
      </c>
      <c r="H778" s="24">
        <v>44213</v>
      </c>
      <c r="I778">
        <v>41844</v>
      </c>
      <c r="J778">
        <v>0</v>
      </c>
      <c r="K778">
        <v>41844</v>
      </c>
      <c r="L778" t="s">
        <v>66</v>
      </c>
      <c r="M778" t="s">
        <v>67</v>
      </c>
      <c r="N778" s="25"/>
      <c r="O778">
        <v>0</v>
      </c>
    </row>
    <row r="779" spans="1:15">
      <c r="A779" t="s">
        <v>898</v>
      </c>
      <c r="B779" t="s">
        <v>132</v>
      </c>
      <c r="C779" t="s">
        <v>90</v>
      </c>
      <c r="D779" t="s">
        <v>57</v>
      </c>
      <c r="E779" t="s">
        <v>65</v>
      </c>
      <c r="F779">
        <v>43</v>
      </c>
      <c r="G779" t="s">
        <v>95</v>
      </c>
      <c r="H779" s="24">
        <v>41680</v>
      </c>
      <c r="I779">
        <v>58875</v>
      </c>
      <c r="J779">
        <v>0</v>
      </c>
      <c r="K779">
        <v>58875</v>
      </c>
      <c r="L779" t="s">
        <v>66</v>
      </c>
      <c r="M779" t="s">
        <v>138</v>
      </c>
      <c r="N779" s="25"/>
      <c r="O779">
        <v>0</v>
      </c>
    </row>
    <row r="780" spans="1:15">
      <c r="A780" t="s">
        <v>899</v>
      </c>
      <c r="B780" t="s">
        <v>81</v>
      </c>
      <c r="C780" t="s">
        <v>82</v>
      </c>
      <c r="D780" t="s">
        <v>64</v>
      </c>
      <c r="E780" t="s">
        <v>58</v>
      </c>
      <c r="F780">
        <v>37</v>
      </c>
      <c r="G780" t="s">
        <v>95</v>
      </c>
      <c r="H780" s="24">
        <v>42318</v>
      </c>
      <c r="I780">
        <v>64204</v>
      </c>
      <c r="J780">
        <v>0</v>
      </c>
      <c r="K780">
        <v>64204</v>
      </c>
      <c r="L780" t="s">
        <v>60</v>
      </c>
      <c r="M780" t="s">
        <v>110</v>
      </c>
      <c r="N780" s="25">
        <v>44306</v>
      </c>
      <c r="O780">
        <v>1</v>
      </c>
    </row>
    <row r="781" spans="1:15">
      <c r="A781" t="s">
        <v>900</v>
      </c>
      <c r="B781" t="s">
        <v>132</v>
      </c>
      <c r="C781" t="s">
        <v>82</v>
      </c>
      <c r="D781" t="s">
        <v>83</v>
      </c>
      <c r="E781" t="s">
        <v>58</v>
      </c>
      <c r="F781">
        <v>42</v>
      </c>
      <c r="G781" t="s">
        <v>95</v>
      </c>
      <c r="H781" s="24">
        <v>40307</v>
      </c>
      <c r="I781">
        <v>67743</v>
      </c>
      <c r="J781">
        <v>0</v>
      </c>
      <c r="K781">
        <v>67743</v>
      </c>
      <c r="L781" t="s">
        <v>66</v>
      </c>
      <c r="M781" t="s">
        <v>126</v>
      </c>
      <c r="N781" s="25">
        <v>41998</v>
      </c>
      <c r="O781">
        <v>1</v>
      </c>
    </row>
    <row r="782" spans="1:15">
      <c r="A782" t="s">
        <v>901</v>
      </c>
      <c r="B782" t="s">
        <v>225</v>
      </c>
      <c r="C782" t="s">
        <v>82</v>
      </c>
      <c r="D782" t="s">
        <v>71</v>
      </c>
      <c r="E782" t="s">
        <v>58</v>
      </c>
      <c r="F782">
        <v>60</v>
      </c>
      <c r="G782" t="s">
        <v>59</v>
      </c>
      <c r="H782" s="24">
        <v>35641</v>
      </c>
      <c r="I782">
        <v>71677</v>
      </c>
      <c r="J782">
        <v>0</v>
      </c>
      <c r="K782">
        <v>71677</v>
      </c>
      <c r="L782" t="s">
        <v>60</v>
      </c>
      <c r="M782" t="s">
        <v>110</v>
      </c>
      <c r="N782" s="25"/>
      <c r="O782">
        <v>0</v>
      </c>
    </row>
    <row r="783" spans="1:15">
      <c r="A783" t="s">
        <v>902</v>
      </c>
      <c r="B783" t="s">
        <v>129</v>
      </c>
      <c r="C783" t="s">
        <v>56</v>
      </c>
      <c r="D783" t="s">
        <v>71</v>
      </c>
      <c r="E783" t="s">
        <v>65</v>
      </c>
      <c r="F783">
        <v>61</v>
      </c>
      <c r="G783" t="s">
        <v>59</v>
      </c>
      <c r="H783" s="24">
        <v>36793</v>
      </c>
      <c r="I783">
        <v>40063</v>
      </c>
      <c r="J783">
        <v>0</v>
      </c>
      <c r="K783">
        <v>40063</v>
      </c>
      <c r="L783" t="s">
        <v>60</v>
      </c>
      <c r="M783" t="s">
        <v>88</v>
      </c>
      <c r="N783" s="25"/>
      <c r="O783">
        <v>0</v>
      </c>
    </row>
    <row r="784" spans="1:15">
      <c r="A784" t="s">
        <v>903</v>
      </c>
      <c r="B784" t="s">
        <v>129</v>
      </c>
      <c r="C784" t="s">
        <v>56</v>
      </c>
      <c r="D784" t="s">
        <v>64</v>
      </c>
      <c r="E784" t="s">
        <v>58</v>
      </c>
      <c r="F784">
        <v>55</v>
      </c>
      <c r="G784" t="s">
        <v>59</v>
      </c>
      <c r="H784" s="24">
        <v>38107</v>
      </c>
      <c r="I784">
        <v>40124</v>
      </c>
      <c r="J784">
        <v>0</v>
      </c>
      <c r="K784">
        <v>40124</v>
      </c>
      <c r="L784" t="s">
        <v>60</v>
      </c>
      <c r="M784" t="s">
        <v>91</v>
      </c>
      <c r="N784" s="25"/>
      <c r="O784">
        <v>0</v>
      </c>
    </row>
    <row r="785" spans="1:15">
      <c r="A785" t="s">
        <v>904</v>
      </c>
      <c r="B785" t="s">
        <v>162</v>
      </c>
      <c r="C785" t="s">
        <v>98</v>
      </c>
      <c r="D785" t="s">
        <v>64</v>
      </c>
      <c r="E785" t="s">
        <v>65</v>
      </c>
      <c r="F785">
        <v>57</v>
      </c>
      <c r="G785" t="s">
        <v>59</v>
      </c>
      <c r="H785" s="24">
        <v>43157</v>
      </c>
      <c r="I785">
        <v>103183</v>
      </c>
      <c r="J785">
        <v>0</v>
      </c>
      <c r="K785">
        <v>103183</v>
      </c>
      <c r="L785" t="s">
        <v>60</v>
      </c>
      <c r="M785" t="s">
        <v>91</v>
      </c>
      <c r="N785" s="25">
        <v>44386</v>
      </c>
      <c r="O785">
        <v>1</v>
      </c>
    </row>
    <row r="786" spans="1:15">
      <c r="A786" t="s">
        <v>905</v>
      </c>
      <c r="B786" t="s">
        <v>228</v>
      </c>
      <c r="C786" t="s">
        <v>56</v>
      </c>
      <c r="D786" t="s">
        <v>83</v>
      </c>
      <c r="E786" t="s">
        <v>65</v>
      </c>
      <c r="F786">
        <v>54</v>
      </c>
      <c r="G786" t="s">
        <v>72</v>
      </c>
      <c r="H786" s="24">
        <v>35961</v>
      </c>
      <c r="I786">
        <v>95239</v>
      </c>
      <c r="J786">
        <v>0</v>
      </c>
      <c r="K786">
        <v>95239</v>
      </c>
      <c r="L786" t="s">
        <v>60</v>
      </c>
      <c r="M786" t="s">
        <v>79</v>
      </c>
      <c r="N786" s="25"/>
      <c r="O786">
        <v>0</v>
      </c>
    </row>
    <row r="787" spans="1:15">
      <c r="A787" t="s">
        <v>906</v>
      </c>
      <c r="B787" t="s">
        <v>216</v>
      </c>
      <c r="C787" t="s">
        <v>98</v>
      </c>
      <c r="D787" t="s">
        <v>64</v>
      </c>
      <c r="E787" t="s">
        <v>58</v>
      </c>
      <c r="F787">
        <v>29</v>
      </c>
      <c r="G787" t="s">
        <v>76</v>
      </c>
      <c r="H787" s="24">
        <v>43778</v>
      </c>
      <c r="I787">
        <v>75012</v>
      </c>
      <c r="J787">
        <v>0</v>
      </c>
      <c r="K787">
        <v>75012</v>
      </c>
      <c r="L787" t="s">
        <v>60</v>
      </c>
      <c r="M787" t="s">
        <v>73</v>
      </c>
      <c r="N787" s="25"/>
      <c r="O787">
        <v>0</v>
      </c>
    </row>
    <row r="788" spans="1:15">
      <c r="A788" t="s">
        <v>907</v>
      </c>
      <c r="B788" t="s">
        <v>200</v>
      </c>
      <c r="C788" t="s">
        <v>56</v>
      </c>
      <c r="D788" t="s">
        <v>64</v>
      </c>
      <c r="E788" t="s">
        <v>58</v>
      </c>
      <c r="F788">
        <v>33</v>
      </c>
      <c r="G788" t="s">
        <v>76</v>
      </c>
      <c r="H788" s="24">
        <v>41819</v>
      </c>
      <c r="I788">
        <v>96366</v>
      </c>
      <c r="J788">
        <v>0</v>
      </c>
      <c r="K788">
        <v>96366</v>
      </c>
      <c r="L788" t="s">
        <v>66</v>
      </c>
      <c r="M788" t="s">
        <v>138</v>
      </c>
      <c r="N788" s="25"/>
      <c r="O788">
        <v>0</v>
      </c>
    </row>
    <row r="789" spans="1:15">
      <c r="A789" t="s">
        <v>908</v>
      </c>
      <c r="B789" t="s">
        <v>87</v>
      </c>
      <c r="C789" t="s">
        <v>105</v>
      </c>
      <c r="D789" t="s">
        <v>83</v>
      </c>
      <c r="E789" t="s">
        <v>58</v>
      </c>
      <c r="F789">
        <v>39</v>
      </c>
      <c r="G789" t="s">
        <v>95</v>
      </c>
      <c r="H789" s="24">
        <v>41849</v>
      </c>
      <c r="I789">
        <v>40897</v>
      </c>
      <c r="J789">
        <v>0</v>
      </c>
      <c r="K789">
        <v>40897</v>
      </c>
      <c r="L789" t="s">
        <v>60</v>
      </c>
      <c r="M789" t="s">
        <v>61</v>
      </c>
      <c r="N789" s="25"/>
      <c r="O789">
        <v>0</v>
      </c>
    </row>
    <row r="790" spans="1:15">
      <c r="A790" t="s">
        <v>909</v>
      </c>
      <c r="B790" t="s">
        <v>85</v>
      </c>
      <c r="C790" t="s">
        <v>70</v>
      </c>
      <c r="D790" t="s">
        <v>57</v>
      </c>
      <c r="E790" t="s">
        <v>58</v>
      </c>
      <c r="F790">
        <v>37</v>
      </c>
      <c r="G790" t="s">
        <v>95</v>
      </c>
      <c r="H790" s="24">
        <v>42605</v>
      </c>
      <c r="I790">
        <v>124928</v>
      </c>
      <c r="J790">
        <v>0.06</v>
      </c>
      <c r="K790">
        <v>132424</v>
      </c>
      <c r="L790" t="s">
        <v>66</v>
      </c>
      <c r="M790" t="s">
        <v>67</v>
      </c>
      <c r="N790" s="25"/>
      <c r="O790">
        <v>0</v>
      </c>
    </row>
    <row r="791" spans="1:15">
      <c r="A791" t="s">
        <v>910</v>
      </c>
      <c r="B791" t="s">
        <v>85</v>
      </c>
      <c r="C791" t="s">
        <v>70</v>
      </c>
      <c r="D791" t="s">
        <v>71</v>
      </c>
      <c r="E791" t="s">
        <v>58</v>
      </c>
      <c r="F791">
        <v>51</v>
      </c>
      <c r="G791" t="s">
        <v>72</v>
      </c>
      <c r="H791" s="24">
        <v>41439</v>
      </c>
      <c r="I791">
        <v>108221</v>
      </c>
      <c r="J791">
        <v>0.05</v>
      </c>
      <c r="K791">
        <v>113632</v>
      </c>
      <c r="L791" t="s">
        <v>113</v>
      </c>
      <c r="M791" t="s">
        <v>114</v>
      </c>
      <c r="N791" s="25"/>
      <c r="O791">
        <v>0</v>
      </c>
    </row>
    <row r="792" spans="1:15">
      <c r="A792" t="s">
        <v>911</v>
      </c>
      <c r="B792" t="s">
        <v>143</v>
      </c>
      <c r="C792" t="s">
        <v>94</v>
      </c>
      <c r="D792" t="s">
        <v>83</v>
      </c>
      <c r="E792" t="s">
        <v>65</v>
      </c>
      <c r="F792">
        <v>46</v>
      </c>
      <c r="G792" t="s">
        <v>72</v>
      </c>
      <c r="H792" s="24">
        <v>39133</v>
      </c>
      <c r="I792">
        <v>75579</v>
      </c>
      <c r="J792">
        <v>0</v>
      </c>
      <c r="K792">
        <v>75579</v>
      </c>
      <c r="L792" t="s">
        <v>60</v>
      </c>
      <c r="M792" t="s">
        <v>61</v>
      </c>
      <c r="N792" s="25"/>
      <c r="O792">
        <v>0</v>
      </c>
    </row>
    <row r="793" spans="1:15">
      <c r="A793" t="s">
        <v>912</v>
      </c>
      <c r="B793" t="s">
        <v>55</v>
      </c>
      <c r="C793" t="s">
        <v>94</v>
      </c>
      <c r="D793" t="s">
        <v>64</v>
      </c>
      <c r="E793" t="s">
        <v>65</v>
      </c>
      <c r="F793">
        <v>41</v>
      </c>
      <c r="G793" t="s">
        <v>95</v>
      </c>
      <c r="H793" s="24">
        <v>42365</v>
      </c>
      <c r="I793">
        <v>129903</v>
      </c>
      <c r="J793">
        <v>0.13</v>
      </c>
      <c r="K793">
        <v>146790</v>
      </c>
      <c r="L793" t="s">
        <v>113</v>
      </c>
      <c r="M793" t="s">
        <v>184</v>
      </c>
      <c r="N793" s="25"/>
      <c r="O793">
        <v>0</v>
      </c>
    </row>
    <row r="794" spans="1:15">
      <c r="A794" t="s">
        <v>913</v>
      </c>
      <c r="B794" t="s">
        <v>69</v>
      </c>
      <c r="C794" t="s">
        <v>70</v>
      </c>
      <c r="D794" t="s">
        <v>57</v>
      </c>
      <c r="E794" t="s">
        <v>58</v>
      </c>
      <c r="F794">
        <v>25</v>
      </c>
      <c r="G794" t="s">
        <v>76</v>
      </c>
      <c r="H794" s="24">
        <v>44303</v>
      </c>
      <c r="I794">
        <v>186870</v>
      </c>
      <c r="J794">
        <v>0.2</v>
      </c>
      <c r="K794">
        <v>224244</v>
      </c>
      <c r="L794" t="s">
        <v>66</v>
      </c>
      <c r="M794" t="s">
        <v>101</v>
      </c>
      <c r="N794" s="25"/>
      <c r="O794">
        <v>0</v>
      </c>
    </row>
    <row r="795" spans="1:15">
      <c r="A795" t="s">
        <v>914</v>
      </c>
      <c r="B795" t="s">
        <v>132</v>
      </c>
      <c r="C795" t="s">
        <v>82</v>
      </c>
      <c r="D795" t="s">
        <v>57</v>
      </c>
      <c r="E795" t="s">
        <v>65</v>
      </c>
      <c r="F795">
        <v>37</v>
      </c>
      <c r="G795" t="s">
        <v>95</v>
      </c>
      <c r="H795" s="24">
        <v>40291</v>
      </c>
      <c r="I795">
        <v>57531</v>
      </c>
      <c r="J795">
        <v>0</v>
      </c>
      <c r="K795">
        <v>57531</v>
      </c>
      <c r="L795" t="s">
        <v>60</v>
      </c>
      <c r="M795" t="s">
        <v>73</v>
      </c>
      <c r="N795" s="25"/>
      <c r="O795">
        <v>0</v>
      </c>
    </row>
    <row r="796" spans="1:15">
      <c r="A796" t="s">
        <v>915</v>
      </c>
      <c r="B796" t="s">
        <v>87</v>
      </c>
      <c r="C796" t="s">
        <v>70</v>
      </c>
      <c r="D796" t="s">
        <v>57</v>
      </c>
      <c r="E796" t="s">
        <v>65</v>
      </c>
      <c r="F796">
        <v>46</v>
      </c>
      <c r="G796" t="s">
        <v>72</v>
      </c>
      <c r="H796" s="24">
        <v>40657</v>
      </c>
      <c r="I796">
        <v>55894</v>
      </c>
      <c r="J796">
        <v>0</v>
      </c>
      <c r="K796">
        <v>55894</v>
      </c>
      <c r="L796" t="s">
        <v>60</v>
      </c>
      <c r="M796" t="s">
        <v>61</v>
      </c>
      <c r="N796" s="25"/>
      <c r="O796">
        <v>0</v>
      </c>
    </row>
    <row r="797" spans="1:15">
      <c r="A797" t="s">
        <v>916</v>
      </c>
      <c r="B797" t="s">
        <v>160</v>
      </c>
      <c r="C797" t="s">
        <v>98</v>
      </c>
      <c r="D797" t="s">
        <v>64</v>
      </c>
      <c r="E797" t="s">
        <v>58</v>
      </c>
      <c r="F797">
        <v>42</v>
      </c>
      <c r="G797" t="s">
        <v>95</v>
      </c>
      <c r="H797" s="24">
        <v>41026</v>
      </c>
      <c r="I797">
        <v>72903</v>
      </c>
      <c r="J797">
        <v>0</v>
      </c>
      <c r="K797">
        <v>72903</v>
      </c>
      <c r="L797" t="s">
        <v>60</v>
      </c>
      <c r="M797" t="s">
        <v>79</v>
      </c>
      <c r="N797" s="25"/>
      <c r="O797">
        <v>0</v>
      </c>
    </row>
    <row r="798" spans="1:15">
      <c r="A798" t="s">
        <v>917</v>
      </c>
      <c r="B798" t="s">
        <v>87</v>
      </c>
      <c r="C798" t="s">
        <v>70</v>
      </c>
      <c r="D798" t="s">
        <v>83</v>
      </c>
      <c r="E798" t="s">
        <v>65</v>
      </c>
      <c r="F798">
        <v>37</v>
      </c>
      <c r="G798" t="s">
        <v>95</v>
      </c>
      <c r="H798" s="24">
        <v>42317</v>
      </c>
      <c r="I798">
        <v>45369</v>
      </c>
      <c r="J798">
        <v>0</v>
      </c>
      <c r="K798">
        <v>45369</v>
      </c>
      <c r="L798" t="s">
        <v>66</v>
      </c>
      <c r="M798" t="s">
        <v>126</v>
      </c>
      <c r="N798" s="25"/>
      <c r="O798">
        <v>0</v>
      </c>
    </row>
    <row r="799" spans="1:15">
      <c r="A799" t="s">
        <v>918</v>
      </c>
      <c r="B799" t="s">
        <v>85</v>
      </c>
      <c r="C799" t="s">
        <v>70</v>
      </c>
      <c r="D799" t="s">
        <v>71</v>
      </c>
      <c r="E799" t="s">
        <v>65</v>
      </c>
      <c r="F799">
        <v>60</v>
      </c>
      <c r="G799" t="s">
        <v>59</v>
      </c>
      <c r="H799" s="24">
        <v>40344</v>
      </c>
      <c r="I799">
        <v>106578</v>
      </c>
      <c r="J799">
        <v>0.09</v>
      </c>
      <c r="K799">
        <v>116170</v>
      </c>
      <c r="L799" t="s">
        <v>60</v>
      </c>
      <c r="M799" t="s">
        <v>88</v>
      </c>
      <c r="N799" s="25"/>
      <c r="O799">
        <v>0</v>
      </c>
    </row>
    <row r="800" spans="1:15">
      <c r="A800" t="s">
        <v>919</v>
      </c>
      <c r="B800" t="s">
        <v>143</v>
      </c>
      <c r="C800" t="s">
        <v>94</v>
      </c>
      <c r="D800" t="s">
        <v>57</v>
      </c>
      <c r="E800" t="s">
        <v>58</v>
      </c>
      <c r="F800">
        <v>52</v>
      </c>
      <c r="G800" t="s">
        <v>72</v>
      </c>
      <c r="H800" s="24">
        <v>36416</v>
      </c>
      <c r="I800">
        <v>92994</v>
      </c>
      <c r="J800">
        <v>0</v>
      </c>
      <c r="K800">
        <v>92994</v>
      </c>
      <c r="L800" t="s">
        <v>60</v>
      </c>
      <c r="M800" t="s">
        <v>73</v>
      </c>
      <c r="N800" s="25"/>
      <c r="O800">
        <v>0</v>
      </c>
    </row>
    <row r="801" spans="1:15">
      <c r="A801" t="s">
        <v>920</v>
      </c>
      <c r="B801" t="s">
        <v>78</v>
      </c>
      <c r="C801" t="s">
        <v>82</v>
      </c>
      <c r="D801" t="s">
        <v>71</v>
      </c>
      <c r="E801" t="s">
        <v>65</v>
      </c>
      <c r="F801">
        <v>59</v>
      </c>
      <c r="G801" t="s">
        <v>59</v>
      </c>
      <c r="H801" s="24">
        <v>35502</v>
      </c>
      <c r="I801">
        <v>83685</v>
      </c>
      <c r="J801">
        <v>0</v>
      </c>
      <c r="K801">
        <v>83685</v>
      </c>
      <c r="L801" t="s">
        <v>66</v>
      </c>
      <c r="M801" t="s">
        <v>126</v>
      </c>
      <c r="N801" s="25"/>
      <c r="O801">
        <v>0</v>
      </c>
    </row>
    <row r="802" spans="1:15">
      <c r="A802" t="s">
        <v>921</v>
      </c>
      <c r="B802" t="s">
        <v>178</v>
      </c>
      <c r="C802" t="s">
        <v>56</v>
      </c>
      <c r="D802" t="s">
        <v>57</v>
      </c>
      <c r="E802" t="s">
        <v>65</v>
      </c>
      <c r="F802">
        <v>48</v>
      </c>
      <c r="G802" t="s">
        <v>72</v>
      </c>
      <c r="H802" s="24">
        <v>40435</v>
      </c>
      <c r="I802">
        <v>99335</v>
      </c>
      <c r="J802">
        <v>0</v>
      </c>
      <c r="K802">
        <v>99335</v>
      </c>
      <c r="L802" t="s">
        <v>60</v>
      </c>
      <c r="M802" t="s">
        <v>79</v>
      </c>
      <c r="N802" s="25"/>
      <c r="O802">
        <v>0</v>
      </c>
    </row>
    <row r="803" spans="1:15">
      <c r="A803" t="s">
        <v>922</v>
      </c>
      <c r="B803" t="s">
        <v>55</v>
      </c>
      <c r="C803" t="s">
        <v>94</v>
      </c>
      <c r="D803" t="s">
        <v>64</v>
      </c>
      <c r="E803" t="s">
        <v>65</v>
      </c>
      <c r="F803">
        <v>42</v>
      </c>
      <c r="G803" t="s">
        <v>95</v>
      </c>
      <c r="H803" s="24">
        <v>41382</v>
      </c>
      <c r="I803">
        <v>131179</v>
      </c>
      <c r="J803">
        <v>0.15</v>
      </c>
      <c r="K803">
        <v>150856</v>
      </c>
      <c r="L803" t="s">
        <v>60</v>
      </c>
      <c r="M803" t="s">
        <v>110</v>
      </c>
      <c r="N803" s="25"/>
      <c r="O803">
        <v>0</v>
      </c>
    </row>
    <row r="804" spans="1:15">
      <c r="A804" t="s">
        <v>923</v>
      </c>
      <c r="B804" t="s">
        <v>75</v>
      </c>
      <c r="C804" t="s">
        <v>56</v>
      </c>
      <c r="D804" t="s">
        <v>71</v>
      </c>
      <c r="E804" t="s">
        <v>65</v>
      </c>
      <c r="F804">
        <v>35</v>
      </c>
      <c r="G804" t="s">
        <v>95</v>
      </c>
      <c r="H804" s="24">
        <v>42493</v>
      </c>
      <c r="I804">
        <v>73899</v>
      </c>
      <c r="J804">
        <v>0.05</v>
      </c>
      <c r="K804">
        <v>77594</v>
      </c>
      <c r="L804" t="s">
        <v>66</v>
      </c>
      <c r="M804" t="s">
        <v>138</v>
      </c>
      <c r="N804" s="25"/>
      <c r="O804">
        <v>0</v>
      </c>
    </row>
    <row r="805" spans="1:15">
      <c r="A805" t="s">
        <v>924</v>
      </c>
      <c r="B805" t="s">
        <v>104</v>
      </c>
      <c r="C805" t="s">
        <v>90</v>
      </c>
      <c r="D805" t="s">
        <v>64</v>
      </c>
      <c r="E805" t="s">
        <v>65</v>
      </c>
      <c r="F805">
        <v>64</v>
      </c>
      <c r="G805" t="s">
        <v>59</v>
      </c>
      <c r="H805" s="24">
        <v>41362</v>
      </c>
      <c r="I805">
        <v>252325</v>
      </c>
      <c r="J805">
        <v>0.4</v>
      </c>
      <c r="K805">
        <v>353255</v>
      </c>
      <c r="L805" t="s">
        <v>60</v>
      </c>
      <c r="M805" t="s">
        <v>110</v>
      </c>
      <c r="N805" s="25"/>
      <c r="O805">
        <v>0</v>
      </c>
    </row>
    <row r="806" spans="1:15">
      <c r="A806" t="s">
        <v>925</v>
      </c>
      <c r="B806" t="s">
        <v>132</v>
      </c>
      <c r="C806" t="s">
        <v>70</v>
      </c>
      <c r="D806" t="s">
        <v>57</v>
      </c>
      <c r="E806" t="s">
        <v>58</v>
      </c>
      <c r="F806">
        <v>30</v>
      </c>
      <c r="G806" t="s">
        <v>76</v>
      </c>
      <c r="H806" s="24">
        <v>42068</v>
      </c>
      <c r="I806">
        <v>52697</v>
      </c>
      <c r="J806">
        <v>0</v>
      </c>
      <c r="K806">
        <v>52697</v>
      </c>
      <c r="L806" t="s">
        <v>60</v>
      </c>
      <c r="M806" t="s">
        <v>61</v>
      </c>
      <c r="N806" s="25"/>
      <c r="O806">
        <v>0</v>
      </c>
    </row>
    <row r="807" spans="1:15">
      <c r="A807" t="s">
        <v>926</v>
      </c>
      <c r="B807" t="s">
        <v>164</v>
      </c>
      <c r="C807" t="s">
        <v>98</v>
      </c>
      <c r="D807" t="s">
        <v>71</v>
      </c>
      <c r="E807" t="s">
        <v>58</v>
      </c>
      <c r="F807">
        <v>29</v>
      </c>
      <c r="G807" t="s">
        <v>76</v>
      </c>
      <c r="H807" s="24">
        <v>44099</v>
      </c>
      <c r="I807">
        <v>123588</v>
      </c>
      <c r="J807">
        <v>0</v>
      </c>
      <c r="K807">
        <v>123588</v>
      </c>
      <c r="L807" t="s">
        <v>113</v>
      </c>
      <c r="M807" t="s">
        <v>184</v>
      </c>
      <c r="N807" s="25"/>
      <c r="O807">
        <v>0</v>
      </c>
    </row>
    <row r="808" spans="1:15">
      <c r="A808" t="s">
        <v>927</v>
      </c>
      <c r="B808" t="s">
        <v>104</v>
      </c>
      <c r="C808" t="s">
        <v>90</v>
      </c>
      <c r="D808" t="s">
        <v>83</v>
      </c>
      <c r="E808" t="s">
        <v>58</v>
      </c>
      <c r="F808">
        <v>47</v>
      </c>
      <c r="G808" t="s">
        <v>72</v>
      </c>
      <c r="H808" s="24">
        <v>44556</v>
      </c>
      <c r="I808">
        <v>243568</v>
      </c>
      <c r="J808">
        <v>0.33</v>
      </c>
      <c r="K808">
        <v>323945</v>
      </c>
      <c r="L808" t="s">
        <v>60</v>
      </c>
      <c r="M808" t="s">
        <v>91</v>
      </c>
      <c r="N808" s="25"/>
      <c r="O808">
        <v>0</v>
      </c>
    </row>
    <row r="809" spans="1:15">
      <c r="A809" t="s">
        <v>928</v>
      </c>
      <c r="B809" t="s">
        <v>69</v>
      </c>
      <c r="C809" t="s">
        <v>82</v>
      </c>
      <c r="D809" t="s">
        <v>57</v>
      </c>
      <c r="E809" t="s">
        <v>65</v>
      </c>
      <c r="F809">
        <v>49</v>
      </c>
      <c r="G809" t="s">
        <v>72</v>
      </c>
      <c r="H809" s="24">
        <v>37092</v>
      </c>
      <c r="I809">
        <v>199176</v>
      </c>
      <c r="J809">
        <v>0.24</v>
      </c>
      <c r="K809">
        <v>246978</v>
      </c>
      <c r="L809" t="s">
        <v>60</v>
      </c>
      <c r="M809" t="s">
        <v>79</v>
      </c>
      <c r="N809" s="25"/>
      <c r="O809">
        <v>0</v>
      </c>
    </row>
    <row r="810" spans="1:15">
      <c r="A810" t="s">
        <v>929</v>
      </c>
      <c r="B810" t="s">
        <v>63</v>
      </c>
      <c r="C810" t="s">
        <v>56</v>
      </c>
      <c r="D810" t="s">
        <v>71</v>
      </c>
      <c r="E810" t="s">
        <v>58</v>
      </c>
      <c r="F810">
        <v>56</v>
      </c>
      <c r="G810" t="s">
        <v>59</v>
      </c>
      <c r="H810" s="24">
        <v>35238</v>
      </c>
      <c r="I810">
        <v>82806</v>
      </c>
      <c r="J810">
        <v>0</v>
      </c>
      <c r="K810">
        <v>82806</v>
      </c>
      <c r="L810" t="s">
        <v>60</v>
      </c>
      <c r="M810" t="s">
        <v>61</v>
      </c>
      <c r="N810" s="25"/>
      <c r="O810">
        <v>0</v>
      </c>
    </row>
    <row r="811" spans="1:15">
      <c r="A811" t="s">
        <v>930</v>
      </c>
      <c r="B811" t="s">
        <v>69</v>
      </c>
      <c r="C811" t="s">
        <v>105</v>
      </c>
      <c r="D811" t="s">
        <v>71</v>
      </c>
      <c r="E811" t="s">
        <v>58</v>
      </c>
      <c r="F811">
        <v>53</v>
      </c>
      <c r="G811" t="s">
        <v>72</v>
      </c>
      <c r="H811" s="24">
        <v>35601</v>
      </c>
      <c r="I811">
        <v>164399</v>
      </c>
      <c r="J811">
        <v>0.25</v>
      </c>
      <c r="K811">
        <v>205499</v>
      </c>
      <c r="L811" t="s">
        <v>60</v>
      </c>
      <c r="M811" t="s">
        <v>61</v>
      </c>
      <c r="N811" s="25"/>
      <c r="O811">
        <v>0</v>
      </c>
    </row>
    <row r="812" spans="1:15">
      <c r="A812" t="s">
        <v>931</v>
      </c>
      <c r="B812" t="s">
        <v>55</v>
      </c>
      <c r="C812" t="s">
        <v>94</v>
      </c>
      <c r="D812" t="s">
        <v>64</v>
      </c>
      <c r="E812" t="s">
        <v>58</v>
      </c>
      <c r="F812">
        <v>32</v>
      </c>
      <c r="G812" t="s">
        <v>76</v>
      </c>
      <c r="H812" s="24">
        <v>42839</v>
      </c>
      <c r="I812">
        <v>154956</v>
      </c>
      <c r="J812">
        <v>0.13</v>
      </c>
      <c r="K812">
        <v>175100</v>
      </c>
      <c r="L812" t="s">
        <v>60</v>
      </c>
      <c r="M812" t="s">
        <v>79</v>
      </c>
      <c r="N812" s="25"/>
      <c r="O812">
        <v>0</v>
      </c>
    </row>
    <row r="813" spans="1:15">
      <c r="A813" t="s">
        <v>932</v>
      </c>
      <c r="B813" t="s">
        <v>55</v>
      </c>
      <c r="C813" t="s">
        <v>105</v>
      </c>
      <c r="D813" t="s">
        <v>64</v>
      </c>
      <c r="E813" t="s">
        <v>65</v>
      </c>
      <c r="F813">
        <v>32</v>
      </c>
      <c r="G813" t="s">
        <v>76</v>
      </c>
      <c r="H813" s="24">
        <v>42764</v>
      </c>
      <c r="I813">
        <v>143970</v>
      </c>
      <c r="J813">
        <v>0.12</v>
      </c>
      <c r="K813">
        <v>161246</v>
      </c>
      <c r="L813" t="s">
        <v>60</v>
      </c>
      <c r="M813" t="s">
        <v>61</v>
      </c>
      <c r="N813" s="25">
        <v>43078</v>
      </c>
      <c r="O813">
        <v>1</v>
      </c>
    </row>
    <row r="814" spans="1:15">
      <c r="A814" t="s">
        <v>933</v>
      </c>
      <c r="B814" t="s">
        <v>69</v>
      </c>
      <c r="C814" t="s">
        <v>82</v>
      </c>
      <c r="D814" t="s">
        <v>83</v>
      </c>
      <c r="E814" t="s">
        <v>65</v>
      </c>
      <c r="F814">
        <v>52</v>
      </c>
      <c r="G814" t="s">
        <v>72</v>
      </c>
      <c r="H814" s="24">
        <v>44099</v>
      </c>
      <c r="I814">
        <v>163143</v>
      </c>
      <c r="J814">
        <v>0.28</v>
      </c>
      <c r="K814">
        <v>208823</v>
      </c>
      <c r="L814" t="s">
        <v>113</v>
      </c>
      <c r="M814" t="s">
        <v>184</v>
      </c>
      <c r="N814" s="25"/>
      <c r="O814">
        <v>0</v>
      </c>
    </row>
    <row r="815" spans="1:15">
      <c r="A815" t="s">
        <v>934</v>
      </c>
      <c r="B815" t="s">
        <v>78</v>
      </c>
      <c r="C815" t="s">
        <v>90</v>
      </c>
      <c r="D815" t="s">
        <v>71</v>
      </c>
      <c r="E815" t="s">
        <v>58</v>
      </c>
      <c r="F815">
        <v>38</v>
      </c>
      <c r="G815" t="s">
        <v>95</v>
      </c>
      <c r="H815" s="24">
        <v>44036</v>
      </c>
      <c r="I815">
        <v>89390</v>
      </c>
      <c r="J815">
        <v>0</v>
      </c>
      <c r="K815">
        <v>89390</v>
      </c>
      <c r="L815" t="s">
        <v>60</v>
      </c>
      <c r="M815" t="s">
        <v>61</v>
      </c>
      <c r="N815" s="25"/>
      <c r="O815">
        <v>0</v>
      </c>
    </row>
    <row r="816" spans="1:15">
      <c r="A816" t="s">
        <v>935</v>
      </c>
      <c r="B816" t="s">
        <v>200</v>
      </c>
      <c r="C816" t="s">
        <v>56</v>
      </c>
      <c r="D816" t="s">
        <v>64</v>
      </c>
      <c r="E816" t="s">
        <v>65</v>
      </c>
      <c r="F816">
        <v>41</v>
      </c>
      <c r="G816" t="s">
        <v>95</v>
      </c>
      <c r="H816" s="24">
        <v>43013</v>
      </c>
      <c r="I816">
        <v>67468</v>
      </c>
      <c r="J816">
        <v>0</v>
      </c>
      <c r="K816">
        <v>67468</v>
      </c>
      <c r="L816" t="s">
        <v>60</v>
      </c>
      <c r="M816" t="s">
        <v>88</v>
      </c>
      <c r="N816" s="25"/>
      <c r="O816">
        <v>0</v>
      </c>
    </row>
    <row r="817" spans="1:15">
      <c r="A817" t="s">
        <v>936</v>
      </c>
      <c r="B817" t="s">
        <v>125</v>
      </c>
      <c r="C817" t="s">
        <v>98</v>
      </c>
      <c r="D817" t="s">
        <v>64</v>
      </c>
      <c r="E817" t="s">
        <v>58</v>
      </c>
      <c r="F817">
        <v>49</v>
      </c>
      <c r="G817" t="s">
        <v>72</v>
      </c>
      <c r="H817" s="24">
        <v>42441</v>
      </c>
      <c r="I817">
        <v>100810</v>
      </c>
      <c r="J817">
        <v>0.12</v>
      </c>
      <c r="K817">
        <v>112907</v>
      </c>
      <c r="L817" t="s">
        <v>113</v>
      </c>
      <c r="M817" t="s">
        <v>117</v>
      </c>
      <c r="N817" s="25"/>
      <c r="O817">
        <v>0</v>
      </c>
    </row>
    <row r="818" spans="1:15">
      <c r="A818" t="s">
        <v>937</v>
      </c>
      <c r="B818" t="s">
        <v>78</v>
      </c>
      <c r="C818" t="s">
        <v>70</v>
      </c>
      <c r="D818" t="s">
        <v>64</v>
      </c>
      <c r="E818" t="s">
        <v>58</v>
      </c>
      <c r="F818">
        <v>35</v>
      </c>
      <c r="G818" t="s">
        <v>95</v>
      </c>
      <c r="H818" s="24">
        <v>43542</v>
      </c>
      <c r="I818">
        <v>74779</v>
      </c>
      <c r="J818">
        <v>0</v>
      </c>
      <c r="K818">
        <v>74779</v>
      </c>
      <c r="L818" t="s">
        <v>60</v>
      </c>
      <c r="M818" t="s">
        <v>79</v>
      </c>
      <c r="N818" s="25"/>
      <c r="O818">
        <v>0</v>
      </c>
    </row>
    <row r="819" spans="1:15">
      <c r="A819" t="s">
        <v>938</v>
      </c>
      <c r="B819" t="s">
        <v>202</v>
      </c>
      <c r="C819" t="s">
        <v>56</v>
      </c>
      <c r="D819" t="s">
        <v>83</v>
      </c>
      <c r="E819" t="s">
        <v>58</v>
      </c>
      <c r="F819">
        <v>29</v>
      </c>
      <c r="G819" t="s">
        <v>76</v>
      </c>
      <c r="H819" s="24">
        <v>43048</v>
      </c>
      <c r="I819">
        <v>63985</v>
      </c>
      <c r="J819">
        <v>0</v>
      </c>
      <c r="K819">
        <v>63985</v>
      </c>
      <c r="L819" t="s">
        <v>60</v>
      </c>
      <c r="M819" t="s">
        <v>88</v>
      </c>
      <c r="N819" s="25"/>
      <c r="O819">
        <v>0</v>
      </c>
    </row>
    <row r="820" spans="1:15">
      <c r="A820" t="s">
        <v>939</v>
      </c>
      <c r="B820" t="s">
        <v>266</v>
      </c>
      <c r="C820" t="s">
        <v>56</v>
      </c>
      <c r="D820" t="s">
        <v>64</v>
      </c>
      <c r="E820" t="s">
        <v>58</v>
      </c>
      <c r="F820">
        <v>64</v>
      </c>
      <c r="G820" t="s">
        <v>59</v>
      </c>
      <c r="H820" s="24">
        <v>38176</v>
      </c>
      <c r="I820">
        <v>77903</v>
      </c>
      <c r="J820">
        <v>0</v>
      </c>
      <c r="K820">
        <v>77903</v>
      </c>
      <c r="L820" t="s">
        <v>60</v>
      </c>
      <c r="M820" t="s">
        <v>61</v>
      </c>
      <c r="N820" s="25"/>
      <c r="O820">
        <v>0</v>
      </c>
    </row>
    <row r="821" spans="1:15">
      <c r="A821" t="s">
        <v>940</v>
      </c>
      <c r="B821" t="s">
        <v>69</v>
      </c>
      <c r="C821" t="s">
        <v>105</v>
      </c>
      <c r="D821" t="s">
        <v>83</v>
      </c>
      <c r="E821" t="s">
        <v>65</v>
      </c>
      <c r="F821">
        <v>33</v>
      </c>
      <c r="G821" t="s">
        <v>76</v>
      </c>
      <c r="H821" s="24">
        <v>42898</v>
      </c>
      <c r="I821">
        <v>164396</v>
      </c>
      <c r="J821">
        <v>0.29</v>
      </c>
      <c r="K821">
        <v>212071</v>
      </c>
      <c r="L821" t="s">
        <v>60</v>
      </c>
      <c r="M821" t="s">
        <v>110</v>
      </c>
      <c r="N821" s="25"/>
      <c r="O821">
        <v>0</v>
      </c>
    </row>
    <row r="822" spans="1:15">
      <c r="A822" t="s">
        <v>941</v>
      </c>
      <c r="B822" t="s">
        <v>303</v>
      </c>
      <c r="C822" t="s">
        <v>56</v>
      </c>
      <c r="D822" t="s">
        <v>83</v>
      </c>
      <c r="E822" t="s">
        <v>65</v>
      </c>
      <c r="F822">
        <v>29</v>
      </c>
      <c r="G822" t="s">
        <v>76</v>
      </c>
      <c r="H822" s="24">
        <v>44375</v>
      </c>
      <c r="I822">
        <v>71234</v>
      </c>
      <c r="J822">
        <v>0</v>
      </c>
      <c r="K822">
        <v>71234</v>
      </c>
      <c r="L822" t="s">
        <v>60</v>
      </c>
      <c r="M822" t="s">
        <v>61</v>
      </c>
      <c r="N822" s="25"/>
      <c r="O822">
        <v>0</v>
      </c>
    </row>
    <row r="823" spans="1:15">
      <c r="A823" t="s">
        <v>942</v>
      </c>
      <c r="B823" t="s">
        <v>85</v>
      </c>
      <c r="C823" t="s">
        <v>70</v>
      </c>
      <c r="D823" t="s">
        <v>83</v>
      </c>
      <c r="E823" t="s">
        <v>65</v>
      </c>
      <c r="F823">
        <v>63</v>
      </c>
      <c r="G823" t="s">
        <v>59</v>
      </c>
      <c r="H823" s="24">
        <v>38096</v>
      </c>
      <c r="I823">
        <v>122487</v>
      </c>
      <c r="J823">
        <v>0.08</v>
      </c>
      <c r="K823">
        <v>132286</v>
      </c>
      <c r="L823" t="s">
        <v>66</v>
      </c>
      <c r="M823" t="s">
        <v>101</v>
      </c>
      <c r="N823" s="25"/>
      <c r="O823">
        <v>0</v>
      </c>
    </row>
    <row r="824" spans="1:15">
      <c r="A824" t="s">
        <v>943</v>
      </c>
      <c r="B824" t="s">
        <v>85</v>
      </c>
      <c r="C824" t="s">
        <v>94</v>
      </c>
      <c r="D824" t="s">
        <v>71</v>
      </c>
      <c r="E824" t="s">
        <v>58</v>
      </c>
      <c r="F824">
        <v>32</v>
      </c>
      <c r="G824" t="s">
        <v>76</v>
      </c>
      <c r="H824" s="24">
        <v>42738</v>
      </c>
      <c r="I824">
        <v>101870</v>
      </c>
      <c r="J824">
        <v>0.1</v>
      </c>
      <c r="K824">
        <v>112057</v>
      </c>
      <c r="L824" t="s">
        <v>60</v>
      </c>
      <c r="M824" t="s">
        <v>79</v>
      </c>
      <c r="N824" s="25"/>
      <c r="O824">
        <v>0</v>
      </c>
    </row>
    <row r="825" spans="1:15">
      <c r="A825" t="s">
        <v>944</v>
      </c>
      <c r="B825" t="s">
        <v>244</v>
      </c>
      <c r="C825" t="s">
        <v>56</v>
      </c>
      <c r="D825" t="s">
        <v>57</v>
      </c>
      <c r="E825" t="s">
        <v>65</v>
      </c>
      <c r="F825">
        <v>64</v>
      </c>
      <c r="G825" t="s">
        <v>59</v>
      </c>
      <c r="H825" s="24">
        <v>44009</v>
      </c>
      <c r="I825">
        <v>40316</v>
      </c>
      <c r="J825">
        <v>0</v>
      </c>
      <c r="K825">
        <v>40316</v>
      </c>
      <c r="L825" t="s">
        <v>113</v>
      </c>
      <c r="M825" t="s">
        <v>114</v>
      </c>
      <c r="N825" s="25"/>
      <c r="O825">
        <v>0</v>
      </c>
    </row>
    <row r="826" spans="1:15">
      <c r="A826" t="s">
        <v>945</v>
      </c>
      <c r="B826" t="s">
        <v>85</v>
      </c>
      <c r="C826" t="s">
        <v>56</v>
      </c>
      <c r="D826" t="s">
        <v>57</v>
      </c>
      <c r="E826" t="s">
        <v>58</v>
      </c>
      <c r="F826">
        <v>55</v>
      </c>
      <c r="G826" t="s">
        <v>59</v>
      </c>
      <c r="H826" s="24">
        <v>38391</v>
      </c>
      <c r="I826">
        <v>115145</v>
      </c>
      <c r="J826">
        <v>0.05</v>
      </c>
      <c r="K826">
        <v>120902</v>
      </c>
      <c r="L826" t="s">
        <v>66</v>
      </c>
      <c r="M826" t="s">
        <v>67</v>
      </c>
      <c r="N826" s="25"/>
      <c r="O826">
        <v>0</v>
      </c>
    </row>
    <row r="827" spans="1:15">
      <c r="A827" t="s">
        <v>946</v>
      </c>
      <c r="B827" t="s">
        <v>178</v>
      </c>
      <c r="C827" t="s">
        <v>56</v>
      </c>
      <c r="D827" t="s">
        <v>64</v>
      </c>
      <c r="E827" t="s">
        <v>58</v>
      </c>
      <c r="F827">
        <v>43</v>
      </c>
      <c r="G827" t="s">
        <v>95</v>
      </c>
      <c r="H827" s="24">
        <v>39885</v>
      </c>
      <c r="I827">
        <v>62335</v>
      </c>
      <c r="J827">
        <v>0</v>
      </c>
      <c r="K827">
        <v>62335</v>
      </c>
      <c r="L827" t="s">
        <v>113</v>
      </c>
      <c r="M827" t="s">
        <v>114</v>
      </c>
      <c r="N827" s="25"/>
      <c r="O827">
        <v>0</v>
      </c>
    </row>
    <row r="828" spans="1:15">
      <c r="A828" t="s">
        <v>947</v>
      </c>
      <c r="B828" t="s">
        <v>87</v>
      </c>
      <c r="C828" t="s">
        <v>70</v>
      </c>
      <c r="D828" t="s">
        <v>64</v>
      </c>
      <c r="E828" t="s">
        <v>65</v>
      </c>
      <c r="F828">
        <v>56</v>
      </c>
      <c r="G828" t="s">
        <v>59</v>
      </c>
      <c r="H828" s="24">
        <v>38847</v>
      </c>
      <c r="I828">
        <v>41561</v>
      </c>
      <c r="J828">
        <v>0</v>
      </c>
      <c r="K828">
        <v>41561</v>
      </c>
      <c r="L828" t="s">
        <v>60</v>
      </c>
      <c r="M828" t="s">
        <v>91</v>
      </c>
      <c r="N828" s="25"/>
      <c r="O828">
        <v>0</v>
      </c>
    </row>
    <row r="829" spans="1:15">
      <c r="A829" t="s">
        <v>948</v>
      </c>
      <c r="B829" t="s">
        <v>55</v>
      </c>
      <c r="C829" t="s">
        <v>70</v>
      </c>
      <c r="D829" t="s">
        <v>71</v>
      </c>
      <c r="E829" t="s">
        <v>58</v>
      </c>
      <c r="F829">
        <v>37</v>
      </c>
      <c r="G829" t="s">
        <v>95</v>
      </c>
      <c r="H829" s="24">
        <v>40657</v>
      </c>
      <c r="I829">
        <v>131183</v>
      </c>
      <c r="J829">
        <v>0.14</v>
      </c>
      <c r="K829">
        <v>149549</v>
      </c>
      <c r="L829" t="s">
        <v>66</v>
      </c>
      <c r="M829" t="s">
        <v>101</v>
      </c>
      <c r="N829" s="25">
        <v>42445</v>
      </c>
      <c r="O829">
        <v>1</v>
      </c>
    </row>
    <row r="830" spans="1:15">
      <c r="A830" t="s">
        <v>949</v>
      </c>
      <c r="B830" t="s">
        <v>63</v>
      </c>
      <c r="C830" t="s">
        <v>56</v>
      </c>
      <c r="D830" t="s">
        <v>64</v>
      </c>
      <c r="E830" t="s">
        <v>58</v>
      </c>
      <c r="F830">
        <v>45</v>
      </c>
      <c r="G830" t="s">
        <v>72</v>
      </c>
      <c r="H830" s="24">
        <v>37445</v>
      </c>
      <c r="I830">
        <v>92655</v>
      </c>
      <c r="J830">
        <v>0</v>
      </c>
      <c r="K830">
        <v>92655</v>
      </c>
      <c r="L830" t="s">
        <v>66</v>
      </c>
      <c r="M830" t="s">
        <v>138</v>
      </c>
      <c r="N830" s="25"/>
      <c r="O830">
        <v>0</v>
      </c>
    </row>
    <row r="831" spans="1:15">
      <c r="A831" t="s">
        <v>950</v>
      </c>
      <c r="B831" t="s">
        <v>55</v>
      </c>
      <c r="C831" t="s">
        <v>82</v>
      </c>
      <c r="D831" t="s">
        <v>64</v>
      </c>
      <c r="E831" t="s">
        <v>58</v>
      </c>
      <c r="F831">
        <v>49</v>
      </c>
      <c r="G831" t="s">
        <v>72</v>
      </c>
      <c r="H831" s="24">
        <v>35157</v>
      </c>
      <c r="I831">
        <v>157057</v>
      </c>
      <c r="J831">
        <v>0.12</v>
      </c>
      <c r="K831">
        <v>175904</v>
      </c>
      <c r="L831" t="s">
        <v>60</v>
      </c>
      <c r="M831" t="s">
        <v>88</v>
      </c>
      <c r="N831" s="25"/>
      <c r="O831">
        <v>0</v>
      </c>
    </row>
    <row r="832" spans="1:15">
      <c r="A832" t="s">
        <v>951</v>
      </c>
      <c r="B832" t="s">
        <v>136</v>
      </c>
      <c r="C832" t="s">
        <v>56</v>
      </c>
      <c r="D832" t="s">
        <v>71</v>
      </c>
      <c r="E832" t="s">
        <v>58</v>
      </c>
      <c r="F832">
        <v>61</v>
      </c>
      <c r="G832" t="s">
        <v>59</v>
      </c>
      <c r="H832" s="24">
        <v>38392</v>
      </c>
      <c r="I832">
        <v>64462</v>
      </c>
      <c r="J832">
        <v>0</v>
      </c>
      <c r="K832">
        <v>64462</v>
      </c>
      <c r="L832" t="s">
        <v>60</v>
      </c>
      <c r="M832" t="s">
        <v>73</v>
      </c>
      <c r="N832" s="25"/>
      <c r="O832">
        <v>0</v>
      </c>
    </row>
    <row r="833" spans="1:15">
      <c r="A833" t="s">
        <v>952</v>
      </c>
      <c r="B833" t="s">
        <v>122</v>
      </c>
      <c r="C833" t="s">
        <v>98</v>
      </c>
      <c r="D833" t="s">
        <v>83</v>
      </c>
      <c r="E833" t="s">
        <v>58</v>
      </c>
      <c r="F833">
        <v>41</v>
      </c>
      <c r="G833" t="s">
        <v>95</v>
      </c>
      <c r="H833" s="24">
        <v>38632</v>
      </c>
      <c r="I833">
        <v>79352</v>
      </c>
      <c r="J833">
        <v>0</v>
      </c>
      <c r="K833">
        <v>79352</v>
      </c>
      <c r="L833" t="s">
        <v>60</v>
      </c>
      <c r="M833" t="s">
        <v>61</v>
      </c>
      <c r="N833" s="25"/>
      <c r="O833">
        <v>0</v>
      </c>
    </row>
    <row r="834" spans="1:15">
      <c r="A834" t="s">
        <v>953</v>
      </c>
      <c r="B834" t="s">
        <v>55</v>
      </c>
      <c r="C834" t="s">
        <v>105</v>
      </c>
      <c r="D834" t="s">
        <v>71</v>
      </c>
      <c r="E834" t="s">
        <v>58</v>
      </c>
      <c r="F834">
        <v>55</v>
      </c>
      <c r="G834" t="s">
        <v>59</v>
      </c>
      <c r="H834" s="24">
        <v>36977</v>
      </c>
      <c r="I834">
        <v>157812</v>
      </c>
      <c r="J834">
        <v>0.11</v>
      </c>
      <c r="K834">
        <v>175171</v>
      </c>
      <c r="L834" t="s">
        <v>60</v>
      </c>
      <c r="M834" t="s">
        <v>88</v>
      </c>
      <c r="N834" s="25"/>
      <c r="O834">
        <v>0</v>
      </c>
    </row>
    <row r="835" spans="1:15">
      <c r="A835" t="s">
        <v>954</v>
      </c>
      <c r="B835" t="s">
        <v>122</v>
      </c>
      <c r="C835" t="s">
        <v>98</v>
      </c>
      <c r="D835" t="s">
        <v>83</v>
      </c>
      <c r="E835" t="s">
        <v>65</v>
      </c>
      <c r="F835">
        <v>27</v>
      </c>
      <c r="G835" t="s">
        <v>76</v>
      </c>
      <c r="H835" s="24">
        <v>43354</v>
      </c>
      <c r="I835">
        <v>80745</v>
      </c>
      <c r="J835">
        <v>0</v>
      </c>
      <c r="K835">
        <v>80745</v>
      </c>
      <c r="L835" t="s">
        <v>60</v>
      </c>
      <c r="M835" t="s">
        <v>73</v>
      </c>
      <c r="N835" s="25"/>
      <c r="O835">
        <v>0</v>
      </c>
    </row>
    <row r="836" spans="1:15">
      <c r="A836" t="s">
        <v>955</v>
      </c>
      <c r="B836" t="s">
        <v>228</v>
      </c>
      <c r="C836" t="s">
        <v>56</v>
      </c>
      <c r="D836" t="s">
        <v>64</v>
      </c>
      <c r="E836" t="s">
        <v>58</v>
      </c>
      <c r="F836">
        <v>57</v>
      </c>
      <c r="G836" t="s">
        <v>59</v>
      </c>
      <c r="H836" s="24">
        <v>35113</v>
      </c>
      <c r="I836">
        <v>75354</v>
      </c>
      <c r="J836">
        <v>0</v>
      </c>
      <c r="K836">
        <v>75354</v>
      </c>
      <c r="L836" t="s">
        <v>60</v>
      </c>
      <c r="M836" t="s">
        <v>91</v>
      </c>
      <c r="N836" s="25">
        <v>35413</v>
      </c>
      <c r="O836">
        <v>1</v>
      </c>
    </row>
    <row r="837" spans="1:15">
      <c r="A837" t="s">
        <v>956</v>
      </c>
      <c r="B837" t="s">
        <v>125</v>
      </c>
      <c r="C837" t="s">
        <v>98</v>
      </c>
      <c r="D837" t="s">
        <v>57</v>
      </c>
      <c r="E837" t="s">
        <v>65</v>
      </c>
      <c r="F837">
        <v>56</v>
      </c>
      <c r="G837" t="s">
        <v>59</v>
      </c>
      <c r="H837" s="24">
        <v>43363</v>
      </c>
      <c r="I837">
        <v>78938</v>
      </c>
      <c r="J837">
        <v>0.14</v>
      </c>
      <c r="K837">
        <v>89989</v>
      </c>
      <c r="L837" t="s">
        <v>60</v>
      </c>
      <c r="M837" t="s">
        <v>79</v>
      </c>
      <c r="N837" s="25"/>
      <c r="O837">
        <v>0</v>
      </c>
    </row>
    <row r="838" spans="1:15">
      <c r="A838" t="s">
        <v>957</v>
      </c>
      <c r="B838" t="s">
        <v>164</v>
      </c>
      <c r="C838" t="s">
        <v>98</v>
      </c>
      <c r="D838" t="s">
        <v>83</v>
      </c>
      <c r="E838" t="s">
        <v>65</v>
      </c>
      <c r="F838">
        <v>59</v>
      </c>
      <c r="G838" t="s">
        <v>59</v>
      </c>
      <c r="H838" s="24">
        <v>39701</v>
      </c>
      <c r="I838">
        <v>96313</v>
      </c>
      <c r="J838">
        <v>0</v>
      </c>
      <c r="K838">
        <v>96313</v>
      </c>
      <c r="L838" t="s">
        <v>60</v>
      </c>
      <c r="M838" t="s">
        <v>91</v>
      </c>
      <c r="N838" s="25"/>
      <c r="O838">
        <v>0</v>
      </c>
    </row>
    <row r="839" spans="1:15">
      <c r="A839" t="s">
        <v>958</v>
      </c>
      <c r="B839" t="s">
        <v>69</v>
      </c>
      <c r="C839" t="s">
        <v>98</v>
      </c>
      <c r="D839" t="s">
        <v>71</v>
      </c>
      <c r="E839" t="s">
        <v>65</v>
      </c>
      <c r="F839">
        <v>45</v>
      </c>
      <c r="G839" t="s">
        <v>72</v>
      </c>
      <c r="H839" s="24">
        <v>40511</v>
      </c>
      <c r="I839">
        <v>153767</v>
      </c>
      <c r="J839">
        <v>0.27</v>
      </c>
      <c r="K839">
        <v>195284</v>
      </c>
      <c r="L839" t="s">
        <v>60</v>
      </c>
      <c r="M839" t="s">
        <v>79</v>
      </c>
      <c r="N839" s="25"/>
      <c r="O839">
        <v>0</v>
      </c>
    </row>
    <row r="840" spans="1:15">
      <c r="A840" t="s">
        <v>959</v>
      </c>
      <c r="B840" t="s">
        <v>85</v>
      </c>
      <c r="C840" t="s">
        <v>105</v>
      </c>
      <c r="D840" t="s">
        <v>57</v>
      </c>
      <c r="E840" t="s">
        <v>58</v>
      </c>
      <c r="F840">
        <v>42</v>
      </c>
      <c r="G840" t="s">
        <v>95</v>
      </c>
      <c r="H840" s="24">
        <v>42266</v>
      </c>
      <c r="I840">
        <v>103423</v>
      </c>
      <c r="J840">
        <v>0.06</v>
      </c>
      <c r="K840">
        <v>109628</v>
      </c>
      <c r="L840" t="s">
        <v>60</v>
      </c>
      <c r="M840" t="s">
        <v>110</v>
      </c>
      <c r="N840" s="25"/>
      <c r="O840">
        <v>0</v>
      </c>
    </row>
    <row r="841" spans="1:15">
      <c r="A841" t="s">
        <v>960</v>
      </c>
      <c r="B841" t="s">
        <v>97</v>
      </c>
      <c r="C841" t="s">
        <v>98</v>
      </c>
      <c r="D841" t="s">
        <v>83</v>
      </c>
      <c r="E841" t="s">
        <v>58</v>
      </c>
      <c r="F841">
        <v>25</v>
      </c>
      <c r="G841" t="s">
        <v>76</v>
      </c>
      <c r="H841" s="24">
        <v>44370</v>
      </c>
      <c r="I841">
        <v>86464</v>
      </c>
      <c r="J841">
        <v>0</v>
      </c>
      <c r="K841">
        <v>86464</v>
      </c>
      <c r="L841" t="s">
        <v>66</v>
      </c>
      <c r="M841" t="s">
        <v>101</v>
      </c>
      <c r="N841" s="25"/>
      <c r="O841">
        <v>0</v>
      </c>
    </row>
    <row r="842" spans="1:15">
      <c r="A842" t="s">
        <v>961</v>
      </c>
      <c r="B842" t="s">
        <v>97</v>
      </c>
      <c r="C842" t="s">
        <v>98</v>
      </c>
      <c r="D842" t="s">
        <v>83</v>
      </c>
      <c r="E842" t="s">
        <v>58</v>
      </c>
      <c r="F842">
        <v>29</v>
      </c>
      <c r="G842" t="s">
        <v>76</v>
      </c>
      <c r="H842" s="24">
        <v>43114</v>
      </c>
      <c r="I842">
        <v>80516</v>
      </c>
      <c r="J842">
        <v>0</v>
      </c>
      <c r="K842">
        <v>80516</v>
      </c>
      <c r="L842" t="s">
        <v>113</v>
      </c>
      <c r="M842" t="s">
        <v>184</v>
      </c>
      <c r="N842" s="25"/>
      <c r="O842">
        <v>0</v>
      </c>
    </row>
    <row r="843" spans="1:15">
      <c r="A843" t="s">
        <v>962</v>
      </c>
      <c r="B843" t="s">
        <v>85</v>
      </c>
      <c r="C843" t="s">
        <v>94</v>
      </c>
      <c r="D843" t="s">
        <v>71</v>
      </c>
      <c r="E843" t="s">
        <v>58</v>
      </c>
      <c r="F843">
        <v>33</v>
      </c>
      <c r="G843" t="s">
        <v>76</v>
      </c>
      <c r="H843" s="24">
        <v>41507</v>
      </c>
      <c r="I843">
        <v>105390</v>
      </c>
      <c r="J843">
        <v>0.06</v>
      </c>
      <c r="K843">
        <v>111713</v>
      </c>
      <c r="L843" t="s">
        <v>60</v>
      </c>
      <c r="M843" t="s">
        <v>110</v>
      </c>
      <c r="N843" s="25"/>
      <c r="O843">
        <v>0</v>
      </c>
    </row>
    <row r="844" spans="1:15">
      <c r="A844" t="s">
        <v>963</v>
      </c>
      <c r="B844" t="s">
        <v>178</v>
      </c>
      <c r="C844" t="s">
        <v>56</v>
      </c>
      <c r="D844" t="s">
        <v>64</v>
      </c>
      <c r="E844" t="s">
        <v>58</v>
      </c>
      <c r="F844">
        <v>50</v>
      </c>
      <c r="G844" t="s">
        <v>72</v>
      </c>
      <c r="H844" s="24">
        <v>44445</v>
      </c>
      <c r="I844">
        <v>83418</v>
      </c>
      <c r="J844">
        <v>0</v>
      </c>
      <c r="K844">
        <v>83418</v>
      </c>
      <c r="L844" t="s">
        <v>66</v>
      </c>
      <c r="M844" t="s">
        <v>101</v>
      </c>
      <c r="N844" s="25"/>
      <c r="O844">
        <v>0</v>
      </c>
    </row>
    <row r="845" spans="1:15">
      <c r="A845" t="s">
        <v>964</v>
      </c>
      <c r="B845" t="s">
        <v>266</v>
      </c>
      <c r="C845" t="s">
        <v>56</v>
      </c>
      <c r="D845" t="s">
        <v>71</v>
      </c>
      <c r="E845" t="s">
        <v>58</v>
      </c>
      <c r="F845">
        <v>45</v>
      </c>
      <c r="G845" t="s">
        <v>72</v>
      </c>
      <c r="H845" s="24">
        <v>43042</v>
      </c>
      <c r="I845">
        <v>66660</v>
      </c>
      <c r="J845">
        <v>0</v>
      </c>
      <c r="K845">
        <v>66660</v>
      </c>
      <c r="L845" t="s">
        <v>60</v>
      </c>
      <c r="M845" t="s">
        <v>91</v>
      </c>
      <c r="N845" s="25"/>
      <c r="O845">
        <v>0</v>
      </c>
    </row>
    <row r="846" spans="1:15">
      <c r="A846" t="s">
        <v>965</v>
      </c>
      <c r="B846" t="s">
        <v>85</v>
      </c>
      <c r="C846" t="s">
        <v>94</v>
      </c>
      <c r="D846" t="s">
        <v>71</v>
      </c>
      <c r="E846" t="s">
        <v>65</v>
      </c>
      <c r="F846">
        <v>59</v>
      </c>
      <c r="G846" t="s">
        <v>59</v>
      </c>
      <c r="H846" s="24">
        <v>42165</v>
      </c>
      <c r="I846">
        <v>101985</v>
      </c>
      <c r="J846">
        <v>0.07</v>
      </c>
      <c r="K846">
        <v>109124</v>
      </c>
      <c r="L846" t="s">
        <v>60</v>
      </c>
      <c r="M846" t="s">
        <v>88</v>
      </c>
      <c r="N846" s="25"/>
      <c r="O846">
        <v>0</v>
      </c>
    </row>
    <row r="847" spans="1:15">
      <c r="A847" t="s">
        <v>966</v>
      </c>
      <c r="B847" t="s">
        <v>104</v>
      </c>
      <c r="C847" t="s">
        <v>70</v>
      </c>
      <c r="D847" t="s">
        <v>83</v>
      </c>
      <c r="E847" t="s">
        <v>65</v>
      </c>
      <c r="F847">
        <v>29</v>
      </c>
      <c r="G847" t="s">
        <v>76</v>
      </c>
      <c r="H847" s="24">
        <v>43439</v>
      </c>
      <c r="I847">
        <v>199504</v>
      </c>
      <c r="J847">
        <v>0.3</v>
      </c>
      <c r="K847">
        <v>259355</v>
      </c>
      <c r="L847" t="s">
        <v>60</v>
      </c>
      <c r="M847" t="s">
        <v>91</v>
      </c>
      <c r="N847" s="25"/>
      <c r="O847">
        <v>0</v>
      </c>
    </row>
    <row r="848" spans="1:15">
      <c r="A848" t="s">
        <v>967</v>
      </c>
      <c r="B848" t="s">
        <v>55</v>
      </c>
      <c r="C848" t="s">
        <v>82</v>
      </c>
      <c r="D848" t="s">
        <v>83</v>
      </c>
      <c r="E848" t="s">
        <v>58</v>
      </c>
      <c r="F848">
        <v>52</v>
      </c>
      <c r="G848" t="s">
        <v>72</v>
      </c>
      <c r="H848" s="24">
        <v>38995</v>
      </c>
      <c r="I848">
        <v>147966</v>
      </c>
      <c r="J848">
        <v>0.11</v>
      </c>
      <c r="K848">
        <v>164242</v>
      </c>
      <c r="L848" t="s">
        <v>113</v>
      </c>
      <c r="M848" t="s">
        <v>117</v>
      </c>
      <c r="N848" s="25">
        <v>43608</v>
      </c>
      <c r="O848">
        <v>1</v>
      </c>
    </row>
    <row r="849" spans="1:15">
      <c r="A849" t="s">
        <v>968</v>
      </c>
      <c r="B849" t="s">
        <v>166</v>
      </c>
      <c r="C849" t="s">
        <v>94</v>
      </c>
      <c r="D849" t="s">
        <v>71</v>
      </c>
      <c r="E849" t="s">
        <v>65</v>
      </c>
      <c r="F849">
        <v>58</v>
      </c>
      <c r="G849" t="s">
        <v>59</v>
      </c>
      <c r="H849" s="24">
        <v>41810</v>
      </c>
      <c r="I849">
        <v>41728</v>
      </c>
      <c r="J849">
        <v>0</v>
      </c>
      <c r="K849">
        <v>41728</v>
      </c>
      <c r="L849" t="s">
        <v>66</v>
      </c>
      <c r="M849" t="s">
        <v>67</v>
      </c>
      <c r="N849" s="25"/>
      <c r="O849">
        <v>0</v>
      </c>
    </row>
    <row r="850" spans="1:15">
      <c r="A850" t="s">
        <v>969</v>
      </c>
      <c r="B850" t="s">
        <v>78</v>
      </c>
      <c r="C850" t="s">
        <v>90</v>
      </c>
      <c r="D850" t="s">
        <v>71</v>
      </c>
      <c r="E850" t="s">
        <v>65</v>
      </c>
      <c r="F850">
        <v>62</v>
      </c>
      <c r="G850" t="s">
        <v>59</v>
      </c>
      <c r="H850" s="24">
        <v>40591</v>
      </c>
      <c r="I850">
        <v>94422</v>
      </c>
      <c r="J850">
        <v>0</v>
      </c>
      <c r="K850">
        <v>94422</v>
      </c>
      <c r="L850" t="s">
        <v>60</v>
      </c>
      <c r="M850" t="s">
        <v>79</v>
      </c>
      <c r="N850" s="25"/>
      <c r="O850">
        <v>0</v>
      </c>
    </row>
    <row r="851" spans="1:15">
      <c r="A851" t="s">
        <v>970</v>
      </c>
      <c r="B851" t="s">
        <v>69</v>
      </c>
      <c r="C851" t="s">
        <v>82</v>
      </c>
      <c r="D851" t="s">
        <v>83</v>
      </c>
      <c r="E851" t="s">
        <v>65</v>
      </c>
      <c r="F851">
        <v>31</v>
      </c>
      <c r="G851" t="s">
        <v>76</v>
      </c>
      <c r="H851" s="24">
        <v>42184</v>
      </c>
      <c r="I851">
        <v>191026</v>
      </c>
      <c r="J851">
        <v>0.16</v>
      </c>
      <c r="K851">
        <v>221590</v>
      </c>
      <c r="L851" t="s">
        <v>60</v>
      </c>
      <c r="M851" t="s">
        <v>110</v>
      </c>
      <c r="N851" s="25"/>
      <c r="O851">
        <v>0</v>
      </c>
    </row>
    <row r="852" spans="1:15">
      <c r="A852" t="s">
        <v>971</v>
      </c>
      <c r="B852" t="s">
        <v>104</v>
      </c>
      <c r="C852" t="s">
        <v>56</v>
      </c>
      <c r="D852" t="s">
        <v>57</v>
      </c>
      <c r="E852" t="s">
        <v>65</v>
      </c>
      <c r="F852">
        <v>42</v>
      </c>
      <c r="G852" t="s">
        <v>95</v>
      </c>
      <c r="H852" s="24">
        <v>40511</v>
      </c>
      <c r="I852">
        <v>186725</v>
      </c>
      <c r="J852">
        <v>0.32</v>
      </c>
      <c r="K852">
        <v>246477</v>
      </c>
      <c r="L852" t="s">
        <v>113</v>
      </c>
      <c r="M852" t="s">
        <v>114</v>
      </c>
      <c r="N852" s="25"/>
      <c r="O852">
        <v>0</v>
      </c>
    </row>
    <row r="853" spans="1:15">
      <c r="A853" t="s">
        <v>972</v>
      </c>
      <c r="B853" t="s">
        <v>166</v>
      </c>
      <c r="C853" t="s">
        <v>94</v>
      </c>
      <c r="D853" t="s">
        <v>57</v>
      </c>
      <c r="E853" t="s">
        <v>58</v>
      </c>
      <c r="F853">
        <v>56</v>
      </c>
      <c r="G853" t="s">
        <v>59</v>
      </c>
      <c r="H853" s="24">
        <v>40045</v>
      </c>
      <c r="I853">
        <v>52800</v>
      </c>
      <c r="J853">
        <v>0</v>
      </c>
      <c r="K853">
        <v>52800</v>
      </c>
      <c r="L853" t="s">
        <v>60</v>
      </c>
      <c r="M853" t="s">
        <v>79</v>
      </c>
      <c r="N853" s="25"/>
      <c r="O853">
        <v>0</v>
      </c>
    </row>
    <row r="854" spans="1:15">
      <c r="A854" t="s">
        <v>973</v>
      </c>
      <c r="B854" t="s">
        <v>164</v>
      </c>
      <c r="C854" t="s">
        <v>98</v>
      </c>
      <c r="D854" t="s">
        <v>71</v>
      </c>
      <c r="E854" t="s">
        <v>65</v>
      </c>
      <c r="F854">
        <v>54</v>
      </c>
      <c r="G854" t="s">
        <v>72</v>
      </c>
      <c r="H854" s="24">
        <v>40517</v>
      </c>
      <c r="I854">
        <v>113982</v>
      </c>
      <c r="J854">
        <v>0</v>
      </c>
      <c r="K854">
        <v>113982</v>
      </c>
      <c r="L854" t="s">
        <v>60</v>
      </c>
      <c r="M854" t="s">
        <v>61</v>
      </c>
      <c r="N854" s="25"/>
      <c r="O854">
        <v>0</v>
      </c>
    </row>
    <row r="855" spans="1:15">
      <c r="A855" t="s">
        <v>974</v>
      </c>
      <c r="B855" t="s">
        <v>81</v>
      </c>
      <c r="C855" t="s">
        <v>82</v>
      </c>
      <c r="D855" t="s">
        <v>57</v>
      </c>
      <c r="E855" t="s">
        <v>58</v>
      </c>
      <c r="F855">
        <v>54</v>
      </c>
      <c r="G855" t="s">
        <v>72</v>
      </c>
      <c r="H855" s="24">
        <v>44271</v>
      </c>
      <c r="I855">
        <v>56239</v>
      </c>
      <c r="J855">
        <v>0</v>
      </c>
      <c r="K855">
        <v>56239</v>
      </c>
      <c r="L855" t="s">
        <v>66</v>
      </c>
      <c r="M855" t="s">
        <v>67</v>
      </c>
      <c r="N855" s="25"/>
      <c r="O855">
        <v>0</v>
      </c>
    </row>
    <row r="856" spans="1:15">
      <c r="A856" t="s">
        <v>975</v>
      </c>
      <c r="B856" t="s">
        <v>87</v>
      </c>
      <c r="C856" t="s">
        <v>82</v>
      </c>
      <c r="D856" t="s">
        <v>64</v>
      </c>
      <c r="E856" t="s">
        <v>65</v>
      </c>
      <c r="F856">
        <v>26</v>
      </c>
      <c r="G856" t="s">
        <v>76</v>
      </c>
      <c r="H856" s="24">
        <v>44257</v>
      </c>
      <c r="I856">
        <v>44732</v>
      </c>
      <c r="J856">
        <v>0</v>
      </c>
      <c r="K856">
        <v>44732</v>
      </c>
      <c r="L856" t="s">
        <v>113</v>
      </c>
      <c r="M856" t="s">
        <v>117</v>
      </c>
      <c r="N856" s="25"/>
      <c r="O856">
        <v>0</v>
      </c>
    </row>
    <row r="857" spans="1:15">
      <c r="A857" t="s">
        <v>976</v>
      </c>
      <c r="B857" t="s">
        <v>69</v>
      </c>
      <c r="C857" t="s">
        <v>105</v>
      </c>
      <c r="D857" t="s">
        <v>83</v>
      </c>
      <c r="E857" t="s">
        <v>65</v>
      </c>
      <c r="F857">
        <v>49</v>
      </c>
      <c r="G857" t="s">
        <v>72</v>
      </c>
      <c r="H857" s="24">
        <v>41816</v>
      </c>
      <c r="I857">
        <v>153961</v>
      </c>
      <c r="J857">
        <v>0.25</v>
      </c>
      <c r="K857">
        <v>192451</v>
      </c>
      <c r="L857" t="s">
        <v>66</v>
      </c>
      <c r="M857" t="s">
        <v>101</v>
      </c>
      <c r="N857" s="25"/>
      <c r="O857">
        <v>0</v>
      </c>
    </row>
    <row r="858" spans="1:15">
      <c r="A858" t="s">
        <v>977</v>
      </c>
      <c r="B858" t="s">
        <v>200</v>
      </c>
      <c r="C858" t="s">
        <v>56</v>
      </c>
      <c r="D858" t="s">
        <v>71</v>
      </c>
      <c r="E858" t="s">
        <v>58</v>
      </c>
      <c r="F858">
        <v>45</v>
      </c>
      <c r="G858" t="s">
        <v>72</v>
      </c>
      <c r="H858" s="24">
        <v>39069</v>
      </c>
      <c r="I858">
        <v>68337</v>
      </c>
      <c r="J858">
        <v>0</v>
      </c>
      <c r="K858">
        <v>68337</v>
      </c>
      <c r="L858" t="s">
        <v>66</v>
      </c>
      <c r="M858" t="s">
        <v>67</v>
      </c>
      <c r="N858" s="25"/>
      <c r="O858">
        <v>0</v>
      </c>
    </row>
    <row r="859" spans="1:15">
      <c r="A859" t="s">
        <v>978</v>
      </c>
      <c r="B859" t="s">
        <v>55</v>
      </c>
      <c r="C859" t="s">
        <v>94</v>
      </c>
      <c r="D859" t="s">
        <v>83</v>
      </c>
      <c r="E859" t="s">
        <v>65</v>
      </c>
      <c r="F859">
        <v>45</v>
      </c>
      <c r="G859" t="s">
        <v>72</v>
      </c>
      <c r="H859" s="24">
        <v>40305</v>
      </c>
      <c r="I859">
        <v>145093</v>
      </c>
      <c r="J859">
        <v>0.12</v>
      </c>
      <c r="K859">
        <v>162504</v>
      </c>
      <c r="L859" t="s">
        <v>60</v>
      </c>
      <c r="M859" t="s">
        <v>73</v>
      </c>
      <c r="N859" s="25"/>
      <c r="O859">
        <v>0</v>
      </c>
    </row>
    <row r="860" spans="1:15">
      <c r="A860" t="s">
        <v>979</v>
      </c>
      <c r="B860" t="s">
        <v>303</v>
      </c>
      <c r="C860" t="s">
        <v>56</v>
      </c>
      <c r="D860" t="s">
        <v>71</v>
      </c>
      <c r="E860" t="s">
        <v>58</v>
      </c>
      <c r="F860">
        <v>26</v>
      </c>
      <c r="G860" t="s">
        <v>76</v>
      </c>
      <c r="H860" s="24">
        <v>44266</v>
      </c>
      <c r="I860">
        <v>74170</v>
      </c>
      <c r="J860">
        <v>0</v>
      </c>
      <c r="K860">
        <v>74170</v>
      </c>
      <c r="L860" t="s">
        <v>60</v>
      </c>
      <c r="M860" t="s">
        <v>91</v>
      </c>
      <c r="N860" s="25"/>
      <c r="O860">
        <v>0</v>
      </c>
    </row>
    <row r="861" spans="1:15">
      <c r="A861" t="s">
        <v>980</v>
      </c>
      <c r="B861" t="s">
        <v>160</v>
      </c>
      <c r="C861" t="s">
        <v>98</v>
      </c>
      <c r="D861" t="s">
        <v>57</v>
      </c>
      <c r="E861" t="s">
        <v>65</v>
      </c>
      <c r="F861">
        <v>59</v>
      </c>
      <c r="G861" t="s">
        <v>59</v>
      </c>
      <c r="H861" s="24">
        <v>35153</v>
      </c>
      <c r="I861">
        <v>62605</v>
      </c>
      <c r="J861">
        <v>0</v>
      </c>
      <c r="K861">
        <v>62605</v>
      </c>
      <c r="L861" t="s">
        <v>60</v>
      </c>
      <c r="M861" t="s">
        <v>91</v>
      </c>
      <c r="N861" s="25"/>
      <c r="O861">
        <v>0</v>
      </c>
    </row>
    <row r="862" spans="1:15">
      <c r="A862" t="s">
        <v>981</v>
      </c>
      <c r="B862" t="s">
        <v>85</v>
      </c>
      <c r="C862" t="s">
        <v>56</v>
      </c>
      <c r="D862" t="s">
        <v>71</v>
      </c>
      <c r="E862" t="s">
        <v>58</v>
      </c>
      <c r="F862">
        <v>51</v>
      </c>
      <c r="G862" t="s">
        <v>72</v>
      </c>
      <c r="H862" s="24">
        <v>43903</v>
      </c>
      <c r="I862">
        <v>107195</v>
      </c>
      <c r="J862">
        <v>0.09</v>
      </c>
      <c r="K862">
        <v>116843</v>
      </c>
      <c r="L862" t="s">
        <v>60</v>
      </c>
      <c r="M862" t="s">
        <v>91</v>
      </c>
      <c r="N862" s="25"/>
      <c r="O862">
        <v>0</v>
      </c>
    </row>
    <row r="863" spans="1:15">
      <c r="A863" t="s">
        <v>982</v>
      </c>
      <c r="B863" t="s">
        <v>55</v>
      </c>
      <c r="C863" t="s">
        <v>105</v>
      </c>
      <c r="D863" t="s">
        <v>71</v>
      </c>
      <c r="E863" t="s">
        <v>65</v>
      </c>
      <c r="F863">
        <v>45</v>
      </c>
      <c r="G863" t="s">
        <v>72</v>
      </c>
      <c r="H863" s="24">
        <v>43111</v>
      </c>
      <c r="I863">
        <v>127422</v>
      </c>
      <c r="J863">
        <v>0.15</v>
      </c>
      <c r="K863">
        <v>146535</v>
      </c>
      <c r="L863" t="s">
        <v>60</v>
      </c>
      <c r="M863" t="s">
        <v>110</v>
      </c>
      <c r="N863" s="25"/>
      <c r="O863">
        <v>0</v>
      </c>
    </row>
    <row r="864" spans="1:15">
      <c r="A864" t="s">
        <v>983</v>
      </c>
      <c r="B864" t="s">
        <v>69</v>
      </c>
      <c r="C864" t="s">
        <v>90</v>
      </c>
      <c r="D864" t="s">
        <v>57</v>
      </c>
      <c r="E864" t="s">
        <v>58</v>
      </c>
      <c r="F864">
        <v>35</v>
      </c>
      <c r="G864" t="s">
        <v>95</v>
      </c>
      <c r="H864" s="24">
        <v>42912</v>
      </c>
      <c r="I864">
        <v>161269</v>
      </c>
      <c r="J864">
        <v>0.27</v>
      </c>
      <c r="K864">
        <v>204812</v>
      </c>
      <c r="L864" t="s">
        <v>60</v>
      </c>
      <c r="M864" t="s">
        <v>88</v>
      </c>
      <c r="N864" s="25"/>
      <c r="O864">
        <v>0</v>
      </c>
    </row>
    <row r="865" spans="1:15">
      <c r="A865" t="s">
        <v>984</v>
      </c>
      <c r="B865" t="s">
        <v>104</v>
      </c>
      <c r="C865" t="s">
        <v>105</v>
      </c>
      <c r="D865" t="s">
        <v>83</v>
      </c>
      <c r="E865" t="s">
        <v>58</v>
      </c>
      <c r="F865">
        <v>32</v>
      </c>
      <c r="G865" t="s">
        <v>76</v>
      </c>
      <c r="H865" s="24">
        <v>41675</v>
      </c>
      <c r="I865">
        <v>203445</v>
      </c>
      <c r="J865">
        <v>0.34</v>
      </c>
      <c r="K865">
        <v>272616</v>
      </c>
      <c r="L865" t="s">
        <v>113</v>
      </c>
      <c r="M865" t="s">
        <v>114</v>
      </c>
      <c r="N865" s="25"/>
      <c r="O865">
        <v>0</v>
      </c>
    </row>
    <row r="866" spans="1:15">
      <c r="A866" t="s">
        <v>985</v>
      </c>
      <c r="B866" t="s">
        <v>55</v>
      </c>
      <c r="C866" t="s">
        <v>94</v>
      </c>
      <c r="D866" t="s">
        <v>57</v>
      </c>
      <c r="E866" t="s">
        <v>58</v>
      </c>
      <c r="F866">
        <v>37</v>
      </c>
      <c r="G866" t="s">
        <v>95</v>
      </c>
      <c r="H866" s="24">
        <v>40560</v>
      </c>
      <c r="I866">
        <v>131353</v>
      </c>
      <c r="J866">
        <v>0.11</v>
      </c>
      <c r="K866">
        <v>145802</v>
      </c>
      <c r="L866" t="s">
        <v>66</v>
      </c>
      <c r="M866" t="s">
        <v>101</v>
      </c>
      <c r="N866" s="25"/>
      <c r="O866">
        <v>0</v>
      </c>
    </row>
    <row r="867" spans="1:15">
      <c r="A867" t="s">
        <v>986</v>
      </c>
      <c r="B867" t="s">
        <v>314</v>
      </c>
      <c r="C867" t="s">
        <v>56</v>
      </c>
      <c r="D867" t="s">
        <v>64</v>
      </c>
      <c r="E867" t="s">
        <v>65</v>
      </c>
      <c r="F867">
        <v>45</v>
      </c>
      <c r="G867" t="s">
        <v>72</v>
      </c>
      <c r="H867" s="24">
        <v>40253</v>
      </c>
      <c r="I867">
        <v>88182</v>
      </c>
      <c r="J867">
        <v>0</v>
      </c>
      <c r="K867">
        <v>88182</v>
      </c>
      <c r="L867" t="s">
        <v>66</v>
      </c>
      <c r="M867" t="s">
        <v>138</v>
      </c>
      <c r="N867" s="25"/>
      <c r="O867">
        <v>0</v>
      </c>
    </row>
    <row r="868" spans="1:15">
      <c r="A868" t="s">
        <v>987</v>
      </c>
      <c r="B868" t="s">
        <v>136</v>
      </c>
      <c r="C868" t="s">
        <v>56</v>
      </c>
      <c r="D868" t="s">
        <v>71</v>
      </c>
      <c r="E868" t="s">
        <v>65</v>
      </c>
      <c r="F868">
        <v>61</v>
      </c>
      <c r="G868" t="s">
        <v>59</v>
      </c>
      <c r="H868" s="24">
        <v>43703</v>
      </c>
      <c r="I868">
        <v>75780</v>
      </c>
      <c r="J868">
        <v>0</v>
      </c>
      <c r="K868">
        <v>75780</v>
      </c>
      <c r="L868" t="s">
        <v>60</v>
      </c>
      <c r="M868" t="s">
        <v>61</v>
      </c>
      <c r="N868" s="25"/>
      <c r="O868">
        <v>0</v>
      </c>
    </row>
    <row r="869" spans="1:15">
      <c r="A869" t="s">
        <v>988</v>
      </c>
      <c r="B869" t="s">
        <v>132</v>
      </c>
      <c r="C869" t="s">
        <v>82</v>
      </c>
      <c r="D869" t="s">
        <v>57</v>
      </c>
      <c r="E869" t="s">
        <v>58</v>
      </c>
      <c r="F869">
        <v>45</v>
      </c>
      <c r="G869" t="s">
        <v>72</v>
      </c>
      <c r="H869" s="24">
        <v>43557</v>
      </c>
      <c r="I869">
        <v>52621</v>
      </c>
      <c r="J869">
        <v>0</v>
      </c>
      <c r="K869">
        <v>52621</v>
      </c>
      <c r="L869" t="s">
        <v>66</v>
      </c>
      <c r="M869" t="s">
        <v>126</v>
      </c>
      <c r="N869" s="25"/>
      <c r="O869">
        <v>0</v>
      </c>
    </row>
    <row r="870" spans="1:15">
      <c r="A870" t="s">
        <v>989</v>
      </c>
      <c r="B870" t="s">
        <v>125</v>
      </c>
      <c r="C870" t="s">
        <v>98</v>
      </c>
      <c r="D870" t="s">
        <v>57</v>
      </c>
      <c r="E870" t="s">
        <v>65</v>
      </c>
      <c r="F870">
        <v>60</v>
      </c>
      <c r="G870" t="s">
        <v>59</v>
      </c>
      <c r="H870" s="24">
        <v>43146</v>
      </c>
      <c r="I870">
        <v>106079</v>
      </c>
      <c r="J870">
        <v>0.14</v>
      </c>
      <c r="K870">
        <v>120930</v>
      </c>
      <c r="L870" t="s">
        <v>60</v>
      </c>
      <c r="M870" t="s">
        <v>91</v>
      </c>
      <c r="N870" s="25">
        <v>44295</v>
      </c>
      <c r="O870">
        <v>1</v>
      </c>
    </row>
    <row r="871" spans="1:15">
      <c r="A871" t="s">
        <v>990</v>
      </c>
      <c r="B871" t="s">
        <v>178</v>
      </c>
      <c r="C871" t="s">
        <v>56</v>
      </c>
      <c r="D871" t="s">
        <v>83</v>
      </c>
      <c r="E871" t="s">
        <v>65</v>
      </c>
      <c r="F871">
        <v>30</v>
      </c>
      <c r="G871" t="s">
        <v>76</v>
      </c>
      <c r="H871" s="24">
        <v>42777</v>
      </c>
      <c r="I871">
        <v>92058</v>
      </c>
      <c r="J871">
        <v>0</v>
      </c>
      <c r="K871">
        <v>92058</v>
      </c>
      <c r="L871" t="s">
        <v>60</v>
      </c>
      <c r="M871" t="s">
        <v>91</v>
      </c>
      <c r="N871" s="25"/>
      <c r="O871">
        <v>0</v>
      </c>
    </row>
    <row r="872" spans="1:15">
      <c r="A872" t="s">
        <v>991</v>
      </c>
      <c r="B872" t="s">
        <v>160</v>
      </c>
      <c r="C872" t="s">
        <v>98</v>
      </c>
      <c r="D872" t="s">
        <v>64</v>
      </c>
      <c r="E872" t="s">
        <v>65</v>
      </c>
      <c r="F872">
        <v>64</v>
      </c>
      <c r="G872" t="s">
        <v>59</v>
      </c>
      <c r="H872" s="24">
        <v>43527</v>
      </c>
      <c r="I872">
        <v>67114</v>
      </c>
      <c r="J872">
        <v>0</v>
      </c>
      <c r="K872">
        <v>67114</v>
      </c>
      <c r="L872" t="s">
        <v>60</v>
      </c>
      <c r="M872" t="s">
        <v>79</v>
      </c>
      <c r="N872" s="25"/>
      <c r="O872">
        <v>0</v>
      </c>
    </row>
    <row r="873" spans="1:15">
      <c r="A873" t="s">
        <v>992</v>
      </c>
      <c r="B873" t="s">
        <v>132</v>
      </c>
      <c r="C873" t="s">
        <v>70</v>
      </c>
      <c r="D873" t="s">
        <v>57</v>
      </c>
      <c r="E873" t="s">
        <v>58</v>
      </c>
      <c r="F873">
        <v>25</v>
      </c>
      <c r="G873" t="s">
        <v>76</v>
      </c>
      <c r="H873" s="24">
        <v>44024</v>
      </c>
      <c r="I873">
        <v>56565</v>
      </c>
      <c r="J873">
        <v>0</v>
      </c>
      <c r="K873">
        <v>56565</v>
      </c>
      <c r="L873" t="s">
        <v>113</v>
      </c>
      <c r="M873" t="s">
        <v>184</v>
      </c>
      <c r="N873" s="25"/>
      <c r="O873">
        <v>0</v>
      </c>
    </row>
    <row r="874" spans="1:15">
      <c r="A874" t="s">
        <v>993</v>
      </c>
      <c r="B874" t="s">
        <v>154</v>
      </c>
      <c r="C874" t="s">
        <v>94</v>
      </c>
      <c r="D874" t="s">
        <v>64</v>
      </c>
      <c r="E874" t="s">
        <v>58</v>
      </c>
      <c r="F874">
        <v>61</v>
      </c>
      <c r="G874" t="s">
        <v>59</v>
      </c>
      <c r="H874" s="24">
        <v>40683</v>
      </c>
      <c r="I874">
        <v>64937</v>
      </c>
      <c r="J874">
        <v>0</v>
      </c>
      <c r="K874">
        <v>64937</v>
      </c>
      <c r="L874" t="s">
        <v>60</v>
      </c>
      <c r="M874" t="s">
        <v>79</v>
      </c>
      <c r="N874" s="25"/>
      <c r="O874">
        <v>0</v>
      </c>
    </row>
    <row r="875" spans="1:15">
      <c r="A875" t="s">
        <v>994</v>
      </c>
      <c r="B875" t="s">
        <v>85</v>
      </c>
      <c r="C875" t="s">
        <v>105</v>
      </c>
      <c r="D875" t="s">
        <v>64</v>
      </c>
      <c r="E875" t="s">
        <v>58</v>
      </c>
      <c r="F875">
        <v>65</v>
      </c>
      <c r="G875" t="s">
        <v>107</v>
      </c>
      <c r="H875" s="24">
        <v>38967</v>
      </c>
      <c r="I875">
        <v>127626</v>
      </c>
      <c r="J875">
        <v>0.1</v>
      </c>
      <c r="K875">
        <v>140389</v>
      </c>
      <c r="L875" t="s">
        <v>60</v>
      </c>
      <c r="M875" t="s">
        <v>88</v>
      </c>
      <c r="N875" s="25"/>
      <c r="O875">
        <v>0</v>
      </c>
    </row>
    <row r="876" spans="1:15">
      <c r="A876" t="s">
        <v>995</v>
      </c>
      <c r="B876" t="s">
        <v>200</v>
      </c>
      <c r="C876" t="s">
        <v>56</v>
      </c>
      <c r="D876" t="s">
        <v>83</v>
      </c>
      <c r="E876" t="s">
        <v>65</v>
      </c>
      <c r="F876">
        <v>61</v>
      </c>
      <c r="G876" t="s">
        <v>59</v>
      </c>
      <c r="H876" s="24">
        <v>38013</v>
      </c>
      <c r="I876">
        <v>88478</v>
      </c>
      <c r="J876">
        <v>0</v>
      </c>
      <c r="K876">
        <v>88478</v>
      </c>
      <c r="L876" t="s">
        <v>60</v>
      </c>
      <c r="M876" t="s">
        <v>91</v>
      </c>
      <c r="N876" s="25"/>
      <c r="O876">
        <v>0</v>
      </c>
    </row>
    <row r="877" spans="1:15">
      <c r="A877" t="s">
        <v>996</v>
      </c>
      <c r="B877" t="s">
        <v>75</v>
      </c>
      <c r="C877" t="s">
        <v>56</v>
      </c>
      <c r="D877" t="s">
        <v>71</v>
      </c>
      <c r="E877" t="s">
        <v>58</v>
      </c>
      <c r="F877">
        <v>48</v>
      </c>
      <c r="G877" t="s">
        <v>72</v>
      </c>
      <c r="H877" s="24">
        <v>41749</v>
      </c>
      <c r="I877">
        <v>91679</v>
      </c>
      <c r="J877">
        <v>0.07</v>
      </c>
      <c r="K877">
        <v>98097</v>
      </c>
      <c r="L877" t="s">
        <v>66</v>
      </c>
      <c r="M877" t="s">
        <v>67</v>
      </c>
      <c r="N877" s="25"/>
      <c r="O877">
        <v>0</v>
      </c>
    </row>
    <row r="878" spans="1:15">
      <c r="A878" t="s">
        <v>997</v>
      </c>
      <c r="B878" t="s">
        <v>69</v>
      </c>
      <c r="C878" t="s">
        <v>82</v>
      </c>
      <c r="D878" t="s">
        <v>83</v>
      </c>
      <c r="E878" t="s">
        <v>65</v>
      </c>
      <c r="F878">
        <v>58</v>
      </c>
      <c r="G878" t="s">
        <v>59</v>
      </c>
      <c r="H878" s="24">
        <v>33682</v>
      </c>
      <c r="I878">
        <v>199848</v>
      </c>
      <c r="J878">
        <v>0.16</v>
      </c>
      <c r="K878">
        <v>231824</v>
      </c>
      <c r="L878" t="s">
        <v>66</v>
      </c>
      <c r="M878" t="s">
        <v>67</v>
      </c>
      <c r="N878" s="25"/>
      <c r="O878">
        <v>0</v>
      </c>
    </row>
    <row r="879" spans="1:15">
      <c r="A879" t="s">
        <v>998</v>
      </c>
      <c r="B879" t="s">
        <v>202</v>
      </c>
      <c r="C879" t="s">
        <v>56</v>
      </c>
      <c r="D879" t="s">
        <v>64</v>
      </c>
      <c r="E879" t="s">
        <v>65</v>
      </c>
      <c r="F879">
        <v>34</v>
      </c>
      <c r="G879" t="s">
        <v>76</v>
      </c>
      <c r="H879" s="24">
        <v>43414</v>
      </c>
      <c r="I879">
        <v>61944</v>
      </c>
      <c r="J879">
        <v>0</v>
      </c>
      <c r="K879">
        <v>61944</v>
      </c>
      <c r="L879" t="s">
        <v>66</v>
      </c>
      <c r="M879" t="s">
        <v>101</v>
      </c>
      <c r="N879" s="25"/>
      <c r="O879">
        <v>0</v>
      </c>
    </row>
    <row r="880" spans="1:15">
      <c r="A880" t="s">
        <v>999</v>
      </c>
      <c r="B880" t="s">
        <v>55</v>
      </c>
      <c r="C880" t="s">
        <v>82</v>
      </c>
      <c r="D880" t="s">
        <v>71</v>
      </c>
      <c r="E880" t="s">
        <v>58</v>
      </c>
      <c r="F880">
        <v>30</v>
      </c>
      <c r="G880" t="s">
        <v>76</v>
      </c>
      <c r="H880" s="24">
        <v>42960</v>
      </c>
      <c r="I880">
        <v>154624</v>
      </c>
      <c r="J880">
        <v>0.15</v>
      </c>
      <c r="K880">
        <v>177818</v>
      </c>
      <c r="L880" t="s">
        <v>60</v>
      </c>
      <c r="M880" t="s">
        <v>91</v>
      </c>
      <c r="N880" s="25"/>
      <c r="O880">
        <v>0</v>
      </c>
    </row>
    <row r="881" spans="1:15">
      <c r="A881" t="s">
        <v>1000</v>
      </c>
      <c r="B881" t="s">
        <v>78</v>
      </c>
      <c r="C881" t="s">
        <v>90</v>
      </c>
      <c r="D881" t="s">
        <v>57</v>
      </c>
      <c r="E881" t="s">
        <v>65</v>
      </c>
      <c r="F881">
        <v>50</v>
      </c>
      <c r="G881" t="s">
        <v>72</v>
      </c>
      <c r="H881" s="24">
        <v>40109</v>
      </c>
      <c r="I881">
        <v>79447</v>
      </c>
      <c r="J881">
        <v>0</v>
      </c>
      <c r="K881">
        <v>79447</v>
      </c>
      <c r="L881" t="s">
        <v>66</v>
      </c>
      <c r="M881" t="s">
        <v>101</v>
      </c>
      <c r="N881" s="25"/>
      <c r="O881">
        <v>0</v>
      </c>
    </row>
    <row r="882" spans="1:15">
      <c r="A882" t="s">
        <v>1001</v>
      </c>
      <c r="B882" t="s">
        <v>78</v>
      </c>
      <c r="C882" t="s">
        <v>82</v>
      </c>
      <c r="D882" t="s">
        <v>64</v>
      </c>
      <c r="E882" t="s">
        <v>65</v>
      </c>
      <c r="F882">
        <v>51</v>
      </c>
      <c r="G882" t="s">
        <v>72</v>
      </c>
      <c r="H882" s="24">
        <v>35852</v>
      </c>
      <c r="I882">
        <v>71111</v>
      </c>
      <c r="J882">
        <v>0</v>
      </c>
      <c r="K882">
        <v>71111</v>
      </c>
      <c r="L882" t="s">
        <v>113</v>
      </c>
      <c r="M882" t="s">
        <v>117</v>
      </c>
      <c r="N882" s="25"/>
      <c r="O882">
        <v>0</v>
      </c>
    </row>
    <row r="883" spans="1:15">
      <c r="A883" t="s">
        <v>1002</v>
      </c>
      <c r="B883" t="s">
        <v>55</v>
      </c>
      <c r="C883" t="s">
        <v>82</v>
      </c>
      <c r="D883" t="s">
        <v>57</v>
      </c>
      <c r="E883" t="s">
        <v>65</v>
      </c>
      <c r="F883">
        <v>53</v>
      </c>
      <c r="G883" t="s">
        <v>72</v>
      </c>
      <c r="H883" s="24">
        <v>41931</v>
      </c>
      <c r="I883">
        <v>159538</v>
      </c>
      <c r="J883">
        <v>0.11</v>
      </c>
      <c r="K883">
        <v>177087</v>
      </c>
      <c r="L883" t="s">
        <v>60</v>
      </c>
      <c r="M883" t="s">
        <v>88</v>
      </c>
      <c r="N883" s="25"/>
      <c r="O883">
        <v>0</v>
      </c>
    </row>
    <row r="884" spans="1:15">
      <c r="A884" t="s">
        <v>1003</v>
      </c>
      <c r="B884" t="s">
        <v>97</v>
      </c>
      <c r="C884" t="s">
        <v>98</v>
      </c>
      <c r="D884" t="s">
        <v>83</v>
      </c>
      <c r="E884" t="s">
        <v>58</v>
      </c>
      <c r="F884">
        <v>47</v>
      </c>
      <c r="G884" t="s">
        <v>72</v>
      </c>
      <c r="H884" s="24">
        <v>43375</v>
      </c>
      <c r="I884">
        <v>111404</v>
      </c>
      <c r="J884">
        <v>0</v>
      </c>
      <c r="K884">
        <v>111404</v>
      </c>
      <c r="L884" t="s">
        <v>113</v>
      </c>
      <c r="M884" t="s">
        <v>117</v>
      </c>
      <c r="N884" s="25"/>
      <c r="O884">
        <v>0</v>
      </c>
    </row>
    <row r="885" spans="1:15">
      <c r="A885" t="s">
        <v>1004</v>
      </c>
      <c r="B885" t="s">
        <v>69</v>
      </c>
      <c r="C885" t="s">
        <v>105</v>
      </c>
      <c r="D885" t="s">
        <v>71</v>
      </c>
      <c r="E885" t="s">
        <v>65</v>
      </c>
      <c r="F885">
        <v>25</v>
      </c>
      <c r="G885" t="s">
        <v>76</v>
      </c>
      <c r="H885" s="24">
        <v>44058</v>
      </c>
      <c r="I885">
        <v>172007</v>
      </c>
      <c r="J885">
        <v>0.26</v>
      </c>
      <c r="K885">
        <v>216729</v>
      </c>
      <c r="L885" t="s">
        <v>60</v>
      </c>
      <c r="M885" t="s">
        <v>88</v>
      </c>
      <c r="N885" s="25"/>
      <c r="O885">
        <v>0</v>
      </c>
    </row>
    <row r="886" spans="1:15">
      <c r="A886" t="s">
        <v>1005</v>
      </c>
      <c r="B886" t="s">
        <v>104</v>
      </c>
      <c r="C886" t="s">
        <v>105</v>
      </c>
      <c r="D886" t="s">
        <v>64</v>
      </c>
      <c r="E886" t="s">
        <v>58</v>
      </c>
      <c r="F886">
        <v>37</v>
      </c>
      <c r="G886" t="s">
        <v>95</v>
      </c>
      <c r="H886" s="24">
        <v>40745</v>
      </c>
      <c r="I886">
        <v>219474</v>
      </c>
      <c r="J886">
        <v>0.36</v>
      </c>
      <c r="K886">
        <v>298485</v>
      </c>
      <c r="L886" t="s">
        <v>113</v>
      </c>
      <c r="M886" t="s">
        <v>114</v>
      </c>
      <c r="N886" s="25"/>
      <c r="O886">
        <v>0</v>
      </c>
    </row>
    <row r="887" spans="1:15">
      <c r="A887" t="s">
        <v>1006</v>
      </c>
      <c r="B887" t="s">
        <v>69</v>
      </c>
      <c r="C887" t="s">
        <v>70</v>
      </c>
      <c r="D887" t="s">
        <v>83</v>
      </c>
      <c r="E887" t="s">
        <v>65</v>
      </c>
      <c r="F887">
        <v>41</v>
      </c>
      <c r="G887" t="s">
        <v>95</v>
      </c>
      <c r="H887" s="24">
        <v>43600</v>
      </c>
      <c r="I887">
        <v>174415</v>
      </c>
      <c r="J887">
        <v>0.23</v>
      </c>
      <c r="K887">
        <v>214530</v>
      </c>
      <c r="L887" t="s">
        <v>60</v>
      </c>
      <c r="M887" t="s">
        <v>88</v>
      </c>
      <c r="N887" s="25"/>
      <c r="O887">
        <v>0</v>
      </c>
    </row>
    <row r="888" spans="1:15">
      <c r="A888" t="s">
        <v>1007</v>
      </c>
      <c r="B888" t="s">
        <v>200</v>
      </c>
      <c r="C888" t="s">
        <v>56</v>
      </c>
      <c r="D888" t="s">
        <v>71</v>
      </c>
      <c r="E888" t="s">
        <v>58</v>
      </c>
      <c r="F888">
        <v>36</v>
      </c>
      <c r="G888" t="s">
        <v>95</v>
      </c>
      <c r="H888" s="24">
        <v>44217</v>
      </c>
      <c r="I888">
        <v>90333</v>
      </c>
      <c r="J888">
        <v>0</v>
      </c>
      <c r="K888">
        <v>90333</v>
      </c>
      <c r="L888" t="s">
        <v>113</v>
      </c>
      <c r="M888" t="s">
        <v>117</v>
      </c>
      <c r="N888" s="25"/>
      <c r="O888">
        <v>0</v>
      </c>
    </row>
    <row r="889" spans="1:15">
      <c r="A889" t="s">
        <v>1008</v>
      </c>
      <c r="B889" t="s">
        <v>154</v>
      </c>
      <c r="C889" t="s">
        <v>94</v>
      </c>
      <c r="D889" t="s">
        <v>71</v>
      </c>
      <c r="E889" t="s">
        <v>65</v>
      </c>
      <c r="F889">
        <v>25</v>
      </c>
      <c r="G889" t="s">
        <v>76</v>
      </c>
      <c r="H889" s="24">
        <v>44217</v>
      </c>
      <c r="I889">
        <v>67299</v>
      </c>
      <c r="J889">
        <v>0</v>
      </c>
      <c r="K889">
        <v>67299</v>
      </c>
      <c r="L889" t="s">
        <v>60</v>
      </c>
      <c r="M889" t="s">
        <v>79</v>
      </c>
      <c r="N889" s="25"/>
      <c r="O889">
        <v>0</v>
      </c>
    </row>
    <row r="890" spans="1:15">
      <c r="A890" t="s">
        <v>1009</v>
      </c>
      <c r="B890" t="s">
        <v>244</v>
      </c>
      <c r="C890" t="s">
        <v>56</v>
      </c>
      <c r="D890" t="s">
        <v>57</v>
      </c>
      <c r="E890" t="s">
        <v>58</v>
      </c>
      <c r="F890">
        <v>52</v>
      </c>
      <c r="G890" t="s">
        <v>72</v>
      </c>
      <c r="H890" s="24">
        <v>38406</v>
      </c>
      <c r="I890">
        <v>45286</v>
      </c>
      <c r="J890">
        <v>0</v>
      </c>
      <c r="K890">
        <v>45286</v>
      </c>
      <c r="L890" t="s">
        <v>60</v>
      </c>
      <c r="M890" t="s">
        <v>73</v>
      </c>
      <c r="N890" s="25"/>
      <c r="O890">
        <v>0</v>
      </c>
    </row>
    <row r="891" spans="1:15">
      <c r="A891" t="s">
        <v>1010</v>
      </c>
      <c r="B891" t="s">
        <v>69</v>
      </c>
      <c r="C891" t="s">
        <v>105</v>
      </c>
      <c r="D891" t="s">
        <v>57</v>
      </c>
      <c r="E891" t="s">
        <v>65</v>
      </c>
      <c r="F891">
        <v>48</v>
      </c>
      <c r="G891" t="s">
        <v>72</v>
      </c>
      <c r="H891" s="24">
        <v>39302</v>
      </c>
      <c r="I891">
        <v>194723</v>
      </c>
      <c r="J891">
        <v>0.25</v>
      </c>
      <c r="K891">
        <v>243404</v>
      </c>
      <c r="L891" t="s">
        <v>60</v>
      </c>
      <c r="M891" t="s">
        <v>79</v>
      </c>
      <c r="N891" s="25"/>
      <c r="O891">
        <v>0</v>
      </c>
    </row>
    <row r="892" spans="1:15">
      <c r="A892" t="s">
        <v>1011</v>
      </c>
      <c r="B892" t="s">
        <v>85</v>
      </c>
      <c r="C892" t="s">
        <v>82</v>
      </c>
      <c r="D892" t="s">
        <v>57</v>
      </c>
      <c r="E892" t="s">
        <v>65</v>
      </c>
      <c r="F892">
        <v>49</v>
      </c>
      <c r="G892" t="s">
        <v>72</v>
      </c>
      <c r="H892" s="24">
        <v>41131</v>
      </c>
      <c r="I892">
        <v>109850</v>
      </c>
      <c r="J892">
        <v>0.07</v>
      </c>
      <c r="K892">
        <v>117540</v>
      </c>
      <c r="L892" t="s">
        <v>66</v>
      </c>
      <c r="M892" t="s">
        <v>126</v>
      </c>
      <c r="N892" s="25">
        <v>43865</v>
      </c>
      <c r="O892">
        <v>1</v>
      </c>
    </row>
    <row r="893" spans="1:15">
      <c r="A893" t="s">
        <v>1012</v>
      </c>
      <c r="B893" t="s">
        <v>166</v>
      </c>
      <c r="C893" t="s">
        <v>94</v>
      </c>
      <c r="D893" t="s">
        <v>57</v>
      </c>
      <c r="E893" t="s">
        <v>58</v>
      </c>
      <c r="F893">
        <v>62</v>
      </c>
      <c r="G893" t="s">
        <v>59</v>
      </c>
      <c r="H893" s="24">
        <v>41748</v>
      </c>
      <c r="I893">
        <v>45295</v>
      </c>
      <c r="J893">
        <v>0</v>
      </c>
      <c r="K893">
        <v>45295</v>
      </c>
      <c r="L893" t="s">
        <v>113</v>
      </c>
      <c r="M893" t="s">
        <v>184</v>
      </c>
      <c r="N893" s="25"/>
      <c r="O893">
        <v>0</v>
      </c>
    </row>
    <row r="894" spans="1:15">
      <c r="A894" t="s">
        <v>1013</v>
      </c>
      <c r="B894" t="s">
        <v>326</v>
      </c>
      <c r="C894" t="s">
        <v>56</v>
      </c>
      <c r="D894" t="s">
        <v>64</v>
      </c>
      <c r="E894" t="s">
        <v>58</v>
      </c>
      <c r="F894">
        <v>36</v>
      </c>
      <c r="G894" t="s">
        <v>95</v>
      </c>
      <c r="H894" s="24">
        <v>40413</v>
      </c>
      <c r="I894">
        <v>61310</v>
      </c>
      <c r="J894">
        <v>0</v>
      </c>
      <c r="K894">
        <v>61310</v>
      </c>
      <c r="L894" t="s">
        <v>60</v>
      </c>
      <c r="M894" t="s">
        <v>79</v>
      </c>
      <c r="N894" s="25"/>
      <c r="O894">
        <v>0</v>
      </c>
    </row>
    <row r="895" spans="1:15">
      <c r="A895" t="s">
        <v>1014</v>
      </c>
      <c r="B895" t="s">
        <v>228</v>
      </c>
      <c r="C895" t="s">
        <v>56</v>
      </c>
      <c r="D895" t="s">
        <v>57</v>
      </c>
      <c r="E895" t="s">
        <v>65</v>
      </c>
      <c r="F895">
        <v>55</v>
      </c>
      <c r="G895" t="s">
        <v>59</v>
      </c>
      <c r="H895" s="24">
        <v>42683</v>
      </c>
      <c r="I895">
        <v>87851</v>
      </c>
      <c r="J895">
        <v>0</v>
      </c>
      <c r="K895">
        <v>87851</v>
      </c>
      <c r="L895" t="s">
        <v>66</v>
      </c>
      <c r="M895" t="s">
        <v>67</v>
      </c>
      <c r="N895" s="25"/>
      <c r="O895">
        <v>0</v>
      </c>
    </row>
    <row r="896" spans="1:15">
      <c r="A896" t="s">
        <v>1015</v>
      </c>
      <c r="B896" t="s">
        <v>166</v>
      </c>
      <c r="C896" t="s">
        <v>94</v>
      </c>
      <c r="D896" t="s">
        <v>71</v>
      </c>
      <c r="E896" t="s">
        <v>58</v>
      </c>
      <c r="F896">
        <v>31</v>
      </c>
      <c r="G896" t="s">
        <v>76</v>
      </c>
      <c r="H896" s="24">
        <v>43171</v>
      </c>
      <c r="I896">
        <v>47913</v>
      </c>
      <c r="J896">
        <v>0</v>
      </c>
      <c r="K896">
        <v>47913</v>
      </c>
      <c r="L896" t="s">
        <v>60</v>
      </c>
      <c r="M896" t="s">
        <v>61</v>
      </c>
      <c r="N896" s="25"/>
      <c r="O896">
        <v>0</v>
      </c>
    </row>
    <row r="897" spans="1:15">
      <c r="A897" t="s">
        <v>1016</v>
      </c>
      <c r="B897" t="s">
        <v>166</v>
      </c>
      <c r="C897" t="s">
        <v>94</v>
      </c>
      <c r="D897" t="s">
        <v>71</v>
      </c>
      <c r="E897" t="s">
        <v>58</v>
      </c>
      <c r="F897">
        <v>53</v>
      </c>
      <c r="G897" t="s">
        <v>72</v>
      </c>
      <c r="H897" s="24">
        <v>42985</v>
      </c>
      <c r="I897">
        <v>46727</v>
      </c>
      <c r="J897">
        <v>0</v>
      </c>
      <c r="K897">
        <v>46727</v>
      </c>
      <c r="L897" t="s">
        <v>60</v>
      </c>
      <c r="M897" t="s">
        <v>110</v>
      </c>
      <c r="N897" s="25">
        <v>43251</v>
      </c>
      <c r="O897">
        <v>1</v>
      </c>
    </row>
    <row r="898" spans="1:15">
      <c r="A898" t="s">
        <v>1017</v>
      </c>
      <c r="B898" t="s">
        <v>55</v>
      </c>
      <c r="C898" t="s">
        <v>94</v>
      </c>
      <c r="D898" t="s">
        <v>71</v>
      </c>
      <c r="E898" t="s">
        <v>65</v>
      </c>
      <c r="F898">
        <v>27</v>
      </c>
      <c r="G898" t="s">
        <v>76</v>
      </c>
      <c r="H898" s="24">
        <v>44302</v>
      </c>
      <c r="I898">
        <v>133400</v>
      </c>
      <c r="J898">
        <v>0.11</v>
      </c>
      <c r="K898">
        <v>148074</v>
      </c>
      <c r="L898" t="s">
        <v>60</v>
      </c>
      <c r="M898" t="s">
        <v>79</v>
      </c>
      <c r="N898" s="25"/>
      <c r="O898">
        <v>0</v>
      </c>
    </row>
    <row r="899" spans="1:15">
      <c r="A899" t="s">
        <v>1018</v>
      </c>
      <c r="B899" t="s">
        <v>266</v>
      </c>
      <c r="C899" t="s">
        <v>56</v>
      </c>
      <c r="D899" t="s">
        <v>71</v>
      </c>
      <c r="E899" t="s">
        <v>58</v>
      </c>
      <c r="F899">
        <v>39</v>
      </c>
      <c r="G899" t="s">
        <v>95</v>
      </c>
      <c r="H899" s="24">
        <v>43943</v>
      </c>
      <c r="I899">
        <v>90535</v>
      </c>
      <c r="J899">
        <v>0</v>
      </c>
      <c r="K899">
        <v>90535</v>
      </c>
      <c r="L899" t="s">
        <v>60</v>
      </c>
      <c r="M899" t="s">
        <v>88</v>
      </c>
      <c r="N899" s="25"/>
      <c r="O899">
        <v>0</v>
      </c>
    </row>
    <row r="900" spans="1:15">
      <c r="A900" t="s">
        <v>1019</v>
      </c>
      <c r="B900" t="s">
        <v>78</v>
      </c>
      <c r="C900" t="s">
        <v>105</v>
      </c>
      <c r="D900" t="s">
        <v>71</v>
      </c>
      <c r="E900" t="s">
        <v>65</v>
      </c>
      <c r="F900">
        <v>55</v>
      </c>
      <c r="G900" t="s">
        <v>59</v>
      </c>
      <c r="H900" s="24">
        <v>38909</v>
      </c>
      <c r="I900">
        <v>93343</v>
      </c>
      <c r="J900">
        <v>0</v>
      </c>
      <c r="K900">
        <v>93343</v>
      </c>
      <c r="L900" t="s">
        <v>66</v>
      </c>
      <c r="M900" t="s">
        <v>67</v>
      </c>
      <c r="N900" s="25"/>
      <c r="O900">
        <v>0</v>
      </c>
    </row>
    <row r="901" spans="1:15">
      <c r="A901" t="s">
        <v>1020</v>
      </c>
      <c r="B901" t="s">
        <v>154</v>
      </c>
      <c r="C901" t="s">
        <v>94</v>
      </c>
      <c r="D901" t="s">
        <v>83</v>
      </c>
      <c r="E901" t="s">
        <v>58</v>
      </c>
      <c r="F901">
        <v>44</v>
      </c>
      <c r="G901" t="s">
        <v>95</v>
      </c>
      <c r="H901" s="24">
        <v>38771</v>
      </c>
      <c r="I901">
        <v>63705</v>
      </c>
      <c r="J901">
        <v>0</v>
      </c>
      <c r="K901">
        <v>63705</v>
      </c>
      <c r="L901" t="s">
        <v>60</v>
      </c>
      <c r="M901" t="s">
        <v>88</v>
      </c>
      <c r="N901" s="25"/>
      <c r="O901">
        <v>0</v>
      </c>
    </row>
    <row r="902" spans="1:15">
      <c r="A902" t="s">
        <v>1021</v>
      </c>
      <c r="B902" t="s">
        <v>104</v>
      </c>
      <c r="C902" t="s">
        <v>82</v>
      </c>
      <c r="D902" t="s">
        <v>83</v>
      </c>
      <c r="E902" t="s">
        <v>65</v>
      </c>
      <c r="F902">
        <v>48</v>
      </c>
      <c r="G902" t="s">
        <v>72</v>
      </c>
      <c r="H902" s="24">
        <v>36584</v>
      </c>
      <c r="I902">
        <v>258081</v>
      </c>
      <c r="J902">
        <v>0.3</v>
      </c>
      <c r="K902">
        <v>335505</v>
      </c>
      <c r="L902" t="s">
        <v>60</v>
      </c>
      <c r="M902" t="s">
        <v>73</v>
      </c>
      <c r="N902" s="25"/>
      <c r="O902">
        <v>0</v>
      </c>
    </row>
    <row r="903" spans="1:15">
      <c r="A903" t="s">
        <v>1022</v>
      </c>
      <c r="B903" t="s">
        <v>166</v>
      </c>
      <c r="C903" t="s">
        <v>94</v>
      </c>
      <c r="D903" t="s">
        <v>57</v>
      </c>
      <c r="E903" t="s">
        <v>65</v>
      </c>
      <c r="F903">
        <v>48</v>
      </c>
      <c r="G903" t="s">
        <v>72</v>
      </c>
      <c r="H903" s="24">
        <v>44095</v>
      </c>
      <c r="I903">
        <v>54654</v>
      </c>
      <c r="J903">
        <v>0</v>
      </c>
      <c r="K903">
        <v>54654</v>
      </c>
      <c r="L903" t="s">
        <v>60</v>
      </c>
      <c r="M903" t="s">
        <v>79</v>
      </c>
      <c r="N903" s="25"/>
      <c r="O903">
        <v>0</v>
      </c>
    </row>
    <row r="904" spans="1:15">
      <c r="A904" t="s">
        <v>1023</v>
      </c>
      <c r="B904" t="s">
        <v>87</v>
      </c>
      <c r="C904" t="s">
        <v>82</v>
      </c>
      <c r="D904" t="s">
        <v>64</v>
      </c>
      <c r="E904" t="s">
        <v>65</v>
      </c>
      <c r="F904">
        <v>54</v>
      </c>
      <c r="G904" t="s">
        <v>72</v>
      </c>
      <c r="H904" s="24">
        <v>36062</v>
      </c>
      <c r="I904">
        <v>58006</v>
      </c>
      <c r="J904">
        <v>0</v>
      </c>
      <c r="K904">
        <v>58006</v>
      </c>
      <c r="L904" t="s">
        <v>60</v>
      </c>
      <c r="M904" t="s">
        <v>61</v>
      </c>
      <c r="N904" s="25"/>
      <c r="O904">
        <v>0</v>
      </c>
    </row>
    <row r="905" spans="1:15">
      <c r="A905" t="s">
        <v>1024</v>
      </c>
      <c r="B905" t="s">
        <v>55</v>
      </c>
      <c r="C905" t="s">
        <v>70</v>
      </c>
      <c r="D905" t="s">
        <v>64</v>
      </c>
      <c r="E905" t="s">
        <v>58</v>
      </c>
      <c r="F905">
        <v>42</v>
      </c>
      <c r="G905" t="s">
        <v>95</v>
      </c>
      <c r="H905" s="24">
        <v>40620</v>
      </c>
      <c r="I905">
        <v>150034</v>
      </c>
      <c r="J905">
        <v>0.12</v>
      </c>
      <c r="K905">
        <v>168038</v>
      </c>
      <c r="L905" t="s">
        <v>66</v>
      </c>
      <c r="M905" t="s">
        <v>126</v>
      </c>
      <c r="N905" s="25"/>
      <c r="O905">
        <v>0</v>
      </c>
    </row>
    <row r="906" spans="1:15">
      <c r="A906" t="s">
        <v>1025</v>
      </c>
      <c r="B906" t="s">
        <v>69</v>
      </c>
      <c r="C906" t="s">
        <v>94</v>
      </c>
      <c r="D906" t="s">
        <v>71</v>
      </c>
      <c r="E906" t="s">
        <v>58</v>
      </c>
      <c r="F906">
        <v>38</v>
      </c>
      <c r="G906" t="s">
        <v>95</v>
      </c>
      <c r="H906" s="24">
        <v>39232</v>
      </c>
      <c r="I906">
        <v>198562</v>
      </c>
      <c r="J906">
        <v>0.22</v>
      </c>
      <c r="K906">
        <v>242246</v>
      </c>
      <c r="L906" t="s">
        <v>60</v>
      </c>
      <c r="M906" t="s">
        <v>61</v>
      </c>
      <c r="N906" s="25"/>
      <c r="O906">
        <v>0</v>
      </c>
    </row>
    <row r="907" spans="1:15">
      <c r="A907" t="s">
        <v>1026</v>
      </c>
      <c r="B907" t="s">
        <v>81</v>
      </c>
      <c r="C907" t="s">
        <v>82</v>
      </c>
      <c r="D907" t="s">
        <v>57</v>
      </c>
      <c r="E907" t="s">
        <v>58</v>
      </c>
      <c r="F907">
        <v>40</v>
      </c>
      <c r="G907" t="s">
        <v>95</v>
      </c>
      <c r="H907" s="24">
        <v>39960</v>
      </c>
      <c r="I907">
        <v>62411</v>
      </c>
      <c r="J907">
        <v>0</v>
      </c>
      <c r="K907">
        <v>62411</v>
      </c>
      <c r="L907" t="s">
        <v>60</v>
      </c>
      <c r="M907" t="s">
        <v>88</v>
      </c>
      <c r="N907" s="25">
        <v>44422</v>
      </c>
      <c r="O907">
        <v>1</v>
      </c>
    </row>
    <row r="908" spans="1:15">
      <c r="A908" t="s">
        <v>1027</v>
      </c>
      <c r="B908" t="s">
        <v>125</v>
      </c>
      <c r="C908" t="s">
        <v>98</v>
      </c>
      <c r="D908" t="s">
        <v>57</v>
      </c>
      <c r="E908" t="s">
        <v>65</v>
      </c>
      <c r="F908">
        <v>57</v>
      </c>
      <c r="G908" t="s">
        <v>59</v>
      </c>
      <c r="H908" s="24">
        <v>33612</v>
      </c>
      <c r="I908">
        <v>111299</v>
      </c>
      <c r="J908">
        <v>0.12</v>
      </c>
      <c r="K908">
        <v>124655</v>
      </c>
      <c r="L908" t="s">
        <v>60</v>
      </c>
      <c r="M908" t="s">
        <v>88</v>
      </c>
      <c r="N908" s="25"/>
      <c r="O908">
        <v>0</v>
      </c>
    </row>
    <row r="909" spans="1:15">
      <c r="A909" t="s">
        <v>1028</v>
      </c>
      <c r="B909" t="s">
        <v>87</v>
      </c>
      <c r="C909" t="s">
        <v>105</v>
      </c>
      <c r="D909" t="s">
        <v>57</v>
      </c>
      <c r="E909" t="s">
        <v>58</v>
      </c>
      <c r="F909">
        <v>43</v>
      </c>
      <c r="G909" t="s">
        <v>95</v>
      </c>
      <c r="H909" s="24">
        <v>43659</v>
      </c>
      <c r="I909">
        <v>41545</v>
      </c>
      <c r="J909">
        <v>0</v>
      </c>
      <c r="K909">
        <v>41545</v>
      </c>
      <c r="L909" t="s">
        <v>60</v>
      </c>
      <c r="M909" t="s">
        <v>88</v>
      </c>
      <c r="N909" s="25"/>
      <c r="O909">
        <v>0</v>
      </c>
    </row>
    <row r="910" spans="1:15">
      <c r="A910" t="s">
        <v>1029</v>
      </c>
      <c r="B910" t="s">
        <v>202</v>
      </c>
      <c r="C910" t="s">
        <v>56</v>
      </c>
      <c r="D910" t="s">
        <v>64</v>
      </c>
      <c r="E910" t="s">
        <v>65</v>
      </c>
      <c r="F910">
        <v>26</v>
      </c>
      <c r="G910" t="s">
        <v>76</v>
      </c>
      <c r="H910" s="24">
        <v>43569</v>
      </c>
      <c r="I910">
        <v>74467</v>
      </c>
      <c r="J910">
        <v>0</v>
      </c>
      <c r="K910">
        <v>74467</v>
      </c>
      <c r="L910" t="s">
        <v>60</v>
      </c>
      <c r="M910" t="s">
        <v>110</v>
      </c>
      <c r="N910" s="25">
        <v>44211</v>
      </c>
      <c r="O910">
        <v>1</v>
      </c>
    </row>
    <row r="911" spans="1:15">
      <c r="A911" t="s">
        <v>1030</v>
      </c>
      <c r="B911" t="s">
        <v>85</v>
      </c>
      <c r="C911" t="s">
        <v>90</v>
      </c>
      <c r="D911" t="s">
        <v>57</v>
      </c>
      <c r="E911" t="s">
        <v>65</v>
      </c>
      <c r="F911">
        <v>44</v>
      </c>
      <c r="G911" t="s">
        <v>95</v>
      </c>
      <c r="H911" s="24">
        <v>37296</v>
      </c>
      <c r="I911">
        <v>117545</v>
      </c>
      <c r="J911">
        <v>0.06</v>
      </c>
      <c r="K911">
        <v>124598</v>
      </c>
      <c r="L911" t="s">
        <v>60</v>
      </c>
      <c r="M911" t="s">
        <v>79</v>
      </c>
      <c r="N911" s="25"/>
      <c r="O911">
        <v>0</v>
      </c>
    </row>
    <row r="912" spans="1:15">
      <c r="A912" t="s">
        <v>1031</v>
      </c>
      <c r="B912" t="s">
        <v>85</v>
      </c>
      <c r="C912" t="s">
        <v>94</v>
      </c>
      <c r="D912" t="s">
        <v>71</v>
      </c>
      <c r="E912" t="s">
        <v>65</v>
      </c>
      <c r="F912">
        <v>50</v>
      </c>
      <c r="G912" t="s">
        <v>72</v>
      </c>
      <c r="H912" s="24">
        <v>40983</v>
      </c>
      <c r="I912">
        <v>117226</v>
      </c>
      <c r="J912">
        <v>0.08</v>
      </c>
      <c r="K912">
        <v>126604</v>
      </c>
      <c r="L912" t="s">
        <v>60</v>
      </c>
      <c r="M912" t="s">
        <v>79</v>
      </c>
      <c r="N912" s="25"/>
      <c r="O912">
        <v>0</v>
      </c>
    </row>
    <row r="913" spans="1:15">
      <c r="A913" t="s">
        <v>1032</v>
      </c>
      <c r="B913" t="s">
        <v>87</v>
      </c>
      <c r="C913" t="s">
        <v>90</v>
      </c>
      <c r="D913" t="s">
        <v>83</v>
      </c>
      <c r="E913" t="s">
        <v>58</v>
      </c>
      <c r="F913">
        <v>26</v>
      </c>
      <c r="G913" t="s">
        <v>76</v>
      </c>
      <c r="H913" s="24">
        <v>43489</v>
      </c>
      <c r="I913">
        <v>55767</v>
      </c>
      <c r="J913">
        <v>0</v>
      </c>
      <c r="K913">
        <v>55767</v>
      </c>
      <c r="L913" t="s">
        <v>60</v>
      </c>
      <c r="M913" t="s">
        <v>79</v>
      </c>
      <c r="N913" s="25"/>
      <c r="O913">
        <v>0</v>
      </c>
    </row>
    <row r="914" spans="1:15">
      <c r="A914" t="s">
        <v>1033</v>
      </c>
      <c r="B914" t="s">
        <v>132</v>
      </c>
      <c r="C914" t="s">
        <v>82</v>
      </c>
      <c r="D914" t="s">
        <v>64</v>
      </c>
      <c r="E914" t="s">
        <v>58</v>
      </c>
      <c r="F914">
        <v>29</v>
      </c>
      <c r="G914" t="s">
        <v>76</v>
      </c>
      <c r="H914" s="24">
        <v>42691</v>
      </c>
      <c r="I914">
        <v>60930</v>
      </c>
      <c r="J914">
        <v>0</v>
      </c>
      <c r="K914">
        <v>60930</v>
      </c>
      <c r="L914" t="s">
        <v>60</v>
      </c>
      <c r="M914" t="s">
        <v>91</v>
      </c>
      <c r="N914" s="25"/>
      <c r="O914">
        <v>0</v>
      </c>
    </row>
    <row r="915" spans="1:15">
      <c r="A915" t="s">
        <v>1034</v>
      </c>
      <c r="B915" t="s">
        <v>69</v>
      </c>
      <c r="C915" t="s">
        <v>82</v>
      </c>
      <c r="D915" t="s">
        <v>71</v>
      </c>
      <c r="E915" t="s">
        <v>58</v>
      </c>
      <c r="F915">
        <v>27</v>
      </c>
      <c r="G915" t="s">
        <v>76</v>
      </c>
      <c r="H915" s="24">
        <v>43397</v>
      </c>
      <c r="I915">
        <v>154973</v>
      </c>
      <c r="J915">
        <v>0.29</v>
      </c>
      <c r="K915">
        <v>199915</v>
      </c>
      <c r="L915" t="s">
        <v>113</v>
      </c>
      <c r="M915" t="s">
        <v>184</v>
      </c>
      <c r="N915" s="25"/>
      <c r="O915">
        <v>0</v>
      </c>
    </row>
    <row r="916" spans="1:15">
      <c r="A916" t="s">
        <v>1035</v>
      </c>
      <c r="B916" t="s">
        <v>178</v>
      </c>
      <c r="C916" t="s">
        <v>56</v>
      </c>
      <c r="D916" t="s">
        <v>64</v>
      </c>
      <c r="E916" t="s">
        <v>58</v>
      </c>
      <c r="F916">
        <v>33</v>
      </c>
      <c r="G916" t="s">
        <v>76</v>
      </c>
      <c r="H916" s="24">
        <v>43029</v>
      </c>
      <c r="I916">
        <v>69332</v>
      </c>
      <c r="J916">
        <v>0</v>
      </c>
      <c r="K916">
        <v>69332</v>
      </c>
      <c r="L916" t="s">
        <v>60</v>
      </c>
      <c r="M916" t="s">
        <v>110</v>
      </c>
      <c r="N916" s="25"/>
      <c r="O916">
        <v>0</v>
      </c>
    </row>
    <row r="917" spans="1:15">
      <c r="A917" t="s">
        <v>1036</v>
      </c>
      <c r="B917" t="s">
        <v>97</v>
      </c>
      <c r="C917" t="s">
        <v>98</v>
      </c>
      <c r="D917" t="s">
        <v>57</v>
      </c>
      <c r="E917" t="s">
        <v>58</v>
      </c>
      <c r="F917">
        <v>59</v>
      </c>
      <c r="G917" t="s">
        <v>59</v>
      </c>
      <c r="H917" s="24">
        <v>36990</v>
      </c>
      <c r="I917">
        <v>119699</v>
      </c>
      <c r="J917">
        <v>0</v>
      </c>
      <c r="K917">
        <v>119699</v>
      </c>
      <c r="L917" t="s">
        <v>66</v>
      </c>
      <c r="M917" t="s">
        <v>101</v>
      </c>
      <c r="N917" s="25"/>
      <c r="O917">
        <v>0</v>
      </c>
    </row>
    <row r="918" spans="1:15">
      <c r="A918" t="s">
        <v>1037</v>
      </c>
      <c r="B918" t="s">
        <v>69</v>
      </c>
      <c r="C918" t="s">
        <v>94</v>
      </c>
      <c r="D918" t="s">
        <v>71</v>
      </c>
      <c r="E918" t="s">
        <v>58</v>
      </c>
      <c r="F918">
        <v>40</v>
      </c>
      <c r="G918" t="s">
        <v>95</v>
      </c>
      <c r="H918" s="24">
        <v>44094</v>
      </c>
      <c r="I918">
        <v>198176</v>
      </c>
      <c r="J918">
        <v>0.17</v>
      </c>
      <c r="K918">
        <v>231866</v>
      </c>
      <c r="L918" t="s">
        <v>113</v>
      </c>
      <c r="M918" t="s">
        <v>114</v>
      </c>
      <c r="N918" s="25"/>
      <c r="O918">
        <v>0</v>
      </c>
    </row>
    <row r="919" spans="1:15">
      <c r="A919" t="s">
        <v>1038</v>
      </c>
      <c r="B919" t="s">
        <v>132</v>
      </c>
      <c r="C919" t="s">
        <v>70</v>
      </c>
      <c r="D919" t="s">
        <v>57</v>
      </c>
      <c r="E919" t="s">
        <v>58</v>
      </c>
      <c r="F919">
        <v>45</v>
      </c>
      <c r="G919" t="s">
        <v>72</v>
      </c>
      <c r="H919" s="24">
        <v>41127</v>
      </c>
      <c r="I919">
        <v>58586</v>
      </c>
      <c r="J919">
        <v>0</v>
      </c>
      <c r="K919">
        <v>58586</v>
      </c>
      <c r="L919" t="s">
        <v>113</v>
      </c>
      <c r="M919" t="s">
        <v>184</v>
      </c>
      <c r="N919" s="25"/>
      <c r="O919">
        <v>0</v>
      </c>
    </row>
    <row r="920" spans="1:15">
      <c r="A920" t="s">
        <v>1039</v>
      </c>
      <c r="B920" t="s">
        <v>225</v>
      </c>
      <c r="C920" t="s">
        <v>82</v>
      </c>
      <c r="D920" t="s">
        <v>83</v>
      </c>
      <c r="E920" t="s">
        <v>65</v>
      </c>
      <c r="F920">
        <v>38</v>
      </c>
      <c r="G920" t="s">
        <v>95</v>
      </c>
      <c r="H920" s="24">
        <v>40875</v>
      </c>
      <c r="I920">
        <v>74010</v>
      </c>
      <c r="J920">
        <v>0</v>
      </c>
      <c r="K920">
        <v>74010</v>
      </c>
      <c r="L920" t="s">
        <v>60</v>
      </c>
      <c r="M920" t="s">
        <v>73</v>
      </c>
      <c r="N920" s="25"/>
      <c r="O920">
        <v>0</v>
      </c>
    </row>
    <row r="921" spans="1:15">
      <c r="A921" t="s">
        <v>1040</v>
      </c>
      <c r="B921" t="s">
        <v>225</v>
      </c>
      <c r="C921" t="s">
        <v>82</v>
      </c>
      <c r="D921" t="s">
        <v>71</v>
      </c>
      <c r="E921" t="s">
        <v>65</v>
      </c>
      <c r="F921">
        <v>32</v>
      </c>
      <c r="G921" t="s">
        <v>76</v>
      </c>
      <c r="H921" s="24">
        <v>43864</v>
      </c>
      <c r="I921">
        <v>96598</v>
      </c>
      <c r="J921">
        <v>0</v>
      </c>
      <c r="K921">
        <v>96598</v>
      </c>
      <c r="L921" t="s">
        <v>60</v>
      </c>
      <c r="M921" t="s">
        <v>79</v>
      </c>
      <c r="N921" s="25"/>
      <c r="O921">
        <v>0</v>
      </c>
    </row>
    <row r="922" spans="1:15">
      <c r="A922" t="s">
        <v>1041</v>
      </c>
      <c r="B922" t="s">
        <v>85</v>
      </c>
      <c r="C922" t="s">
        <v>82</v>
      </c>
      <c r="D922" t="s">
        <v>71</v>
      </c>
      <c r="E922" t="s">
        <v>58</v>
      </c>
      <c r="F922">
        <v>64</v>
      </c>
      <c r="G922" t="s">
        <v>59</v>
      </c>
      <c r="H922" s="24">
        <v>37762</v>
      </c>
      <c r="I922">
        <v>106444</v>
      </c>
      <c r="J922">
        <v>0.05</v>
      </c>
      <c r="K922">
        <v>111766</v>
      </c>
      <c r="L922" t="s">
        <v>60</v>
      </c>
      <c r="M922" t="s">
        <v>79</v>
      </c>
      <c r="N922" s="25"/>
      <c r="O922">
        <v>0</v>
      </c>
    </row>
    <row r="923" spans="1:15">
      <c r="A923" t="s">
        <v>1042</v>
      </c>
      <c r="B923" t="s">
        <v>69</v>
      </c>
      <c r="C923" t="s">
        <v>70</v>
      </c>
      <c r="D923" t="s">
        <v>83</v>
      </c>
      <c r="E923" t="s">
        <v>65</v>
      </c>
      <c r="F923">
        <v>31</v>
      </c>
      <c r="G923" t="s">
        <v>76</v>
      </c>
      <c r="H923" s="24">
        <v>42957</v>
      </c>
      <c r="I923">
        <v>156931</v>
      </c>
      <c r="J923">
        <v>0.28</v>
      </c>
      <c r="K923">
        <v>200872</v>
      </c>
      <c r="L923" t="s">
        <v>60</v>
      </c>
      <c r="M923" t="s">
        <v>61</v>
      </c>
      <c r="N923" s="25"/>
      <c r="O923">
        <v>0</v>
      </c>
    </row>
    <row r="924" spans="1:15">
      <c r="A924" t="s">
        <v>1043</v>
      </c>
      <c r="B924" t="s">
        <v>69</v>
      </c>
      <c r="C924" t="s">
        <v>105</v>
      </c>
      <c r="D924" t="s">
        <v>57</v>
      </c>
      <c r="E924" t="s">
        <v>58</v>
      </c>
      <c r="F924">
        <v>43</v>
      </c>
      <c r="G924" t="s">
        <v>95</v>
      </c>
      <c r="H924" s="24">
        <v>41928</v>
      </c>
      <c r="I924">
        <v>171360</v>
      </c>
      <c r="J924">
        <v>0.23</v>
      </c>
      <c r="K924">
        <v>210773</v>
      </c>
      <c r="L924" t="s">
        <v>113</v>
      </c>
      <c r="M924" t="s">
        <v>114</v>
      </c>
      <c r="N924" s="25"/>
      <c r="O924">
        <v>0</v>
      </c>
    </row>
    <row r="925" spans="1:15">
      <c r="A925" t="s">
        <v>1044</v>
      </c>
      <c r="B925" t="s">
        <v>136</v>
      </c>
      <c r="C925" t="s">
        <v>56</v>
      </c>
      <c r="D925" t="s">
        <v>57</v>
      </c>
      <c r="E925" t="s">
        <v>58</v>
      </c>
      <c r="F925">
        <v>45</v>
      </c>
      <c r="G925" t="s">
        <v>72</v>
      </c>
      <c r="H925" s="24">
        <v>39908</v>
      </c>
      <c r="I925">
        <v>64505</v>
      </c>
      <c r="J925">
        <v>0</v>
      </c>
      <c r="K925">
        <v>64505</v>
      </c>
      <c r="L925" t="s">
        <v>60</v>
      </c>
      <c r="M925" t="s">
        <v>88</v>
      </c>
      <c r="N925" s="25"/>
      <c r="O925">
        <v>0</v>
      </c>
    </row>
    <row r="926" spans="1:15">
      <c r="A926" t="s">
        <v>1045</v>
      </c>
      <c r="B926" t="s">
        <v>125</v>
      </c>
      <c r="C926" t="s">
        <v>98</v>
      </c>
      <c r="D926" t="s">
        <v>71</v>
      </c>
      <c r="E926" t="s">
        <v>65</v>
      </c>
      <c r="F926">
        <v>32</v>
      </c>
      <c r="G926" t="s">
        <v>76</v>
      </c>
      <c r="H926" s="24">
        <v>44478</v>
      </c>
      <c r="I926">
        <v>102298</v>
      </c>
      <c r="J926">
        <v>0.13</v>
      </c>
      <c r="K926">
        <v>115597</v>
      </c>
      <c r="L926" t="s">
        <v>113</v>
      </c>
      <c r="M926" t="s">
        <v>117</v>
      </c>
      <c r="N926" s="25"/>
      <c r="O926">
        <v>0</v>
      </c>
    </row>
    <row r="927" spans="1:15">
      <c r="A927" t="s">
        <v>1046</v>
      </c>
      <c r="B927" t="s">
        <v>55</v>
      </c>
      <c r="C927" t="s">
        <v>82</v>
      </c>
      <c r="D927" t="s">
        <v>83</v>
      </c>
      <c r="E927" t="s">
        <v>58</v>
      </c>
      <c r="F927">
        <v>27</v>
      </c>
      <c r="G927" t="s">
        <v>76</v>
      </c>
      <c r="H927" s="24">
        <v>43721</v>
      </c>
      <c r="I927">
        <v>133297</v>
      </c>
      <c r="J927">
        <v>0.13</v>
      </c>
      <c r="K927">
        <v>150626</v>
      </c>
      <c r="L927" t="s">
        <v>113</v>
      </c>
      <c r="M927" t="s">
        <v>117</v>
      </c>
      <c r="N927" s="25"/>
      <c r="O927">
        <v>0</v>
      </c>
    </row>
    <row r="928" spans="1:15">
      <c r="A928" t="s">
        <v>1047</v>
      </c>
      <c r="B928" t="s">
        <v>55</v>
      </c>
      <c r="C928" t="s">
        <v>94</v>
      </c>
      <c r="D928" t="s">
        <v>71</v>
      </c>
      <c r="E928" t="s">
        <v>58</v>
      </c>
      <c r="F928">
        <v>25</v>
      </c>
      <c r="G928" t="s">
        <v>76</v>
      </c>
      <c r="H928" s="24">
        <v>44272</v>
      </c>
      <c r="I928">
        <v>155080</v>
      </c>
      <c r="J928">
        <v>0.1</v>
      </c>
      <c r="K928">
        <v>170588</v>
      </c>
      <c r="L928" t="s">
        <v>60</v>
      </c>
      <c r="M928" t="s">
        <v>91</v>
      </c>
      <c r="N928" s="25"/>
      <c r="O928">
        <v>0</v>
      </c>
    </row>
    <row r="929" spans="1:15">
      <c r="A929" t="s">
        <v>1048</v>
      </c>
      <c r="B929" t="s">
        <v>78</v>
      </c>
      <c r="C929" t="s">
        <v>82</v>
      </c>
      <c r="D929" t="s">
        <v>71</v>
      </c>
      <c r="E929" t="s">
        <v>65</v>
      </c>
      <c r="F929">
        <v>31</v>
      </c>
      <c r="G929" t="s">
        <v>76</v>
      </c>
      <c r="H929" s="24">
        <v>43325</v>
      </c>
      <c r="I929">
        <v>81828</v>
      </c>
      <c r="J929">
        <v>0</v>
      </c>
      <c r="K929">
        <v>81828</v>
      </c>
      <c r="L929" t="s">
        <v>60</v>
      </c>
      <c r="M929" t="s">
        <v>88</v>
      </c>
      <c r="N929" s="25"/>
      <c r="O929">
        <v>0</v>
      </c>
    </row>
    <row r="930" spans="1:15">
      <c r="A930" t="s">
        <v>1049</v>
      </c>
      <c r="B930" t="s">
        <v>55</v>
      </c>
      <c r="C930" t="s">
        <v>105</v>
      </c>
      <c r="D930" t="s">
        <v>83</v>
      </c>
      <c r="E930" t="s">
        <v>58</v>
      </c>
      <c r="F930">
        <v>65</v>
      </c>
      <c r="G930" t="s">
        <v>107</v>
      </c>
      <c r="H930" s="24">
        <v>36823</v>
      </c>
      <c r="I930">
        <v>149417</v>
      </c>
      <c r="J930">
        <v>0.13</v>
      </c>
      <c r="K930">
        <v>168841</v>
      </c>
      <c r="L930" t="s">
        <v>66</v>
      </c>
      <c r="M930" t="s">
        <v>138</v>
      </c>
      <c r="N930" s="25"/>
      <c r="O930">
        <v>0</v>
      </c>
    </row>
    <row r="931" spans="1:15">
      <c r="A931" t="s">
        <v>1050</v>
      </c>
      <c r="B931" t="s">
        <v>85</v>
      </c>
      <c r="C931" t="s">
        <v>82</v>
      </c>
      <c r="D931" t="s">
        <v>83</v>
      </c>
      <c r="E931" t="s">
        <v>65</v>
      </c>
      <c r="F931">
        <v>50</v>
      </c>
      <c r="G931" t="s">
        <v>72</v>
      </c>
      <c r="H931" s="24">
        <v>41024</v>
      </c>
      <c r="I931">
        <v>113269</v>
      </c>
      <c r="J931">
        <v>0.09</v>
      </c>
      <c r="K931">
        <v>123463</v>
      </c>
      <c r="L931" t="s">
        <v>113</v>
      </c>
      <c r="M931" t="s">
        <v>184</v>
      </c>
      <c r="N931" s="25"/>
      <c r="O931">
        <v>0</v>
      </c>
    </row>
    <row r="932" spans="1:15">
      <c r="A932" t="s">
        <v>1051</v>
      </c>
      <c r="B932" t="s">
        <v>55</v>
      </c>
      <c r="C932" t="s">
        <v>56</v>
      </c>
      <c r="D932" t="s">
        <v>64</v>
      </c>
      <c r="E932" t="s">
        <v>65</v>
      </c>
      <c r="F932">
        <v>46</v>
      </c>
      <c r="G932" t="s">
        <v>72</v>
      </c>
      <c r="H932" s="24">
        <v>43085</v>
      </c>
      <c r="I932">
        <v>136716</v>
      </c>
      <c r="J932">
        <v>0.12</v>
      </c>
      <c r="K932">
        <v>153122</v>
      </c>
      <c r="L932" t="s">
        <v>60</v>
      </c>
      <c r="M932" t="s">
        <v>91</v>
      </c>
      <c r="N932" s="25"/>
      <c r="O932">
        <v>0</v>
      </c>
    </row>
    <row r="933" spans="1:15">
      <c r="A933" t="s">
        <v>1052</v>
      </c>
      <c r="B933" t="s">
        <v>55</v>
      </c>
      <c r="C933" t="s">
        <v>82</v>
      </c>
      <c r="D933" t="s">
        <v>71</v>
      </c>
      <c r="E933" t="s">
        <v>65</v>
      </c>
      <c r="F933">
        <v>54</v>
      </c>
      <c r="G933" t="s">
        <v>72</v>
      </c>
      <c r="H933" s="24">
        <v>40836</v>
      </c>
      <c r="I933">
        <v>122644</v>
      </c>
      <c r="J933">
        <v>0.12</v>
      </c>
      <c r="K933">
        <v>137361</v>
      </c>
      <c r="L933" t="s">
        <v>60</v>
      </c>
      <c r="M933" t="s">
        <v>91</v>
      </c>
      <c r="N933" s="25"/>
      <c r="O933">
        <v>0</v>
      </c>
    </row>
    <row r="934" spans="1:15">
      <c r="A934" t="s">
        <v>1053</v>
      </c>
      <c r="B934" t="s">
        <v>85</v>
      </c>
      <c r="C934" t="s">
        <v>82</v>
      </c>
      <c r="D934" t="s">
        <v>57</v>
      </c>
      <c r="E934" t="s">
        <v>58</v>
      </c>
      <c r="F934">
        <v>50</v>
      </c>
      <c r="G934" t="s">
        <v>72</v>
      </c>
      <c r="H934" s="24">
        <v>36653</v>
      </c>
      <c r="I934">
        <v>106428</v>
      </c>
      <c r="J934">
        <v>0.07</v>
      </c>
      <c r="K934">
        <v>113878</v>
      </c>
      <c r="L934" t="s">
        <v>60</v>
      </c>
      <c r="M934" t="s">
        <v>73</v>
      </c>
      <c r="N934" s="25"/>
      <c r="O934">
        <v>0</v>
      </c>
    </row>
    <row r="935" spans="1:15">
      <c r="A935" t="s">
        <v>1054</v>
      </c>
      <c r="B935" t="s">
        <v>104</v>
      </c>
      <c r="C935" t="s">
        <v>70</v>
      </c>
      <c r="D935" t="s">
        <v>83</v>
      </c>
      <c r="E935" t="s">
        <v>65</v>
      </c>
      <c r="F935">
        <v>36</v>
      </c>
      <c r="G935" t="s">
        <v>95</v>
      </c>
      <c r="H935" s="24">
        <v>39830</v>
      </c>
      <c r="I935">
        <v>238236</v>
      </c>
      <c r="J935">
        <v>0.31</v>
      </c>
      <c r="K935">
        <v>312089</v>
      </c>
      <c r="L935" t="s">
        <v>60</v>
      </c>
      <c r="M935" t="s">
        <v>61</v>
      </c>
      <c r="N935" s="25"/>
      <c r="O935">
        <v>0</v>
      </c>
    </row>
    <row r="936" spans="1:15">
      <c r="A936" t="s">
        <v>1055</v>
      </c>
      <c r="B936" t="s">
        <v>69</v>
      </c>
      <c r="C936" t="s">
        <v>70</v>
      </c>
      <c r="D936" t="s">
        <v>83</v>
      </c>
      <c r="E936" t="s">
        <v>58</v>
      </c>
      <c r="F936">
        <v>64</v>
      </c>
      <c r="G936" t="s">
        <v>59</v>
      </c>
      <c r="H936" s="24">
        <v>41264</v>
      </c>
      <c r="I936">
        <v>153253</v>
      </c>
      <c r="J936">
        <v>0.24</v>
      </c>
      <c r="K936">
        <v>190034</v>
      </c>
      <c r="L936" t="s">
        <v>60</v>
      </c>
      <c r="M936" t="s">
        <v>91</v>
      </c>
      <c r="N936" s="25"/>
      <c r="O936">
        <v>0</v>
      </c>
    </row>
    <row r="937" spans="1:15">
      <c r="A937" t="s">
        <v>1056</v>
      </c>
      <c r="B937" t="s">
        <v>85</v>
      </c>
      <c r="C937" t="s">
        <v>90</v>
      </c>
      <c r="D937" t="s">
        <v>64</v>
      </c>
      <c r="E937" t="s">
        <v>58</v>
      </c>
      <c r="F937">
        <v>34</v>
      </c>
      <c r="G937" t="s">
        <v>76</v>
      </c>
      <c r="H937" s="24">
        <v>41915</v>
      </c>
      <c r="I937">
        <v>103707</v>
      </c>
      <c r="J937">
        <v>0.09</v>
      </c>
      <c r="K937">
        <v>113041</v>
      </c>
      <c r="L937" t="s">
        <v>60</v>
      </c>
      <c r="M937" t="s">
        <v>110</v>
      </c>
      <c r="N937" s="25"/>
      <c r="O937">
        <v>0</v>
      </c>
    </row>
    <row r="938" spans="1:15">
      <c r="A938" t="s">
        <v>1057</v>
      </c>
      <c r="B938" t="s">
        <v>104</v>
      </c>
      <c r="C938" t="s">
        <v>90</v>
      </c>
      <c r="D938" t="s">
        <v>71</v>
      </c>
      <c r="E938" t="s">
        <v>58</v>
      </c>
      <c r="F938">
        <v>41</v>
      </c>
      <c r="G938" t="s">
        <v>95</v>
      </c>
      <c r="H938" s="24">
        <v>41130</v>
      </c>
      <c r="I938">
        <v>245360</v>
      </c>
      <c r="J938">
        <v>0.37</v>
      </c>
      <c r="K938">
        <v>336143</v>
      </c>
      <c r="L938" t="s">
        <v>60</v>
      </c>
      <c r="M938" t="s">
        <v>91</v>
      </c>
      <c r="N938" s="25"/>
      <c r="O938">
        <v>0</v>
      </c>
    </row>
    <row r="939" spans="1:15">
      <c r="A939" t="s">
        <v>1058</v>
      </c>
      <c r="B939" t="s">
        <v>216</v>
      </c>
      <c r="C939" t="s">
        <v>98</v>
      </c>
      <c r="D939" t="s">
        <v>71</v>
      </c>
      <c r="E939" t="s">
        <v>65</v>
      </c>
      <c r="F939">
        <v>25</v>
      </c>
      <c r="G939" t="s">
        <v>76</v>
      </c>
      <c r="H939" s="24">
        <v>44385</v>
      </c>
      <c r="I939">
        <v>67275</v>
      </c>
      <c r="J939">
        <v>0</v>
      </c>
      <c r="K939">
        <v>67275</v>
      </c>
      <c r="L939" t="s">
        <v>60</v>
      </c>
      <c r="M939" t="s">
        <v>110</v>
      </c>
      <c r="N939" s="25"/>
      <c r="O939">
        <v>0</v>
      </c>
    </row>
    <row r="940" spans="1:15">
      <c r="A940" t="s">
        <v>1059</v>
      </c>
      <c r="B940" t="s">
        <v>85</v>
      </c>
      <c r="C940" t="s">
        <v>56</v>
      </c>
      <c r="D940" t="s">
        <v>64</v>
      </c>
      <c r="E940" t="s">
        <v>65</v>
      </c>
      <c r="F940">
        <v>45</v>
      </c>
      <c r="G940" t="s">
        <v>72</v>
      </c>
      <c r="H940" s="24">
        <v>42026</v>
      </c>
      <c r="I940">
        <v>101288</v>
      </c>
      <c r="J940">
        <v>0.1</v>
      </c>
      <c r="K940">
        <v>111417</v>
      </c>
      <c r="L940" t="s">
        <v>60</v>
      </c>
      <c r="M940" t="s">
        <v>79</v>
      </c>
      <c r="N940" s="25"/>
      <c r="O940">
        <v>0</v>
      </c>
    </row>
    <row r="941" spans="1:15">
      <c r="A941" t="s">
        <v>1060</v>
      </c>
      <c r="B941" t="s">
        <v>69</v>
      </c>
      <c r="C941" t="s">
        <v>94</v>
      </c>
      <c r="D941" t="s">
        <v>71</v>
      </c>
      <c r="E941" t="s">
        <v>58</v>
      </c>
      <c r="F941">
        <v>52</v>
      </c>
      <c r="G941" t="s">
        <v>72</v>
      </c>
      <c r="H941" s="24">
        <v>34209</v>
      </c>
      <c r="I941">
        <v>177443</v>
      </c>
      <c r="J941">
        <v>0.25</v>
      </c>
      <c r="K941">
        <v>221804</v>
      </c>
      <c r="L941" t="s">
        <v>113</v>
      </c>
      <c r="M941" t="s">
        <v>184</v>
      </c>
      <c r="N941" s="25"/>
      <c r="O941">
        <v>0</v>
      </c>
    </row>
    <row r="942" spans="1:15">
      <c r="A942" t="s">
        <v>1061</v>
      </c>
      <c r="B942" t="s">
        <v>178</v>
      </c>
      <c r="C942" t="s">
        <v>56</v>
      </c>
      <c r="D942" t="s">
        <v>64</v>
      </c>
      <c r="E942" t="s">
        <v>58</v>
      </c>
      <c r="F942">
        <v>37</v>
      </c>
      <c r="G942" t="s">
        <v>95</v>
      </c>
      <c r="H942" s="24">
        <v>42487</v>
      </c>
      <c r="I942">
        <v>91400</v>
      </c>
      <c r="J942">
        <v>0</v>
      </c>
      <c r="K942">
        <v>91400</v>
      </c>
      <c r="L942" t="s">
        <v>60</v>
      </c>
      <c r="M942" t="s">
        <v>73</v>
      </c>
      <c r="N942" s="25"/>
      <c r="O942">
        <v>0</v>
      </c>
    </row>
    <row r="943" spans="1:15">
      <c r="A943" t="s">
        <v>1062</v>
      </c>
      <c r="B943" t="s">
        <v>104</v>
      </c>
      <c r="C943" t="s">
        <v>94</v>
      </c>
      <c r="D943" t="s">
        <v>83</v>
      </c>
      <c r="E943" t="s">
        <v>65</v>
      </c>
      <c r="F943">
        <v>44</v>
      </c>
      <c r="G943" t="s">
        <v>95</v>
      </c>
      <c r="H943" s="24">
        <v>39335</v>
      </c>
      <c r="I943">
        <v>181247</v>
      </c>
      <c r="J943">
        <v>0.33</v>
      </c>
      <c r="K943">
        <v>241059</v>
      </c>
      <c r="L943" t="s">
        <v>113</v>
      </c>
      <c r="M943" t="s">
        <v>184</v>
      </c>
      <c r="N943" s="25"/>
      <c r="O943">
        <v>0</v>
      </c>
    </row>
    <row r="944" spans="1:15">
      <c r="A944" t="s">
        <v>1063</v>
      </c>
      <c r="B944" t="s">
        <v>55</v>
      </c>
      <c r="C944" t="s">
        <v>94</v>
      </c>
      <c r="D944" t="s">
        <v>57</v>
      </c>
      <c r="E944" t="s">
        <v>65</v>
      </c>
      <c r="F944">
        <v>42</v>
      </c>
      <c r="G944" t="s">
        <v>95</v>
      </c>
      <c r="H944" s="24">
        <v>37914</v>
      </c>
      <c r="I944">
        <v>135558</v>
      </c>
      <c r="J944">
        <v>0.14</v>
      </c>
      <c r="K944">
        <v>154536</v>
      </c>
      <c r="L944" t="s">
        <v>60</v>
      </c>
      <c r="M944" t="s">
        <v>79</v>
      </c>
      <c r="N944" s="25"/>
      <c r="O944">
        <v>0</v>
      </c>
    </row>
    <row r="945" spans="1:15">
      <c r="A945" t="s">
        <v>1064</v>
      </c>
      <c r="B945" t="s">
        <v>87</v>
      </c>
      <c r="C945" t="s">
        <v>90</v>
      </c>
      <c r="D945" t="s">
        <v>71</v>
      </c>
      <c r="E945" t="s">
        <v>65</v>
      </c>
      <c r="F945">
        <v>49</v>
      </c>
      <c r="G945" t="s">
        <v>72</v>
      </c>
      <c r="H945" s="24">
        <v>40894</v>
      </c>
      <c r="I945">
        <v>56878</v>
      </c>
      <c r="J945">
        <v>0</v>
      </c>
      <c r="K945">
        <v>56878</v>
      </c>
      <c r="L945" t="s">
        <v>60</v>
      </c>
      <c r="M945" t="s">
        <v>61</v>
      </c>
      <c r="N945" s="25"/>
      <c r="O945">
        <v>0</v>
      </c>
    </row>
    <row r="946" spans="1:15">
      <c r="A946" t="s">
        <v>1065</v>
      </c>
      <c r="B946" t="s">
        <v>303</v>
      </c>
      <c r="C946" t="s">
        <v>56</v>
      </c>
      <c r="D946" t="s">
        <v>71</v>
      </c>
      <c r="E946" t="s">
        <v>65</v>
      </c>
      <c r="F946">
        <v>34</v>
      </c>
      <c r="G946" t="s">
        <v>76</v>
      </c>
      <c r="H946" s="24">
        <v>43728</v>
      </c>
      <c r="I946">
        <v>94735</v>
      </c>
      <c r="J946">
        <v>0</v>
      </c>
      <c r="K946">
        <v>94735</v>
      </c>
      <c r="L946" t="s">
        <v>66</v>
      </c>
      <c r="M946" t="s">
        <v>126</v>
      </c>
      <c r="N946" s="25"/>
      <c r="O946">
        <v>0</v>
      </c>
    </row>
    <row r="947" spans="1:15">
      <c r="A947" t="s">
        <v>1066</v>
      </c>
      <c r="B947" t="s">
        <v>132</v>
      </c>
      <c r="C947" t="s">
        <v>82</v>
      </c>
      <c r="D947" t="s">
        <v>64</v>
      </c>
      <c r="E947" t="s">
        <v>65</v>
      </c>
      <c r="F947">
        <v>39</v>
      </c>
      <c r="G947" t="s">
        <v>95</v>
      </c>
      <c r="H947" s="24">
        <v>39229</v>
      </c>
      <c r="I947">
        <v>51234</v>
      </c>
      <c r="J947">
        <v>0</v>
      </c>
      <c r="K947">
        <v>51234</v>
      </c>
      <c r="L947" t="s">
        <v>60</v>
      </c>
      <c r="M947" t="s">
        <v>61</v>
      </c>
      <c r="N947" s="25"/>
      <c r="O947">
        <v>0</v>
      </c>
    </row>
    <row r="948" spans="1:15">
      <c r="A948" t="s">
        <v>1067</v>
      </c>
      <c r="B948" t="s">
        <v>104</v>
      </c>
      <c r="C948" t="s">
        <v>94</v>
      </c>
      <c r="D948" t="s">
        <v>71</v>
      </c>
      <c r="E948" t="s">
        <v>65</v>
      </c>
      <c r="F948">
        <v>31</v>
      </c>
      <c r="G948" t="s">
        <v>76</v>
      </c>
      <c r="H948" s="24">
        <v>42018</v>
      </c>
      <c r="I948">
        <v>230025</v>
      </c>
      <c r="J948">
        <v>0.34</v>
      </c>
      <c r="K948">
        <v>308234</v>
      </c>
      <c r="L948" t="s">
        <v>60</v>
      </c>
      <c r="M948" t="s">
        <v>79</v>
      </c>
      <c r="N948" s="25"/>
      <c r="O948">
        <v>0</v>
      </c>
    </row>
    <row r="949" spans="1:15">
      <c r="A949" t="s">
        <v>1068</v>
      </c>
      <c r="B949" t="s">
        <v>55</v>
      </c>
      <c r="C949" t="s">
        <v>94</v>
      </c>
      <c r="D949" t="s">
        <v>71</v>
      </c>
      <c r="E949" t="s">
        <v>58</v>
      </c>
      <c r="F949">
        <v>36</v>
      </c>
      <c r="G949" t="s">
        <v>95</v>
      </c>
      <c r="H949" s="24">
        <v>40248</v>
      </c>
      <c r="I949">
        <v>134006</v>
      </c>
      <c r="J949">
        <v>0.13</v>
      </c>
      <c r="K949">
        <v>151427</v>
      </c>
      <c r="L949" t="s">
        <v>66</v>
      </c>
      <c r="M949" t="s">
        <v>126</v>
      </c>
      <c r="N949" s="25"/>
      <c r="O949">
        <v>0</v>
      </c>
    </row>
    <row r="950" spans="1:15">
      <c r="A950" t="s">
        <v>1069</v>
      </c>
      <c r="B950" t="s">
        <v>85</v>
      </c>
      <c r="C950" t="s">
        <v>70</v>
      </c>
      <c r="D950" t="s">
        <v>83</v>
      </c>
      <c r="E950" t="s">
        <v>58</v>
      </c>
      <c r="F950">
        <v>61</v>
      </c>
      <c r="G950" t="s">
        <v>59</v>
      </c>
      <c r="H950" s="24">
        <v>40092</v>
      </c>
      <c r="I950">
        <v>103096</v>
      </c>
      <c r="J950">
        <v>0.07</v>
      </c>
      <c r="K950">
        <v>110313</v>
      </c>
      <c r="L950" t="s">
        <v>66</v>
      </c>
      <c r="M950" t="s">
        <v>126</v>
      </c>
      <c r="N950" s="25"/>
      <c r="O950">
        <v>0</v>
      </c>
    </row>
    <row r="951" spans="1:15">
      <c r="A951" t="s">
        <v>1070</v>
      </c>
      <c r="B951" t="s">
        <v>87</v>
      </c>
      <c r="C951" t="s">
        <v>90</v>
      </c>
      <c r="D951" t="s">
        <v>64</v>
      </c>
      <c r="E951" t="s">
        <v>65</v>
      </c>
      <c r="F951">
        <v>29</v>
      </c>
      <c r="G951" t="s">
        <v>76</v>
      </c>
      <c r="H951" s="24">
        <v>42602</v>
      </c>
      <c r="I951">
        <v>58703</v>
      </c>
      <c r="J951">
        <v>0</v>
      </c>
      <c r="K951">
        <v>58703</v>
      </c>
      <c r="L951" t="s">
        <v>60</v>
      </c>
      <c r="M951" t="s">
        <v>110</v>
      </c>
      <c r="N951" s="25"/>
      <c r="O951">
        <v>0</v>
      </c>
    </row>
    <row r="952" spans="1:15">
      <c r="A952" t="s">
        <v>1071</v>
      </c>
      <c r="B952" t="s">
        <v>55</v>
      </c>
      <c r="C952" t="s">
        <v>56</v>
      </c>
      <c r="D952" t="s">
        <v>71</v>
      </c>
      <c r="E952" t="s">
        <v>65</v>
      </c>
      <c r="F952">
        <v>33</v>
      </c>
      <c r="G952" t="s">
        <v>76</v>
      </c>
      <c r="H952" s="24">
        <v>41267</v>
      </c>
      <c r="I952">
        <v>132544</v>
      </c>
      <c r="J952">
        <v>0.1</v>
      </c>
      <c r="K952">
        <v>145798</v>
      </c>
      <c r="L952" t="s">
        <v>113</v>
      </c>
      <c r="M952" t="s">
        <v>117</v>
      </c>
      <c r="N952" s="25"/>
      <c r="O952">
        <v>0</v>
      </c>
    </row>
    <row r="953" spans="1:15">
      <c r="A953" t="s">
        <v>1072</v>
      </c>
      <c r="B953" t="s">
        <v>85</v>
      </c>
      <c r="C953" t="s">
        <v>70</v>
      </c>
      <c r="D953" t="s">
        <v>64</v>
      </c>
      <c r="E953" t="s">
        <v>65</v>
      </c>
      <c r="F953">
        <v>32</v>
      </c>
      <c r="G953" t="s">
        <v>76</v>
      </c>
      <c r="H953" s="24">
        <v>43936</v>
      </c>
      <c r="I953">
        <v>126671</v>
      </c>
      <c r="J953">
        <v>0.09</v>
      </c>
      <c r="K953">
        <v>138071</v>
      </c>
      <c r="L953" t="s">
        <v>60</v>
      </c>
      <c r="M953" t="s">
        <v>88</v>
      </c>
      <c r="N953" s="25"/>
      <c r="O953">
        <v>0</v>
      </c>
    </row>
    <row r="954" spans="1:15">
      <c r="A954" t="s">
        <v>1073</v>
      </c>
      <c r="B954" t="s">
        <v>81</v>
      </c>
      <c r="C954" t="s">
        <v>82</v>
      </c>
      <c r="D954" t="s">
        <v>57</v>
      </c>
      <c r="E954" t="s">
        <v>58</v>
      </c>
      <c r="F954">
        <v>33</v>
      </c>
      <c r="G954" t="s">
        <v>76</v>
      </c>
      <c r="H954" s="24">
        <v>44218</v>
      </c>
      <c r="I954">
        <v>56405</v>
      </c>
      <c r="J954">
        <v>0</v>
      </c>
      <c r="K954">
        <v>56405</v>
      </c>
      <c r="L954" t="s">
        <v>60</v>
      </c>
      <c r="M954" t="s">
        <v>73</v>
      </c>
      <c r="N954" s="25"/>
      <c r="O954">
        <v>0</v>
      </c>
    </row>
    <row r="955" spans="1:15">
      <c r="A955" t="s">
        <v>1074</v>
      </c>
      <c r="B955" t="s">
        <v>75</v>
      </c>
      <c r="C955" t="s">
        <v>56</v>
      </c>
      <c r="D955" t="s">
        <v>71</v>
      </c>
      <c r="E955" t="s">
        <v>58</v>
      </c>
      <c r="F955">
        <v>36</v>
      </c>
      <c r="G955" t="s">
        <v>95</v>
      </c>
      <c r="H955" s="24">
        <v>41972</v>
      </c>
      <c r="I955">
        <v>88730</v>
      </c>
      <c r="J955">
        <v>0.08</v>
      </c>
      <c r="K955">
        <v>95828</v>
      </c>
      <c r="L955" t="s">
        <v>66</v>
      </c>
      <c r="M955" t="s">
        <v>67</v>
      </c>
      <c r="N955" s="25"/>
      <c r="O955">
        <v>0</v>
      </c>
    </row>
    <row r="956" spans="1:15">
      <c r="A956" t="s">
        <v>1075</v>
      </c>
      <c r="B956" t="s">
        <v>132</v>
      </c>
      <c r="C956" t="s">
        <v>70</v>
      </c>
      <c r="D956" t="s">
        <v>64</v>
      </c>
      <c r="E956" t="s">
        <v>65</v>
      </c>
      <c r="F956">
        <v>39</v>
      </c>
      <c r="G956" t="s">
        <v>95</v>
      </c>
      <c r="H956" s="24">
        <v>39708</v>
      </c>
      <c r="I956">
        <v>62861</v>
      </c>
      <c r="J956">
        <v>0</v>
      </c>
      <c r="K956">
        <v>62861</v>
      </c>
      <c r="L956" t="s">
        <v>60</v>
      </c>
      <c r="M956" t="s">
        <v>61</v>
      </c>
      <c r="N956" s="25"/>
      <c r="O956">
        <v>0</v>
      </c>
    </row>
    <row r="957" spans="1:15">
      <c r="A957" t="s">
        <v>1076</v>
      </c>
      <c r="B957" t="s">
        <v>69</v>
      </c>
      <c r="C957" t="s">
        <v>94</v>
      </c>
      <c r="D957" t="s">
        <v>83</v>
      </c>
      <c r="E957" t="s">
        <v>58</v>
      </c>
      <c r="F957">
        <v>53</v>
      </c>
      <c r="G957" t="s">
        <v>72</v>
      </c>
      <c r="H957" s="24">
        <v>38919</v>
      </c>
      <c r="I957">
        <v>151246</v>
      </c>
      <c r="J957">
        <v>0.21</v>
      </c>
      <c r="K957">
        <v>183008</v>
      </c>
      <c r="L957" t="s">
        <v>113</v>
      </c>
      <c r="M957" t="s">
        <v>184</v>
      </c>
      <c r="N957" s="25"/>
      <c r="O957">
        <v>0</v>
      </c>
    </row>
    <row r="958" spans="1:15">
      <c r="A958" t="s">
        <v>1077</v>
      </c>
      <c r="B958" t="s">
        <v>55</v>
      </c>
      <c r="C958" t="s">
        <v>56</v>
      </c>
      <c r="D958" t="s">
        <v>64</v>
      </c>
      <c r="E958" t="s">
        <v>58</v>
      </c>
      <c r="F958">
        <v>53</v>
      </c>
      <c r="G958" t="s">
        <v>72</v>
      </c>
      <c r="H958" s="24">
        <v>35532</v>
      </c>
      <c r="I958">
        <v>154388</v>
      </c>
      <c r="J958">
        <v>0.1</v>
      </c>
      <c r="K958">
        <v>169827</v>
      </c>
      <c r="L958" t="s">
        <v>60</v>
      </c>
      <c r="M958" t="s">
        <v>61</v>
      </c>
      <c r="N958" s="25"/>
      <c r="O958">
        <v>0</v>
      </c>
    </row>
    <row r="959" spans="1:15">
      <c r="A959" t="s">
        <v>1078</v>
      </c>
      <c r="B959" t="s">
        <v>69</v>
      </c>
      <c r="C959" t="s">
        <v>94</v>
      </c>
      <c r="D959" t="s">
        <v>64</v>
      </c>
      <c r="E959" t="s">
        <v>58</v>
      </c>
      <c r="F959">
        <v>54</v>
      </c>
      <c r="G959" t="s">
        <v>72</v>
      </c>
      <c r="H959" s="24">
        <v>34603</v>
      </c>
      <c r="I959">
        <v>162978</v>
      </c>
      <c r="J959">
        <v>0.17</v>
      </c>
      <c r="K959">
        <v>190684</v>
      </c>
      <c r="L959" t="s">
        <v>60</v>
      </c>
      <c r="M959" t="s">
        <v>88</v>
      </c>
      <c r="N959" s="25">
        <v>38131</v>
      </c>
      <c r="O959">
        <v>1</v>
      </c>
    </row>
    <row r="960" spans="1:15">
      <c r="A960" t="s">
        <v>1079</v>
      </c>
      <c r="B960" t="s">
        <v>266</v>
      </c>
      <c r="C960" t="s">
        <v>56</v>
      </c>
      <c r="D960" t="s">
        <v>71</v>
      </c>
      <c r="E960" t="s">
        <v>65</v>
      </c>
      <c r="F960">
        <v>55</v>
      </c>
      <c r="G960" t="s">
        <v>59</v>
      </c>
      <c r="H960" s="24">
        <v>34290</v>
      </c>
      <c r="I960">
        <v>80170</v>
      </c>
      <c r="J960">
        <v>0</v>
      </c>
      <c r="K960">
        <v>80170</v>
      </c>
      <c r="L960" t="s">
        <v>60</v>
      </c>
      <c r="M960" t="s">
        <v>88</v>
      </c>
      <c r="N960" s="25"/>
      <c r="O960">
        <v>0</v>
      </c>
    </row>
    <row r="961" spans="1:15">
      <c r="A961" t="s">
        <v>1080</v>
      </c>
      <c r="B961" t="s">
        <v>78</v>
      </c>
      <c r="C961" t="s">
        <v>90</v>
      </c>
      <c r="D961" t="s">
        <v>64</v>
      </c>
      <c r="E961" t="s">
        <v>58</v>
      </c>
      <c r="F961">
        <v>44</v>
      </c>
      <c r="G961" t="s">
        <v>95</v>
      </c>
      <c r="H961" s="24">
        <v>44314</v>
      </c>
      <c r="I961">
        <v>98520</v>
      </c>
      <c r="J961">
        <v>0</v>
      </c>
      <c r="K961">
        <v>98520</v>
      </c>
      <c r="L961" t="s">
        <v>60</v>
      </c>
      <c r="M961" t="s">
        <v>88</v>
      </c>
      <c r="N961" s="25"/>
      <c r="O961">
        <v>0</v>
      </c>
    </row>
    <row r="962" spans="1:15">
      <c r="A962" t="s">
        <v>1081</v>
      </c>
      <c r="B962" t="s">
        <v>85</v>
      </c>
      <c r="C962" t="s">
        <v>70</v>
      </c>
      <c r="D962" t="s">
        <v>64</v>
      </c>
      <c r="E962" t="s">
        <v>65</v>
      </c>
      <c r="F962">
        <v>52</v>
      </c>
      <c r="G962" t="s">
        <v>72</v>
      </c>
      <c r="H962" s="24">
        <v>36523</v>
      </c>
      <c r="I962">
        <v>116527</v>
      </c>
      <c r="J962">
        <v>0.07</v>
      </c>
      <c r="K962">
        <v>124684</v>
      </c>
      <c r="L962" t="s">
        <v>60</v>
      </c>
      <c r="M962" t="s">
        <v>79</v>
      </c>
      <c r="N962" s="25"/>
      <c r="O962">
        <v>0</v>
      </c>
    </row>
    <row r="963" spans="1:15">
      <c r="A963" t="s">
        <v>1082</v>
      </c>
      <c r="B963" t="s">
        <v>69</v>
      </c>
      <c r="C963" t="s">
        <v>82</v>
      </c>
      <c r="D963" t="s">
        <v>57</v>
      </c>
      <c r="E963" t="s">
        <v>65</v>
      </c>
      <c r="F963">
        <v>27</v>
      </c>
      <c r="G963" t="s">
        <v>76</v>
      </c>
      <c r="H963" s="24">
        <v>43776</v>
      </c>
      <c r="I963">
        <v>174607</v>
      </c>
      <c r="J963">
        <v>0.29</v>
      </c>
      <c r="K963">
        <v>225243</v>
      </c>
      <c r="L963" t="s">
        <v>60</v>
      </c>
      <c r="M963" t="s">
        <v>110</v>
      </c>
      <c r="N963" s="25"/>
      <c r="O963">
        <v>0</v>
      </c>
    </row>
    <row r="964" spans="1:15">
      <c r="A964" t="s">
        <v>1083</v>
      </c>
      <c r="B964" t="s">
        <v>132</v>
      </c>
      <c r="C964" t="s">
        <v>90</v>
      </c>
      <c r="D964" t="s">
        <v>57</v>
      </c>
      <c r="E964" t="s">
        <v>65</v>
      </c>
      <c r="F964">
        <v>58</v>
      </c>
      <c r="G964" t="s">
        <v>59</v>
      </c>
      <c r="H964" s="24">
        <v>38819</v>
      </c>
      <c r="I964">
        <v>64202</v>
      </c>
      <c r="J964">
        <v>0</v>
      </c>
      <c r="K964">
        <v>64202</v>
      </c>
      <c r="L964" t="s">
        <v>60</v>
      </c>
      <c r="M964" t="s">
        <v>110</v>
      </c>
      <c r="N964" s="25"/>
      <c r="O964">
        <v>0</v>
      </c>
    </row>
    <row r="965" spans="1:15">
      <c r="A965" t="s">
        <v>1084</v>
      </c>
      <c r="B965" t="s">
        <v>132</v>
      </c>
      <c r="C965" t="s">
        <v>90</v>
      </c>
      <c r="D965" t="s">
        <v>83</v>
      </c>
      <c r="E965" t="s">
        <v>65</v>
      </c>
      <c r="F965">
        <v>49</v>
      </c>
      <c r="G965" t="s">
        <v>72</v>
      </c>
      <c r="H965" s="24">
        <v>43671</v>
      </c>
      <c r="I965">
        <v>50883</v>
      </c>
      <c r="J965">
        <v>0</v>
      </c>
      <c r="K965">
        <v>50883</v>
      </c>
      <c r="L965" t="s">
        <v>66</v>
      </c>
      <c r="M965" t="s">
        <v>67</v>
      </c>
      <c r="N965" s="25">
        <v>44257</v>
      </c>
      <c r="O965">
        <v>1</v>
      </c>
    </row>
    <row r="966" spans="1:15">
      <c r="A966" t="s">
        <v>1085</v>
      </c>
      <c r="B966" t="s">
        <v>200</v>
      </c>
      <c r="C966" t="s">
        <v>56</v>
      </c>
      <c r="D966" t="s">
        <v>71</v>
      </c>
      <c r="E966" t="s">
        <v>58</v>
      </c>
      <c r="F966">
        <v>36</v>
      </c>
      <c r="G966" t="s">
        <v>95</v>
      </c>
      <c r="H966" s="24">
        <v>42677</v>
      </c>
      <c r="I966">
        <v>94618</v>
      </c>
      <c r="J966">
        <v>0</v>
      </c>
      <c r="K966">
        <v>94618</v>
      </c>
      <c r="L966" t="s">
        <v>60</v>
      </c>
      <c r="M966" t="s">
        <v>110</v>
      </c>
      <c r="N966" s="25"/>
      <c r="O966">
        <v>0</v>
      </c>
    </row>
    <row r="967" spans="1:15">
      <c r="A967" t="s">
        <v>1086</v>
      </c>
      <c r="B967" t="s">
        <v>69</v>
      </c>
      <c r="C967" t="s">
        <v>105</v>
      </c>
      <c r="D967" t="s">
        <v>57</v>
      </c>
      <c r="E967" t="s">
        <v>65</v>
      </c>
      <c r="F967">
        <v>26</v>
      </c>
      <c r="G967" t="s">
        <v>76</v>
      </c>
      <c r="H967" s="24">
        <v>43753</v>
      </c>
      <c r="I967">
        <v>151556</v>
      </c>
      <c r="J967">
        <v>0.2</v>
      </c>
      <c r="K967">
        <v>181867</v>
      </c>
      <c r="L967" t="s">
        <v>60</v>
      </c>
      <c r="M967" t="s">
        <v>88</v>
      </c>
      <c r="N967" s="25"/>
      <c r="O967">
        <v>0</v>
      </c>
    </row>
    <row r="968" spans="1:15">
      <c r="A968" t="s">
        <v>1087</v>
      </c>
      <c r="B968" t="s">
        <v>216</v>
      </c>
      <c r="C968" t="s">
        <v>98</v>
      </c>
      <c r="D968" t="s">
        <v>57</v>
      </c>
      <c r="E968" t="s">
        <v>58</v>
      </c>
      <c r="F968">
        <v>37</v>
      </c>
      <c r="G968" t="s">
        <v>95</v>
      </c>
      <c r="H968" s="24">
        <v>43898</v>
      </c>
      <c r="I968">
        <v>80659</v>
      </c>
      <c r="J968">
        <v>0</v>
      </c>
      <c r="K968">
        <v>80659</v>
      </c>
      <c r="L968" t="s">
        <v>60</v>
      </c>
      <c r="M968" t="s">
        <v>79</v>
      </c>
      <c r="N968" s="25"/>
      <c r="O968">
        <v>0</v>
      </c>
    </row>
    <row r="969" spans="1:15">
      <c r="A969" t="s">
        <v>1088</v>
      </c>
      <c r="B969" t="s">
        <v>69</v>
      </c>
      <c r="C969" t="s">
        <v>94</v>
      </c>
      <c r="D969" t="s">
        <v>71</v>
      </c>
      <c r="E969" t="s">
        <v>65</v>
      </c>
      <c r="F969">
        <v>47</v>
      </c>
      <c r="G969" t="s">
        <v>72</v>
      </c>
      <c r="H969" s="24">
        <v>43772</v>
      </c>
      <c r="I969">
        <v>195385</v>
      </c>
      <c r="J969">
        <v>0.21</v>
      </c>
      <c r="K969">
        <v>236416</v>
      </c>
      <c r="L969" t="s">
        <v>66</v>
      </c>
      <c r="M969" t="s">
        <v>138</v>
      </c>
      <c r="N969" s="25"/>
      <c r="O969">
        <v>0</v>
      </c>
    </row>
    <row r="970" spans="1:15">
      <c r="A970" t="s">
        <v>1089</v>
      </c>
      <c r="B970" t="s">
        <v>244</v>
      </c>
      <c r="C970" t="s">
        <v>56</v>
      </c>
      <c r="D970" t="s">
        <v>71</v>
      </c>
      <c r="E970" t="s">
        <v>65</v>
      </c>
      <c r="F970">
        <v>29</v>
      </c>
      <c r="G970" t="s">
        <v>76</v>
      </c>
      <c r="H970" s="24">
        <v>42509</v>
      </c>
      <c r="I970">
        <v>52693</v>
      </c>
      <c r="J970">
        <v>0</v>
      </c>
      <c r="K970">
        <v>52693</v>
      </c>
      <c r="L970" t="s">
        <v>113</v>
      </c>
      <c r="M970" t="s">
        <v>117</v>
      </c>
      <c r="N970" s="25"/>
      <c r="O970">
        <v>0</v>
      </c>
    </row>
    <row r="971" spans="1:15">
      <c r="A971" t="s">
        <v>1090</v>
      </c>
      <c r="B971" t="s">
        <v>326</v>
      </c>
      <c r="C971" t="s">
        <v>56</v>
      </c>
      <c r="D971" t="s">
        <v>57</v>
      </c>
      <c r="E971" t="s">
        <v>58</v>
      </c>
      <c r="F971">
        <v>58</v>
      </c>
      <c r="G971" t="s">
        <v>59</v>
      </c>
      <c r="H971" s="24">
        <v>42486</v>
      </c>
      <c r="I971">
        <v>72045</v>
      </c>
      <c r="J971">
        <v>0</v>
      </c>
      <c r="K971">
        <v>72045</v>
      </c>
      <c r="L971" t="s">
        <v>60</v>
      </c>
      <c r="M971" t="s">
        <v>79</v>
      </c>
      <c r="N971" s="25"/>
      <c r="O971">
        <v>0</v>
      </c>
    </row>
    <row r="972" spans="1:15">
      <c r="A972" t="s">
        <v>1091</v>
      </c>
      <c r="B972" t="s">
        <v>132</v>
      </c>
      <c r="C972" t="s">
        <v>105</v>
      </c>
      <c r="D972" t="s">
        <v>64</v>
      </c>
      <c r="E972" t="s">
        <v>65</v>
      </c>
      <c r="F972">
        <v>47</v>
      </c>
      <c r="G972" t="s">
        <v>72</v>
      </c>
      <c r="H972" s="24">
        <v>38684</v>
      </c>
      <c r="I972">
        <v>62749</v>
      </c>
      <c r="J972">
        <v>0</v>
      </c>
      <c r="K972">
        <v>62749</v>
      </c>
      <c r="L972" t="s">
        <v>113</v>
      </c>
      <c r="M972" t="s">
        <v>114</v>
      </c>
      <c r="N972" s="25"/>
      <c r="O972">
        <v>0</v>
      </c>
    </row>
    <row r="973" spans="1:15">
      <c r="A973" t="s">
        <v>1092</v>
      </c>
      <c r="B973" t="s">
        <v>55</v>
      </c>
      <c r="C973" t="s">
        <v>105</v>
      </c>
      <c r="D973" t="s">
        <v>71</v>
      </c>
      <c r="E973" t="s">
        <v>65</v>
      </c>
      <c r="F973">
        <v>52</v>
      </c>
      <c r="G973" t="s">
        <v>72</v>
      </c>
      <c r="H973" s="24">
        <v>43255</v>
      </c>
      <c r="I973">
        <v>154884</v>
      </c>
      <c r="J973">
        <v>0.1</v>
      </c>
      <c r="K973">
        <v>170372</v>
      </c>
      <c r="L973" t="s">
        <v>66</v>
      </c>
      <c r="M973" t="s">
        <v>101</v>
      </c>
      <c r="N973" s="25"/>
      <c r="O973">
        <v>0</v>
      </c>
    </row>
    <row r="974" spans="1:15">
      <c r="A974" t="s">
        <v>1093</v>
      </c>
      <c r="B974" t="s">
        <v>200</v>
      </c>
      <c r="C974" t="s">
        <v>56</v>
      </c>
      <c r="D974" t="s">
        <v>57</v>
      </c>
      <c r="E974" t="s">
        <v>65</v>
      </c>
      <c r="F974">
        <v>61</v>
      </c>
      <c r="G974" t="s">
        <v>59</v>
      </c>
      <c r="H974" s="24">
        <v>42437</v>
      </c>
      <c r="I974">
        <v>96566</v>
      </c>
      <c r="J974">
        <v>0</v>
      </c>
      <c r="K974">
        <v>96566</v>
      </c>
      <c r="L974" t="s">
        <v>60</v>
      </c>
      <c r="M974" t="s">
        <v>110</v>
      </c>
      <c r="N974" s="25"/>
      <c r="O974">
        <v>0</v>
      </c>
    </row>
    <row r="975" spans="1:15">
      <c r="A975" t="s">
        <v>1094</v>
      </c>
      <c r="B975" t="s">
        <v>244</v>
      </c>
      <c r="C975" t="s">
        <v>56</v>
      </c>
      <c r="D975" t="s">
        <v>57</v>
      </c>
      <c r="E975" t="s">
        <v>65</v>
      </c>
      <c r="F975">
        <v>45</v>
      </c>
      <c r="G975" t="s">
        <v>72</v>
      </c>
      <c r="H975" s="24">
        <v>37126</v>
      </c>
      <c r="I975">
        <v>54994</v>
      </c>
      <c r="J975">
        <v>0</v>
      </c>
      <c r="K975">
        <v>54994</v>
      </c>
      <c r="L975" t="s">
        <v>60</v>
      </c>
      <c r="M975" t="s">
        <v>110</v>
      </c>
      <c r="N975" s="25"/>
      <c r="O975">
        <v>0</v>
      </c>
    </row>
    <row r="976" spans="1:15">
      <c r="A976" t="s">
        <v>1095</v>
      </c>
      <c r="B976" t="s">
        <v>326</v>
      </c>
      <c r="C976" t="s">
        <v>56</v>
      </c>
      <c r="D976" t="s">
        <v>83</v>
      </c>
      <c r="E976" t="s">
        <v>58</v>
      </c>
      <c r="F976">
        <v>40</v>
      </c>
      <c r="G976" t="s">
        <v>95</v>
      </c>
      <c r="H976" s="24">
        <v>40944</v>
      </c>
      <c r="I976">
        <v>61523</v>
      </c>
      <c r="J976">
        <v>0</v>
      </c>
      <c r="K976">
        <v>61523</v>
      </c>
      <c r="L976" t="s">
        <v>60</v>
      </c>
      <c r="M976" t="s">
        <v>110</v>
      </c>
      <c r="N976" s="25"/>
      <c r="O976">
        <v>0</v>
      </c>
    </row>
    <row r="977" spans="1:15">
      <c r="A977" t="s">
        <v>1096</v>
      </c>
      <c r="B977" t="s">
        <v>104</v>
      </c>
      <c r="C977" t="s">
        <v>94</v>
      </c>
      <c r="D977" t="s">
        <v>83</v>
      </c>
      <c r="E977" t="s">
        <v>65</v>
      </c>
      <c r="F977">
        <v>45</v>
      </c>
      <c r="G977" t="s">
        <v>72</v>
      </c>
      <c r="H977" s="24">
        <v>40524</v>
      </c>
      <c r="I977">
        <v>190512</v>
      </c>
      <c r="J977">
        <v>0.32</v>
      </c>
      <c r="K977">
        <v>251476</v>
      </c>
      <c r="L977" t="s">
        <v>60</v>
      </c>
      <c r="M977" t="s">
        <v>110</v>
      </c>
      <c r="N977" s="25"/>
      <c r="O977">
        <v>0</v>
      </c>
    </row>
    <row r="978" spans="1:15">
      <c r="A978" t="s">
        <v>1097</v>
      </c>
      <c r="B978" t="s">
        <v>97</v>
      </c>
      <c r="C978" t="s">
        <v>98</v>
      </c>
      <c r="D978" t="s">
        <v>71</v>
      </c>
      <c r="E978" t="s">
        <v>58</v>
      </c>
      <c r="F978">
        <v>37</v>
      </c>
      <c r="G978" t="s">
        <v>95</v>
      </c>
      <c r="H978" s="24">
        <v>41318</v>
      </c>
      <c r="I978">
        <v>124827</v>
      </c>
      <c r="J978">
        <v>0</v>
      </c>
      <c r="K978">
        <v>124827</v>
      </c>
      <c r="L978" t="s">
        <v>66</v>
      </c>
      <c r="M978" t="s">
        <v>126</v>
      </c>
      <c r="N978" s="25"/>
      <c r="O978">
        <v>0</v>
      </c>
    </row>
    <row r="979" spans="1:15">
      <c r="A979" t="s">
        <v>1098</v>
      </c>
      <c r="B979" t="s">
        <v>85</v>
      </c>
      <c r="C979" t="s">
        <v>90</v>
      </c>
      <c r="D979" t="s">
        <v>64</v>
      </c>
      <c r="E979" t="s">
        <v>65</v>
      </c>
      <c r="F979">
        <v>57</v>
      </c>
      <c r="G979" t="s">
        <v>59</v>
      </c>
      <c r="H979" s="24">
        <v>43484</v>
      </c>
      <c r="I979">
        <v>101577</v>
      </c>
      <c r="J979">
        <v>0.05</v>
      </c>
      <c r="K979">
        <v>106656</v>
      </c>
      <c r="L979" t="s">
        <v>60</v>
      </c>
      <c r="M979" t="s">
        <v>73</v>
      </c>
      <c r="N979" s="25"/>
      <c r="O979">
        <v>0</v>
      </c>
    </row>
    <row r="980" spans="1:15">
      <c r="A980" t="s">
        <v>1099</v>
      </c>
      <c r="B980" t="s">
        <v>85</v>
      </c>
      <c r="C980" t="s">
        <v>90</v>
      </c>
      <c r="D980" t="s">
        <v>64</v>
      </c>
      <c r="E980" t="s">
        <v>58</v>
      </c>
      <c r="F980">
        <v>44</v>
      </c>
      <c r="G980" t="s">
        <v>95</v>
      </c>
      <c r="H980" s="24">
        <v>38642</v>
      </c>
      <c r="I980">
        <v>105223</v>
      </c>
      <c r="J980">
        <v>0.1</v>
      </c>
      <c r="K980">
        <v>115745</v>
      </c>
      <c r="L980" t="s">
        <v>60</v>
      </c>
      <c r="M980" t="s">
        <v>79</v>
      </c>
      <c r="N980" s="25"/>
      <c r="O980">
        <v>0</v>
      </c>
    </row>
    <row r="981" spans="1:15">
      <c r="A981" t="s">
        <v>1100</v>
      </c>
      <c r="B981" t="s">
        <v>303</v>
      </c>
      <c r="C981" t="s">
        <v>56</v>
      </c>
      <c r="D981" t="s">
        <v>83</v>
      </c>
      <c r="E981" t="s">
        <v>65</v>
      </c>
      <c r="F981">
        <v>48</v>
      </c>
      <c r="G981" t="s">
        <v>72</v>
      </c>
      <c r="H981" s="24">
        <v>39635</v>
      </c>
      <c r="I981">
        <v>94815</v>
      </c>
      <c r="J981">
        <v>0</v>
      </c>
      <c r="K981">
        <v>94815</v>
      </c>
      <c r="L981" t="s">
        <v>60</v>
      </c>
      <c r="M981" t="s">
        <v>73</v>
      </c>
      <c r="N981" s="25"/>
      <c r="O981">
        <v>0</v>
      </c>
    </row>
    <row r="982" spans="1:15">
      <c r="A982" t="s">
        <v>1101</v>
      </c>
      <c r="B982" t="s">
        <v>85</v>
      </c>
      <c r="C982" t="s">
        <v>90</v>
      </c>
      <c r="D982" t="s">
        <v>71</v>
      </c>
      <c r="E982" t="s">
        <v>58</v>
      </c>
      <c r="F982">
        <v>25</v>
      </c>
      <c r="G982" t="s">
        <v>76</v>
      </c>
      <c r="H982" s="24">
        <v>44545</v>
      </c>
      <c r="I982">
        <v>114893</v>
      </c>
      <c r="J982">
        <v>0.06</v>
      </c>
      <c r="K982">
        <v>121787</v>
      </c>
      <c r="L982" t="s">
        <v>66</v>
      </c>
      <c r="M982" t="s">
        <v>138</v>
      </c>
      <c r="N982" s="25"/>
      <c r="O982">
        <v>0</v>
      </c>
    </row>
    <row r="983" spans="1:15">
      <c r="A983" t="s">
        <v>1102</v>
      </c>
      <c r="B983" t="s">
        <v>78</v>
      </c>
      <c r="C983" t="s">
        <v>105</v>
      </c>
      <c r="D983" t="s">
        <v>71</v>
      </c>
      <c r="E983" t="s">
        <v>58</v>
      </c>
      <c r="F983">
        <v>35</v>
      </c>
      <c r="G983" t="s">
        <v>95</v>
      </c>
      <c r="H983" s="24">
        <v>42745</v>
      </c>
      <c r="I983">
        <v>80622</v>
      </c>
      <c r="J983">
        <v>0</v>
      </c>
      <c r="K983">
        <v>80622</v>
      </c>
      <c r="L983" t="s">
        <v>60</v>
      </c>
      <c r="M983" t="s">
        <v>91</v>
      </c>
      <c r="N983" s="25"/>
      <c r="O983">
        <v>0</v>
      </c>
    </row>
    <row r="984" spans="1:15">
      <c r="A984" t="s">
        <v>1103</v>
      </c>
      <c r="B984" t="s">
        <v>104</v>
      </c>
      <c r="C984" t="s">
        <v>56</v>
      </c>
      <c r="D984" t="s">
        <v>71</v>
      </c>
      <c r="E984" t="s">
        <v>58</v>
      </c>
      <c r="F984">
        <v>57</v>
      </c>
      <c r="G984" t="s">
        <v>59</v>
      </c>
      <c r="H984" s="24">
        <v>42685</v>
      </c>
      <c r="I984">
        <v>246589</v>
      </c>
      <c r="J984">
        <v>0.33</v>
      </c>
      <c r="K984">
        <v>327963</v>
      </c>
      <c r="L984" t="s">
        <v>60</v>
      </c>
      <c r="M984" t="s">
        <v>79</v>
      </c>
      <c r="N984" s="25">
        <v>42820</v>
      </c>
      <c r="O984">
        <v>1</v>
      </c>
    </row>
    <row r="985" spans="1:15">
      <c r="A985" t="s">
        <v>1104</v>
      </c>
      <c r="B985" t="s">
        <v>85</v>
      </c>
      <c r="C985" t="s">
        <v>105</v>
      </c>
      <c r="D985" t="s">
        <v>71</v>
      </c>
      <c r="E985" t="s">
        <v>65</v>
      </c>
      <c r="F985">
        <v>49</v>
      </c>
      <c r="G985" t="s">
        <v>72</v>
      </c>
      <c r="H985" s="24">
        <v>43240</v>
      </c>
      <c r="I985">
        <v>119397</v>
      </c>
      <c r="J985">
        <v>0.09</v>
      </c>
      <c r="K985">
        <v>130143</v>
      </c>
      <c r="L985" t="s">
        <v>66</v>
      </c>
      <c r="M985" t="s">
        <v>126</v>
      </c>
      <c r="N985" s="25">
        <v>43538</v>
      </c>
      <c r="O985">
        <v>1</v>
      </c>
    </row>
    <row r="986" spans="1:15">
      <c r="A986" t="s">
        <v>1105</v>
      </c>
      <c r="B986" t="s">
        <v>69</v>
      </c>
      <c r="C986" t="s">
        <v>82</v>
      </c>
      <c r="D986" t="s">
        <v>83</v>
      </c>
      <c r="E986" t="s">
        <v>58</v>
      </c>
      <c r="F986">
        <v>25</v>
      </c>
      <c r="G986" t="s">
        <v>76</v>
      </c>
      <c r="H986" s="24">
        <v>44549</v>
      </c>
      <c r="I986">
        <v>150666</v>
      </c>
      <c r="J986">
        <v>0.23</v>
      </c>
      <c r="K986">
        <v>185319</v>
      </c>
      <c r="L986" t="s">
        <v>66</v>
      </c>
      <c r="M986" t="s">
        <v>138</v>
      </c>
      <c r="N986" s="25"/>
      <c r="O986">
        <v>0</v>
      </c>
    </row>
    <row r="987" spans="1:15">
      <c r="A987" t="s">
        <v>1106</v>
      </c>
      <c r="B987" t="s">
        <v>55</v>
      </c>
      <c r="C987" t="s">
        <v>56</v>
      </c>
      <c r="D987" t="s">
        <v>57</v>
      </c>
      <c r="E987" t="s">
        <v>58</v>
      </c>
      <c r="F987">
        <v>46</v>
      </c>
      <c r="G987" t="s">
        <v>72</v>
      </c>
      <c r="H987" s="24">
        <v>37265</v>
      </c>
      <c r="I987">
        <v>148035</v>
      </c>
      <c r="J987">
        <v>0.14</v>
      </c>
      <c r="K987">
        <v>168760</v>
      </c>
      <c r="L987" t="s">
        <v>60</v>
      </c>
      <c r="M987" t="s">
        <v>79</v>
      </c>
      <c r="N987" s="25"/>
      <c r="O987">
        <v>0</v>
      </c>
    </row>
    <row r="988" spans="1:15">
      <c r="A988" t="s">
        <v>1107</v>
      </c>
      <c r="B988" t="s">
        <v>69</v>
      </c>
      <c r="C988" t="s">
        <v>70</v>
      </c>
      <c r="D988" t="s">
        <v>83</v>
      </c>
      <c r="E988" t="s">
        <v>65</v>
      </c>
      <c r="F988">
        <v>60</v>
      </c>
      <c r="G988" t="s">
        <v>59</v>
      </c>
      <c r="H988" s="24">
        <v>42891</v>
      </c>
      <c r="I988">
        <v>158898</v>
      </c>
      <c r="J988">
        <v>0.18</v>
      </c>
      <c r="K988">
        <v>187500</v>
      </c>
      <c r="L988" t="s">
        <v>60</v>
      </c>
      <c r="M988" t="s">
        <v>88</v>
      </c>
      <c r="N988" s="25"/>
      <c r="O988">
        <v>0</v>
      </c>
    </row>
    <row r="989" spans="1:15">
      <c r="A989" t="s">
        <v>1108</v>
      </c>
      <c r="B989" t="s">
        <v>160</v>
      </c>
      <c r="C989" t="s">
        <v>98</v>
      </c>
      <c r="D989" t="s">
        <v>83</v>
      </c>
      <c r="E989" t="s">
        <v>58</v>
      </c>
      <c r="F989">
        <v>45</v>
      </c>
      <c r="G989" t="s">
        <v>72</v>
      </c>
      <c r="H989" s="24">
        <v>40967</v>
      </c>
      <c r="I989">
        <v>89659</v>
      </c>
      <c r="J989">
        <v>0</v>
      </c>
      <c r="K989">
        <v>89659</v>
      </c>
      <c r="L989" t="s">
        <v>66</v>
      </c>
      <c r="M989" t="s">
        <v>126</v>
      </c>
      <c r="N989" s="25"/>
      <c r="O989">
        <v>0</v>
      </c>
    </row>
    <row r="990" spans="1:15">
      <c r="A990" t="s">
        <v>1109</v>
      </c>
      <c r="B990" t="s">
        <v>69</v>
      </c>
      <c r="C990" t="s">
        <v>82</v>
      </c>
      <c r="D990" t="s">
        <v>71</v>
      </c>
      <c r="E990" t="s">
        <v>58</v>
      </c>
      <c r="F990">
        <v>39</v>
      </c>
      <c r="G990" t="s">
        <v>95</v>
      </c>
      <c r="H990" s="24">
        <v>39201</v>
      </c>
      <c r="I990">
        <v>171487</v>
      </c>
      <c r="J990">
        <v>0.23</v>
      </c>
      <c r="K990">
        <v>210929</v>
      </c>
      <c r="L990" t="s">
        <v>60</v>
      </c>
      <c r="M990" t="s">
        <v>79</v>
      </c>
      <c r="N990" s="25"/>
      <c r="O990">
        <v>0</v>
      </c>
    </row>
    <row r="991" spans="1:15">
      <c r="A991" t="s">
        <v>1110</v>
      </c>
      <c r="B991" t="s">
        <v>104</v>
      </c>
      <c r="C991" t="s">
        <v>82</v>
      </c>
      <c r="D991" t="s">
        <v>64</v>
      </c>
      <c r="E991" t="s">
        <v>58</v>
      </c>
      <c r="F991">
        <v>43</v>
      </c>
      <c r="G991" t="s">
        <v>95</v>
      </c>
      <c r="H991" s="24">
        <v>42603</v>
      </c>
      <c r="I991">
        <v>258498</v>
      </c>
      <c r="J991">
        <v>0.35</v>
      </c>
      <c r="K991">
        <v>348972</v>
      </c>
      <c r="L991" t="s">
        <v>60</v>
      </c>
      <c r="M991" t="s">
        <v>110</v>
      </c>
      <c r="N991" s="25"/>
      <c r="O991">
        <v>0</v>
      </c>
    </row>
    <row r="992" spans="1:15">
      <c r="A992" t="s">
        <v>1111</v>
      </c>
      <c r="B992" t="s">
        <v>55</v>
      </c>
      <c r="C992" t="s">
        <v>56</v>
      </c>
      <c r="D992" t="s">
        <v>57</v>
      </c>
      <c r="E992" t="s">
        <v>65</v>
      </c>
      <c r="F992">
        <v>37</v>
      </c>
      <c r="G992" t="s">
        <v>95</v>
      </c>
      <c r="H992" s="24">
        <v>40511</v>
      </c>
      <c r="I992">
        <v>146961</v>
      </c>
      <c r="J992">
        <v>0.11</v>
      </c>
      <c r="K992">
        <v>163127</v>
      </c>
      <c r="L992" t="s">
        <v>60</v>
      </c>
      <c r="M992" t="s">
        <v>110</v>
      </c>
      <c r="N992" s="25"/>
      <c r="O992">
        <v>0</v>
      </c>
    </row>
    <row r="993" spans="1:15">
      <c r="A993" t="s">
        <v>1112</v>
      </c>
      <c r="B993" t="s">
        <v>143</v>
      </c>
      <c r="C993" t="s">
        <v>94</v>
      </c>
      <c r="D993" t="s">
        <v>57</v>
      </c>
      <c r="E993" t="s">
        <v>65</v>
      </c>
      <c r="F993">
        <v>48</v>
      </c>
      <c r="G993" t="s">
        <v>72</v>
      </c>
      <c r="H993" s="24">
        <v>35907</v>
      </c>
      <c r="I993">
        <v>85369</v>
      </c>
      <c r="J993">
        <v>0</v>
      </c>
      <c r="K993">
        <v>85369</v>
      </c>
      <c r="L993" t="s">
        <v>113</v>
      </c>
      <c r="M993" t="s">
        <v>114</v>
      </c>
      <c r="N993" s="25">
        <v>38318</v>
      </c>
      <c r="O993">
        <v>1</v>
      </c>
    </row>
    <row r="994" spans="1:15">
      <c r="A994" t="s">
        <v>1113</v>
      </c>
      <c r="B994" t="s">
        <v>63</v>
      </c>
      <c r="C994" t="s">
        <v>56</v>
      </c>
      <c r="D994" t="s">
        <v>64</v>
      </c>
      <c r="E994" t="s">
        <v>65</v>
      </c>
      <c r="F994">
        <v>30</v>
      </c>
      <c r="G994" t="s">
        <v>76</v>
      </c>
      <c r="H994" s="24">
        <v>42169</v>
      </c>
      <c r="I994">
        <v>67489</v>
      </c>
      <c r="J994">
        <v>0</v>
      </c>
      <c r="K994">
        <v>67489</v>
      </c>
      <c r="L994" t="s">
        <v>60</v>
      </c>
      <c r="M994" t="s">
        <v>73</v>
      </c>
      <c r="N994" s="25"/>
      <c r="O994">
        <v>0</v>
      </c>
    </row>
    <row r="995" spans="1:15">
      <c r="A995" t="s">
        <v>1114</v>
      </c>
      <c r="B995" t="s">
        <v>69</v>
      </c>
      <c r="C995" t="s">
        <v>56</v>
      </c>
      <c r="D995" t="s">
        <v>64</v>
      </c>
      <c r="E995" t="s">
        <v>58</v>
      </c>
      <c r="F995">
        <v>46</v>
      </c>
      <c r="G995" t="s">
        <v>72</v>
      </c>
      <c r="H995" s="24">
        <v>43379</v>
      </c>
      <c r="I995">
        <v>166259</v>
      </c>
      <c r="J995">
        <v>0.17</v>
      </c>
      <c r="K995">
        <v>194523</v>
      </c>
      <c r="L995" t="s">
        <v>60</v>
      </c>
      <c r="M995" t="s">
        <v>73</v>
      </c>
      <c r="N995" s="25"/>
      <c r="O995">
        <v>0</v>
      </c>
    </row>
    <row r="996" spans="1:15">
      <c r="A996" t="s">
        <v>1115</v>
      </c>
      <c r="B996" t="s">
        <v>244</v>
      </c>
      <c r="C996" t="s">
        <v>56</v>
      </c>
      <c r="D996" t="s">
        <v>83</v>
      </c>
      <c r="E996" t="s">
        <v>58</v>
      </c>
      <c r="F996">
        <v>55</v>
      </c>
      <c r="G996" t="s">
        <v>59</v>
      </c>
      <c r="H996" s="24">
        <v>39820</v>
      </c>
      <c r="I996">
        <v>47032</v>
      </c>
      <c r="J996">
        <v>0</v>
      </c>
      <c r="K996">
        <v>47032</v>
      </c>
      <c r="L996" t="s">
        <v>60</v>
      </c>
      <c r="M996" t="s">
        <v>110</v>
      </c>
      <c r="N996" s="25"/>
      <c r="O996">
        <v>0</v>
      </c>
    </row>
    <row r="997" spans="1:15">
      <c r="A997" t="s">
        <v>1116</v>
      </c>
      <c r="B997" t="s">
        <v>78</v>
      </c>
      <c r="C997" t="s">
        <v>105</v>
      </c>
      <c r="D997" t="s">
        <v>71</v>
      </c>
      <c r="E997" t="s">
        <v>65</v>
      </c>
      <c r="F997">
        <v>33</v>
      </c>
      <c r="G997" t="s">
        <v>76</v>
      </c>
      <c r="H997" s="24">
        <v>42631</v>
      </c>
      <c r="I997">
        <v>98427</v>
      </c>
      <c r="J997">
        <v>0</v>
      </c>
      <c r="K997">
        <v>98427</v>
      </c>
      <c r="L997" t="s">
        <v>60</v>
      </c>
      <c r="M997" t="s">
        <v>110</v>
      </c>
      <c r="N997" s="25"/>
      <c r="O997">
        <v>0</v>
      </c>
    </row>
    <row r="998" spans="1:15">
      <c r="A998" t="s">
        <v>1117</v>
      </c>
      <c r="B998" t="s">
        <v>87</v>
      </c>
      <c r="C998" t="s">
        <v>70</v>
      </c>
      <c r="D998" t="s">
        <v>71</v>
      </c>
      <c r="E998" t="s">
        <v>58</v>
      </c>
      <c r="F998">
        <v>44</v>
      </c>
      <c r="G998" t="s">
        <v>95</v>
      </c>
      <c r="H998" s="24">
        <v>40329</v>
      </c>
      <c r="I998">
        <v>47387</v>
      </c>
      <c r="J998">
        <v>0</v>
      </c>
      <c r="K998">
        <v>47387</v>
      </c>
      <c r="L998" t="s">
        <v>66</v>
      </c>
      <c r="M998" t="s">
        <v>138</v>
      </c>
      <c r="N998" s="25">
        <v>43108</v>
      </c>
      <c r="O998">
        <v>1</v>
      </c>
    </row>
    <row r="999" spans="1:15">
      <c r="A999" t="s">
        <v>1118</v>
      </c>
      <c r="B999" t="s">
        <v>69</v>
      </c>
      <c r="C999" t="s">
        <v>105</v>
      </c>
      <c r="D999" t="s">
        <v>71</v>
      </c>
      <c r="E999" t="s">
        <v>65</v>
      </c>
      <c r="F999">
        <v>31</v>
      </c>
      <c r="G999" t="s">
        <v>76</v>
      </c>
      <c r="H999" s="24">
        <v>43626</v>
      </c>
      <c r="I999">
        <v>176710</v>
      </c>
      <c r="J999">
        <v>0.15</v>
      </c>
      <c r="K999">
        <v>203216</v>
      </c>
      <c r="L999" t="s">
        <v>60</v>
      </c>
      <c r="M999" t="s">
        <v>88</v>
      </c>
      <c r="N999" s="25"/>
      <c r="O999">
        <v>0</v>
      </c>
    </row>
    <row r="1000" spans="1:15">
      <c r="A1000" t="s">
        <v>1119</v>
      </c>
      <c r="B1000" t="s">
        <v>78</v>
      </c>
      <c r="C1000" t="s">
        <v>70</v>
      </c>
      <c r="D1000" t="s">
        <v>71</v>
      </c>
      <c r="E1000" t="s">
        <v>58</v>
      </c>
      <c r="F1000">
        <v>33</v>
      </c>
      <c r="G1000" t="s">
        <v>76</v>
      </c>
      <c r="H1000" s="24">
        <v>40936</v>
      </c>
      <c r="I1000">
        <v>95960</v>
      </c>
      <c r="J1000">
        <v>0</v>
      </c>
      <c r="K1000">
        <v>95960</v>
      </c>
      <c r="L1000" t="s">
        <v>66</v>
      </c>
      <c r="M1000" t="s">
        <v>138</v>
      </c>
      <c r="N1000" s="25"/>
      <c r="O1000">
        <v>0</v>
      </c>
    </row>
    <row r="1001" spans="1:15">
      <c r="A1001" t="s">
        <v>1120</v>
      </c>
      <c r="B1001" t="s">
        <v>104</v>
      </c>
      <c r="C1001" t="s">
        <v>90</v>
      </c>
      <c r="D1001" t="s">
        <v>83</v>
      </c>
      <c r="E1001" t="s">
        <v>58</v>
      </c>
      <c r="F1001">
        <v>63</v>
      </c>
      <c r="G1001" t="s">
        <v>59</v>
      </c>
      <c r="H1001" s="24">
        <v>44038</v>
      </c>
      <c r="I1001">
        <v>216195</v>
      </c>
      <c r="J1001">
        <v>0.31</v>
      </c>
      <c r="K1001">
        <v>283215</v>
      </c>
      <c r="L1001" t="s">
        <v>60</v>
      </c>
      <c r="M1001" t="s">
        <v>88</v>
      </c>
      <c r="N1001" s="25"/>
      <c r="O1001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1001"/>
  <sheetViews>
    <sheetView workbookViewId="0">
      <selection activeCell="A1" sqref="A1"/>
    </sheetView>
  </sheetViews>
  <sheetFormatPr defaultColWidth="9" defaultRowHeight="14.4"/>
  <cols>
    <col min="1" max="1" width="25.5555555555556" customWidth="1"/>
    <col min="2" max="2" width="15.6666666666667" customWidth="1"/>
    <col min="3" max="3" width="21.8888888888889" customWidth="1"/>
    <col min="4" max="4" width="9.33333333333333" customWidth="1"/>
    <col min="5" max="5" width="6.44444444444444" customWidth="1"/>
    <col min="6" max="6" width="10.8888888888889" customWidth="1"/>
    <col min="7" max="7" width="14.7777777777778" customWidth="1"/>
    <col min="8" max="8" width="10.3333333333333" customWidth="1"/>
    <col min="9" max="9" width="11.8888888888889" customWidth="1"/>
    <col min="10" max="10" width="12.4444444444444" customWidth="1"/>
    <col min="11" max="11" width="10.5555555555556" customWidth="1"/>
  </cols>
  <sheetData>
    <row r="1" spans="1:11">
      <c r="A1" s="9" t="s">
        <v>41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47</v>
      </c>
      <c r="G1" s="10" t="s">
        <v>48</v>
      </c>
      <c r="H1" s="10" t="s">
        <v>49</v>
      </c>
      <c r="I1" s="10" t="s">
        <v>51</v>
      </c>
      <c r="J1" s="10" t="s">
        <v>52</v>
      </c>
      <c r="K1" s="16" t="s">
        <v>11</v>
      </c>
    </row>
    <row r="2" spans="1:11">
      <c r="A2" s="11" t="s">
        <v>55</v>
      </c>
      <c r="B2" s="12" t="s">
        <v>56</v>
      </c>
      <c r="C2" s="12" t="s">
        <v>57</v>
      </c>
      <c r="D2" s="12" t="s">
        <v>58</v>
      </c>
      <c r="E2" s="12">
        <v>55</v>
      </c>
      <c r="F2" s="13">
        <v>42468</v>
      </c>
      <c r="G2" s="14">
        <v>100000</v>
      </c>
      <c r="H2" s="15">
        <v>0.15</v>
      </c>
      <c r="I2" s="12" t="s">
        <v>60</v>
      </c>
      <c r="J2" s="12" t="s">
        <v>61</v>
      </c>
      <c r="K2" s="17">
        <v>44485</v>
      </c>
    </row>
    <row r="3" spans="1:11">
      <c r="A3" s="11" t="s">
        <v>63</v>
      </c>
      <c r="B3" s="12" t="s">
        <v>56</v>
      </c>
      <c r="C3" s="12" t="s">
        <v>64</v>
      </c>
      <c r="D3" s="12" t="s">
        <v>65</v>
      </c>
      <c r="E3" s="12">
        <v>59</v>
      </c>
      <c r="F3" s="13">
        <v>35763</v>
      </c>
      <c r="G3" s="14">
        <v>99975</v>
      </c>
      <c r="H3" s="15">
        <v>0</v>
      </c>
      <c r="I3" s="12" t="s">
        <v>66</v>
      </c>
      <c r="J3" s="12" t="s">
        <v>67</v>
      </c>
      <c r="K3" s="17" t="s">
        <v>1121</v>
      </c>
    </row>
    <row r="4" spans="1:11">
      <c r="A4" s="11" t="s">
        <v>69</v>
      </c>
      <c r="B4" s="12" t="s">
        <v>70</v>
      </c>
      <c r="C4" s="12" t="s">
        <v>71</v>
      </c>
      <c r="D4" s="12" t="s">
        <v>58</v>
      </c>
      <c r="E4" s="12">
        <v>50</v>
      </c>
      <c r="F4" s="13">
        <v>39016</v>
      </c>
      <c r="G4" s="14">
        <v>163099</v>
      </c>
      <c r="H4" s="15">
        <v>0.2</v>
      </c>
      <c r="I4" s="12" t="s">
        <v>60</v>
      </c>
      <c r="J4" s="12" t="s">
        <v>73</v>
      </c>
      <c r="K4" s="17" t="s">
        <v>1121</v>
      </c>
    </row>
    <row r="5" spans="1:11">
      <c r="A5" s="11" t="s">
        <v>75</v>
      </c>
      <c r="B5" s="12" t="s">
        <v>56</v>
      </c>
      <c r="C5" s="12" t="s">
        <v>64</v>
      </c>
      <c r="D5" s="12" t="s">
        <v>58</v>
      </c>
      <c r="E5" s="12">
        <v>26</v>
      </c>
      <c r="F5" s="13">
        <v>43735</v>
      </c>
      <c r="G5" s="14">
        <v>84913</v>
      </c>
      <c r="H5" s="15">
        <v>0.07</v>
      </c>
      <c r="I5" s="12" t="s">
        <v>60</v>
      </c>
      <c r="J5" s="12" t="s">
        <v>73</v>
      </c>
      <c r="K5" s="17" t="s">
        <v>1121</v>
      </c>
    </row>
    <row r="6" spans="1:11">
      <c r="A6" s="11" t="s">
        <v>78</v>
      </c>
      <c r="B6" s="12" t="s">
        <v>70</v>
      </c>
      <c r="C6" s="12" t="s">
        <v>64</v>
      </c>
      <c r="D6" s="12" t="s">
        <v>65</v>
      </c>
      <c r="E6" s="12">
        <v>55</v>
      </c>
      <c r="F6" s="13">
        <v>35023</v>
      </c>
      <c r="G6" s="14">
        <v>95409</v>
      </c>
      <c r="H6" s="15">
        <v>0</v>
      </c>
      <c r="I6" s="12" t="s">
        <v>60</v>
      </c>
      <c r="J6" s="12" t="s">
        <v>79</v>
      </c>
      <c r="K6" s="17" t="s">
        <v>1121</v>
      </c>
    </row>
    <row r="7" spans="1:11">
      <c r="A7" s="11" t="s">
        <v>81</v>
      </c>
      <c r="B7" s="12" t="s">
        <v>82</v>
      </c>
      <c r="C7" s="12" t="s">
        <v>83</v>
      </c>
      <c r="D7" s="12" t="s">
        <v>65</v>
      </c>
      <c r="E7" s="12">
        <v>57</v>
      </c>
      <c r="F7" s="13">
        <v>42759</v>
      </c>
      <c r="G7" s="14">
        <v>50994</v>
      </c>
      <c r="H7" s="15">
        <v>0</v>
      </c>
      <c r="I7" s="12" t="s">
        <v>66</v>
      </c>
      <c r="J7" s="12" t="s">
        <v>67</v>
      </c>
      <c r="K7" s="17" t="s">
        <v>1121</v>
      </c>
    </row>
    <row r="8" spans="1:11">
      <c r="A8" s="11" t="s">
        <v>85</v>
      </c>
      <c r="B8" s="12" t="s">
        <v>56</v>
      </c>
      <c r="C8" s="12" t="s">
        <v>83</v>
      </c>
      <c r="D8" s="12" t="s">
        <v>58</v>
      </c>
      <c r="E8" s="12">
        <v>27</v>
      </c>
      <c r="F8" s="13">
        <v>44013</v>
      </c>
      <c r="G8" s="14">
        <v>119746</v>
      </c>
      <c r="H8" s="15">
        <v>0.1</v>
      </c>
      <c r="I8" s="12" t="s">
        <v>60</v>
      </c>
      <c r="J8" s="12" t="s">
        <v>79</v>
      </c>
      <c r="K8" s="17" t="s">
        <v>1121</v>
      </c>
    </row>
    <row r="9" spans="1:11">
      <c r="A9" s="11" t="s">
        <v>87</v>
      </c>
      <c r="B9" s="12" t="s">
        <v>70</v>
      </c>
      <c r="C9" s="12" t="s">
        <v>64</v>
      </c>
      <c r="D9" s="12" t="s">
        <v>65</v>
      </c>
      <c r="E9" s="12">
        <v>25</v>
      </c>
      <c r="F9" s="13">
        <v>43967</v>
      </c>
      <c r="G9" s="14">
        <v>41336</v>
      </c>
      <c r="H9" s="15">
        <v>0</v>
      </c>
      <c r="I9" s="12" t="s">
        <v>60</v>
      </c>
      <c r="J9" s="12" t="s">
        <v>88</v>
      </c>
      <c r="K9" s="17">
        <v>44336</v>
      </c>
    </row>
    <row r="10" spans="1:11">
      <c r="A10" s="11" t="s">
        <v>85</v>
      </c>
      <c r="B10" s="12" t="s">
        <v>90</v>
      </c>
      <c r="C10" s="12" t="s">
        <v>64</v>
      </c>
      <c r="D10" s="12" t="s">
        <v>65</v>
      </c>
      <c r="E10" s="12">
        <v>29</v>
      </c>
      <c r="F10" s="13">
        <v>43490</v>
      </c>
      <c r="G10" s="14">
        <v>113527</v>
      </c>
      <c r="H10" s="15">
        <v>0.06</v>
      </c>
      <c r="I10" s="12" t="s">
        <v>60</v>
      </c>
      <c r="J10" s="12" t="s">
        <v>91</v>
      </c>
      <c r="K10" s="17" t="s">
        <v>1121</v>
      </c>
    </row>
    <row r="11" spans="1:11">
      <c r="A11" s="11" t="s">
        <v>78</v>
      </c>
      <c r="B11" s="12" t="s">
        <v>70</v>
      </c>
      <c r="C11" s="12" t="s">
        <v>71</v>
      </c>
      <c r="D11" s="12" t="s">
        <v>58</v>
      </c>
      <c r="E11" s="12">
        <v>34</v>
      </c>
      <c r="F11" s="13">
        <v>43264</v>
      </c>
      <c r="G11" s="14">
        <v>77203</v>
      </c>
      <c r="H11" s="15">
        <v>0</v>
      </c>
      <c r="I11" s="12" t="s">
        <v>60</v>
      </c>
      <c r="J11" s="12" t="s">
        <v>73</v>
      </c>
      <c r="K11" s="17" t="s">
        <v>1121</v>
      </c>
    </row>
    <row r="12" spans="1:11">
      <c r="A12" s="11" t="s">
        <v>55</v>
      </c>
      <c r="B12" s="12" t="s">
        <v>94</v>
      </c>
      <c r="C12" s="12" t="s">
        <v>64</v>
      </c>
      <c r="D12" s="12" t="s">
        <v>58</v>
      </c>
      <c r="E12" s="12">
        <v>36</v>
      </c>
      <c r="F12" s="13">
        <v>39855</v>
      </c>
      <c r="G12" s="14">
        <v>157333</v>
      </c>
      <c r="H12" s="15">
        <v>0.15</v>
      </c>
      <c r="I12" s="12" t="s">
        <v>60</v>
      </c>
      <c r="J12" s="12" t="s">
        <v>88</v>
      </c>
      <c r="K12" s="17" t="s">
        <v>1121</v>
      </c>
    </row>
    <row r="13" spans="1:11">
      <c r="A13" s="11" t="s">
        <v>97</v>
      </c>
      <c r="B13" s="12" t="s">
        <v>98</v>
      </c>
      <c r="C13" s="12" t="s">
        <v>71</v>
      </c>
      <c r="D13" s="12" t="s">
        <v>58</v>
      </c>
      <c r="E13" s="12">
        <v>27</v>
      </c>
      <c r="F13" s="13">
        <v>44490</v>
      </c>
      <c r="G13" s="14">
        <v>109851</v>
      </c>
      <c r="H13" s="15">
        <v>0</v>
      </c>
      <c r="I13" s="12" t="s">
        <v>60</v>
      </c>
      <c r="J13" s="12" t="s">
        <v>61</v>
      </c>
      <c r="K13" s="17" t="s">
        <v>1121</v>
      </c>
    </row>
    <row r="14" spans="1:11">
      <c r="A14" s="11" t="s">
        <v>85</v>
      </c>
      <c r="B14" s="12" t="s">
        <v>94</v>
      </c>
      <c r="C14" s="12" t="s">
        <v>64</v>
      </c>
      <c r="D14" s="12" t="s">
        <v>65</v>
      </c>
      <c r="E14" s="12">
        <v>59</v>
      </c>
      <c r="F14" s="13">
        <v>36233</v>
      </c>
      <c r="G14" s="14">
        <v>105086</v>
      </c>
      <c r="H14" s="15">
        <v>0.09</v>
      </c>
      <c r="I14" s="12" t="s">
        <v>60</v>
      </c>
      <c r="J14" s="12" t="s">
        <v>91</v>
      </c>
      <c r="K14" s="17" t="s">
        <v>1121</v>
      </c>
    </row>
    <row r="15" spans="1:11">
      <c r="A15" s="11" t="s">
        <v>55</v>
      </c>
      <c r="B15" s="12" t="s">
        <v>70</v>
      </c>
      <c r="C15" s="12" t="s">
        <v>57</v>
      </c>
      <c r="D15" s="12" t="s">
        <v>58</v>
      </c>
      <c r="E15" s="12">
        <v>51</v>
      </c>
      <c r="F15" s="13">
        <v>44357</v>
      </c>
      <c r="G15" s="14">
        <v>146742</v>
      </c>
      <c r="H15" s="15">
        <v>0.1</v>
      </c>
      <c r="I15" s="12" t="s">
        <v>66</v>
      </c>
      <c r="J15" s="12" t="s">
        <v>101</v>
      </c>
      <c r="K15" s="17" t="s">
        <v>1121</v>
      </c>
    </row>
    <row r="16" spans="1:11">
      <c r="A16" s="11" t="s">
        <v>78</v>
      </c>
      <c r="B16" s="12" t="s">
        <v>90</v>
      </c>
      <c r="C16" s="12" t="s">
        <v>71</v>
      </c>
      <c r="D16" s="12" t="s">
        <v>65</v>
      </c>
      <c r="E16" s="12">
        <v>31</v>
      </c>
      <c r="F16" s="13">
        <v>43043</v>
      </c>
      <c r="G16" s="14">
        <v>97078</v>
      </c>
      <c r="H16" s="15">
        <v>0</v>
      </c>
      <c r="I16" s="12" t="s">
        <v>60</v>
      </c>
      <c r="J16" s="12" t="s">
        <v>91</v>
      </c>
      <c r="K16" s="17">
        <v>43899</v>
      </c>
    </row>
    <row r="17" spans="1:11">
      <c r="A17" s="11" t="s">
        <v>104</v>
      </c>
      <c r="B17" s="12" t="s">
        <v>105</v>
      </c>
      <c r="C17" s="12" t="s">
        <v>57</v>
      </c>
      <c r="D17" s="12" t="s">
        <v>58</v>
      </c>
      <c r="E17" s="12">
        <v>41</v>
      </c>
      <c r="F17" s="13">
        <v>41346</v>
      </c>
      <c r="G17" s="14">
        <v>249270</v>
      </c>
      <c r="H17" s="15">
        <v>0.3</v>
      </c>
      <c r="I17" s="12" t="s">
        <v>60</v>
      </c>
      <c r="J17" s="12" t="s">
        <v>61</v>
      </c>
      <c r="K17" s="17" t="s">
        <v>1121</v>
      </c>
    </row>
    <row r="18" spans="1:11">
      <c r="A18" s="11" t="s">
        <v>69</v>
      </c>
      <c r="B18" s="12" t="s">
        <v>70</v>
      </c>
      <c r="C18" s="12" t="s">
        <v>57</v>
      </c>
      <c r="D18" s="12" t="s">
        <v>58</v>
      </c>
      <c r="E18" s="12">
        <v>65</v>
      </c>
      <c r="F18" s="13">
        <v>37319</v>
      </c>
      <c r="G18" s="14">
        <v>175837</v>
      </c>
      <c r="H18" s="15">
        <v>0.2</v>
      </c>
      <c r="I18" s="12" t="s">
        <v>60</v>
      </c>
      <c r="J18" s="12" t="s">
        <v>79</v>
      </c>
      <c r="K18" s="17" t="s">
        <v>1121</v>
      </c>
    </row>
    <row r="19" spans="1:11">
      <c r="A19" s="11" t="s">
        <v>55</v>
      </c>
      <c r="B19" s="12" t="s">
        <v>105</v>
      </c>
      <c r="C19" s="12" t="s">
        <v>71</v>
      </c>
      <c r="D19" s="12" t="s">
        <v>58</v>
      </c>
      <c r="E19" s="12">
        <v>64</v>
      </c>
      <c r="F19" s="13">
        <v>37956</v>
      </c>
      <c r="G19" s="14">
        <v>154828</v>
      </c>
      <c r="H19" s="15">
        <v>0.13</v>
      </c>
      <c r="I19" s="12" t="s">
        <v>60</v>
      </c>
      <c r="J19" s="12" t="s">
        <v>61</v>
      </c>
      <c r="K19" s="17" t="s">
        <v>1121</v>
      </c>
    </row>
    <row r="20" spans="1:11">
      <c r="A20" s="11" t="s">
        <v>69</v>
      </c>
      <c r="B20" s="12" t="s">
        <v>56</v>
      </c>
      <c r="C20" s="12" t="s">
        <v>83</v>
      </c>
      <c r="D20" s="12" t="s">
        <v>65</v>
      </c>
      <c r="E20" s="12">
        <v>64</v>
      </c>
      <c r="F20" s="13">
        <v>41581</v>
      </c>
      <c r="G20" s="14">
        <v>186503</v>
      </c>
      <c r="H20" s="15">
        <v>0.24</v>
      </c>
      <c r="I20" s="12" t="s">
        <v>60</v>
      </c>
      <c r="J20" s="12" t="s">
        <v>110</v>
      </c>
      <c r="K20" s="17" t="s">
        <v>1121</v>
      </c>
    </row>
    <row r="21" spans="1:11">
      <c r="A21" s="11" t="s">
        <v>69</v>
      </c>
      <c r="B21" s="12" t="s">
        <v>82</v>
      </c>
      <c r="C21" s="12" t="s">
        <v>57</v>
      </c>
      <c r="D21" s="12" t="s">
        <v>65</v>
      </c>
      <c r="E21" s="12">
        <v>45</v>
      </c>
      <c r="F21" s="13">
        <v>37446</v>
      </c>
      <c r="G21" s="14">
        <v>166331</v>
      </c>
      <c r="H21" s="15">
        <v>0.18</v>
      </c>
      <c r="I21" s="12" t="s">
        <v>66</v>
      </c>
      <c r="J21" s="12" t="s">
        <v>67</v>
      </c>
      <c r="K21" s="17" t="s">
        <v>1121</v>
      </c>
    </row>
    <row r="22" spans="1:11">
      <c r="A22" s="11" t="s">
        <v>55</v>
      </c>
      <c r="B22" s="12" t="s">
        <v>56</v>
      </c>
      <c r="C22" s="12" t="s">
        <v>64</v>
      </c>
      <c r="D22" s="12" t="s">
        <v>65</v>
      </c>
      <c r="E22" s="12">
        <v>56</v>
      </c>
      <c r="F22" s="13">
        <v>40917</v>
      </c>
      <c r="G22" s="14">
        <v>146140</v>
      </c>
      <c r="H22" s="15">
        <v>0.1</v>
      </c>
      <c r="I22" s="12" t="s">
        <v>113</v>
      </c>
      <c r="J22" s="12" t="s">
        <v>114</v>
      </c>
      <c r="K22" s="17" t="s">
        <v>1121</v>
      </c>
    </row>
    <row r="23" spans="1:11">
      <c r="A23" s="11" t="s">
        <v>69</v>
      </c>
      <c r="B23" s="12" t="s">
        <v>82</v>
      </c>
      <c r="C23" s="12" t="s">
        <v>64</v>
      </c>
      <c r="D23" s="12" t="s">
        <v>58</v>
      </c>
      <c r="E23" s="12">
        <v>36</v>
      </c>
      <c r="F23" s="13">
        <v>44288</v>
      </c>
      <c r="G23" s="14">
        <v>151703</v>
      </c>
      <c r="H23" s="15">
        <v>0.21</v>
      </c>
      <c r="I23" s="12" t="s">
        <v>60</v>
      </c>
      <c r="J23" s="12" t="s">
        <v>88</v>
      </c>
      <c r="K23" s="17" t="s">
        <v>1121</v>
      </c>
    </row>
    <row r="24" spans="1:11">
      <c r="A24" s="11" t="s">
        <v>69</v>
      </c>
      <c r="B24" s="12" t="s">
        <v>56</v>
      </c>
      <c r="C24" s="12" t="s">
        <v>57</v>
      </c>
      <c r="D24" s="12" t="s">
        <v>65</v>
      </c>
      <c r="E24" s="12">
        <v>59</v>
      </c>
      <c r="F24" s="13">
        <v>37400</v>
      </c>
      <c r="G24" s="14">
        <v>172787</v>
      </c>
      <c r="H24" s="15">
        <v>0.28</v>
      </c>
      <c r="I24" s="12" t="s">
        <v>113</v>
      </c>
      <c r="J24" s="12" t="s">
        <v>117</v>
      </c>
      <c r="K24" s="17" t="s">
        <v>1121</v>
      </c>
    </row>
    <row r="25" spans="1:11">
      <c r="A25" s="11" t="s">
        <v>87</v>
      </c>
      <c r="B25" s="12" t="s">
        <v>82</v>
      </c>
      <c r="C25" s="12" t="s">
        <v>71</v>
      </c>
      <c r="D25" s="12" t="s">
        <v>65</v>
      </c>
      <c r="E25" s="12">
        <v>37</v>
      </c>
      <c r="F25" s="13">
        <v>43713</v>
      </c>
      <c r="G25" s="14">
        <v>49998</v>
      </c>
      <c r="H25" s="15">
        <v>0</v>
      </c>
      <c r="I25" s="12" t="s">
        <v>60</v>
      </c>
      <c r="J25" s="12" t="s">
        <v>61</v>
      </c>
      <c r="K25" s="17" t="s">
        <v>1121</v>
      </c>
    </row>
    <row r="26" spans="1:11">
      <c r="A26" s="11" t="s">
        <v>104</v>
      </c>
      <c r="B26" s="12" t="s">
        <v>82</v>
      </c>
      <c r="C26" s="12" t="s">
        <v>71</v>
      </c>
      <c r="D26" s="12" t="s">
        <v>65</v>
      </c>
      <c r="E26" s="12">
        <v>44</v>
      </c>
      <c r="F26" s="13">
        <v>41700</v>
      </c>
      <c r="G26" s="14">
        <v>207172</v>
      </c>
      <c r="H26" s="15">
        <v>0.31</v>
      </c>
      <c r="I26" s="12" t="s">
        <v>66</v>
      </c>
      <c r="J26" s="12" t="s">
        <v>67</v>
      </c>
      <c r="K26" s="17" t="s">
        <v>1121</v>
      </c>
    </row>
    <row r="27" spans="1:11">
      <c r="A27" s="11" t="s">
        <v>69</v>
      </c>
      <c r="B27" s="12" t="s">
        <v>94</v>
      </c>
      <c r="C27" s="12" t="s">
        <v>71</v>
      </c>
      <c r="D27" s="12" t="s">
        <v>65</v>
      </c>
      <c r="E27" s="12">
        <v>41</v>
      </c>
      <c r="F27" s="13">
        <v>42111</v>
      </c>
      <c r="G27" s="14">
        <v>152239</v>
      </c>
      <c r="H27" s="15">
        <v>0.23</v>
      </c>
      <c r="I27" s="12" t="s">
        <v>60</v>
      </c>
      <c r="J27" s="12" t="s">
        <v>110</v>
      </c>
      <c r="K27" s="17" t="s">
        <v>1121</v>
      </c>
    </row>
    <row r="28" spans="1:11">
      <c r="A28" s="11" t="s">
        <v>122</v>
      </c>
      <c r="B28" s="12" t="s">
        <v>98</v>
      </c>
      <c r="C28" s="12" t="s">
        <v>83</v>
      </c>
      <c r="D28" s="12" t="s">
        <v>58</v>
      </c>
      <c r="E28" s="12">
        <v>56</v>
      </c>
      <c r="F28" s="13">
        <v>38388</v>
      </c>
      <c r="G28" s="14">
        <v>98581</v>
      </c>
      <c r="H28" s="15">
        <v>0</v>
      </c>
      <c r="I28" s="12" t="s">
        <v>113</v>
      </c>
      <c r="J28" s="12" t="s">
        <v>117</v>
      </c>
      <c r="K28" s="17" t="s">
        <v>1121</v>
      </c>
    </row>
    <row r="29" spans="1:11">
      <c r="A29" s="11" t="s">
        <v>104</v>
      </c>
      <c r="B29" s="12" t="s">
        <v>98</v>
      </c>
      <c r="C29" s="12" t="s">
        <v>71</v>
      </c>
      <c r="D29" s="12" t="s">
        <v>65</v>
      </c>
      <c r="E29" s="12">
        <v>43</v>
      </c>
      <c r="F29" s="13">
        <v>38145</v>
      </c>
      <c r="G29" s="14">
        <v>246231</v>
      </c>
      <c r="H29" s="15">
        <v>0.31</v>
      </c>
      <c r="I29" s="12" t="s">
        <v>60</v>
      </c>
      <c r="J29" s="12" t="s">
        <v>61</v>
      </c>
      <c r="K29" s="17" t="s">
        <v>1121</v>
      </c>
    </row>
    <row r="30" spans="1:11">
      <c r="A30" s="11" t="s">
        <v>125</v>
      </c>
      <c r="B30" s="12" t="s">
        <v>98</v>
      </c>
      <c r="C30" s="12" t="s">
        <v>71</v>
      </c>
      <c r="D30" s="12" t="s">
        <v>65</v>
      </c>
      <c r="E30" s="12">
        <v>64</v>
      </c>
      <c r="F30" s="13">
        <v>35403</v>
      </c>
      <c r="G30" s="14">
        <v>99354</v>
      </c>
      <c r="H30" s="15">
        <v>0.12</v>
      </c>
      <c r="I30" s="12" t="s">
        <v>66</v>
      </c>
      <c r="J30" s="12" t="s">
        <v>126</v>
      </c>
      <c r="K30" s="17" t="s">
        <v>1121</v>
      </c>
    </row>
    <row r="31" spans="1:11">
      <c r="A31" s="11" t="s">
        <v>104</v>
      </c>
      <c r="B31" s="12" t="s">
        <v>56</v>
      </c>
      <c r="C31" s="12" t="s">
        <v>83</v>
      </c>
      <c r="D31" s="12" t="s">
        <v>65</v>
      </c>
      <c r="E31" s="12">
        <v>63</v>
      </c>
      <c r="F31" s="13">
        <v>41040</v>
      </c>
      <c r="G31" s="14">
        <v>231141</v>
      </c>
      <c r="H31" s="15">
        <v>0.34</v>
      </c>
      <c r="I31" s="12" t="s">
        <v>66</v>
      </c>
      <c r="J31" s="12" t="s">
        <v>126</v>
      </c>
      <c r="K31" s="17" t="s">
        <v>1121</v>
      </c>
    </row>
    <row r="32" spans="1:11">
      <c r="A32" s="11" t="s">
        <v>129</v>
      </c>
      <c r="B32" s="12" t="s">
        <v>56</v>
      </c>
      <c r="C32" s="12" t="s">
        <v>57</v>
      </c>
      <c r="D32" s="12" t="s">
        <v>65</v>
      </c>
      <c r="E32" s="12">
        <v>28</v>
      </c>
      <c r="F32" s="13">
        <v>42911</v>
      </c>
      <c r="G32" s="14">
        <v>54775</v>
      </c>
      <c r="H32" s="15">
        <v>0</v>
      </c>
      <c r="I32" s="12" t="s">
        <v>60</v>
      </c>
      <c r="J32" s="12" t="s">
        <v>110</v>
      </c>
      <c r="K32" s="17" t="s">
        <v>1121</v>
      </c>
    </row>
    <row r="33" spans="1:11">
      <c r="A33" s="11" t="s">
        <v>87</v>
      </c>
      <c r="B33" s="12" t="s">
        <v>70</v>
      </c>
      <c r="C33" s="12" t="s">
        <v>64</v>
      </c>
      <c r="D33" s="12" t="s">
        <v>65</v>
      </c>
      <c r="E33" s="12">
        <v>65</v>
      </c>
      <c r="F33" s="13">
        <v>38123</v>
      </c>
      <c r="G33" s="14">
        <v>55499</v>
      </c>
      <c r="H33" s="15">
        <v>0</v>
      </c>
      <c r="I33" s="12" t="s">
        <v>113</v>
      </c>
      <c r="J33" s="12" t="s">
        <v>114</v>
      </c>
      <c r="K33" s="17" t="s">
        <v>1121</v>
      </c>
    </row>
    <row r="34" spans="1:11">
      <c r="A34" s="11" t="s">
        <v>132</v>
      </c>
      <c r="B34" s="12" t="s">
        <v>82</v>
      </c>
      <c r="C34" s="12" t="s">
        <v>57</v>
      </c>
      <c r="D34" s="12" t="s">
        <v>65</v>
      </c>
      <c r="E34" s="12">
        <v>61</v>
      </c>
      <c r="F34" s="13">
        <v>39640</v>
      </c>
      <c r="G34" s="14">
        <v>66521</v>
      </c>
      <c r="H34" s="15">
        <v>0</v>
      </c>
      <c r="I34" s="12" t="s">
        <v>60</v>
      </c>
      <c r="J34" s="12" t="s">
        <v>61</v>
      </c>
      <c r="K34" s="17" t="s">
        <v>1121</v>
      </c>
    </row>
    <row r="35" spans="1:11">
      <c r="A35" s="11" t="s">
        <v>81</v>
      </c>
      <c r="B35" s="12" t="s">
        <v>82</v>
      </c>
      <c r="C35" s="12" t="s">
        <v>71</v>
      </c>
      <c r="D35" s="12" t="s">
        <v>65</v>
      </c>
      <c r="E35" s="12">
        <v>30</v>
      </c>
      <c r="F35" s="13">
        <v>42642</v>
      </c>
      <c r="G35" s="14">
        <v>59100</v>
      </c>
      <c r="H35" s="15">
        <v>0</v>
      </c>
      <c r="I35" s="12" t="s">
        <v>66</v>
      </c>
      <c r="J35" s="12" t="s">
        <v>67</v>
      </c>
      <c r="K35" s="17" t="s">
        <v>1121</v>
      </c>
    </row>
    <row r="36" spans="1:11">
      <c r="A36" s="11" t="s">
        <v>87</v>
      </c>
      <c r="B36" s="12" t="s">
        <v>70</v>
      </c>
      <c r="C36" s="12" t="s">
        <v>57</v>
      </c>
      <c r="D36" s="12" t="s">
        <v>58</v>
      </c>
      <c r="E36" s="12">
        <v>27</v>
      </c>
      <c r="F36" s="13">
        <v>43226</v>
      </c>
      <c r="G36" s="14">
        <v>49011</v>
      </c>
      <c r="H36" s="15">
        <v>0</v>
      </c>
      <c r="I36" s="12" t="s">
        <v>60</v>
      </c>
      <c r="J36" s="12" t="s">
        <v>73</v>
      </c>
      <c r="K36" s="17" t="s">
        <v>1121</v>
      </c>
    </row>
    <row r="37" spans="1:11">
      <c r="A37" s="11" t="s">
        <v>136</v>
      </c>
      <c r="B37" s="12" t="s">
        <v>56</v>
      </c>
      <c r="C37" s="12" t="s">
        <v>64</v>
      </c>
      <c r="D37" s="12" t="s">
        <v>58</v>
      </c>
      <c r="E37" s="12">
        <v>32</v>
      </c>
      <c r="F37" s="13">
        <v>41681</v>
      </c>
      <c r="G37" s="14">
        <v>99575</v>
      </c>
      <c r="H37" s="15">
        <v>0</v>
      </c>
      <c r="I37" s="12" t="s">
        <v>60</v>
      </c>
      <c r="J37" s="12" t="s">
        <v>91</v>
      </c>
      <c r="K37" s="17" t="s">
        <v>1121</v>
      </c>
    </row>
    <row r="38" spans="1:11">
      <c r="A38" s="11" t="s">
        <v>97</v>
      </c>
      <c r="B38" s="12" t="s">
        <v>98</v>
      </c>
      <c r="C38" s="12" t="s">
        <v>64</v>
      </c>
      <c r="D38" s="12" t="s">
        <v>58</v>
      </c>
      <c r="E38" s="12">
        <v>34</v>
      </c>
      <c r="F38" s="13">
        <v>43815</v>
      </c>
      <c r="G38" s="14">
        <v>99989</v>
      </c>
      <c r="H38" s="15">
        <v>0</v>
      </c>
      <c r="I38" s="12" t="s">
        <v>66</v>
      </c>
      <c r="J38" s="12" t="s">
        <v>138</v>
      </c>
      <c r="K38" s="17" t="s">
        <v>1121</v>
      </c>
    </row>
    <row r="39" spans="1:11">
      <c r="A39" s="11" t="s">
        <v>104</v>
      </c>
      <c r="B39" s="12" t="s">
        <v>105</v>
      </c>
      <c r="C39" s="12" t="s">
        <v>57</v>
      </c>
      <c r="D39" s="12" t="s">
        <v>65</v>
      </c>
      <c r="E39" s="12">
        <v>27</v>
      </c>
      <c r="F39" s="13">
        <v>43758</v>
      </c>
      <c r="G39" s="14">
        <v>256420</v>
      </c>
      <c r="H39" s="15">
        <v>0.3</v>
      </c>
      <c r="I39" s="12" t="s">
        <v>60</v>
      </c>
      <c r="J39" s="12" t="s">
        <v>79</v>
      </c>
      <c r="K39" s="17" t="s">
        <v>1121</v>
      </c>
    </row>
    <row r="40" spans="1:11">
      <c r="A40" s="11" t="s">
        <v>63</v>
      </c>
      <c r="B40" s="12" t="s">
        <v>56</v>
      </c>
      <c r="C40" s="12" t="s">
        <v>64</v>
      </c>
      <c r="D40" s="12" t="s">
        <v>58</v>
      </c>
      <c r="E40" s="12">
        <v>35</v>
      </c>
      <c r="F40" s="13">
        <v>41409</v>
      </c>
      <c r="G40" s="14">
        <v>78940</v>
      </c>
      <c r="H40" s="15">
        <v>0</v>
      </c>
      <c r="I40" s="12" t="s">
        <v>60</v>
      </c>
      <c r="J40" s="12" t="s">
        <v>88</v>
      </c>
      <c r="K40" s="17" t="s">
        <v>1121</v>
      </c>
    </row>
    <row r="41" spans="1:11">
      <c r="A41" s="11" t="s">
        <v>136</v>
      </c>
      <c r="B41" s="12" t="s">
        <v>56</v>
      </c>
      <c r="C41" s="12" t="s">
        <v>83</v>
      </c>
      <c r="D41" s="12" t="s">
        <v>58</v>
      </c>
      <c r="E41" s="12">
        <v>57</v>
      </c>
      <c r="F41" s="13">
        <v>34337</v>
      </c>
      <c r="G41" s="14">
        <v>82872</v>
      </c>
      <c r="H41" s="15">
        <v>0</v>
      </c>
      <c r="I41" s="12" t="s">
        <v>113</v>
      </c>
      <c r="J41" s="12" t="s">
        <v>114</v>
      </c>
      <c r="K41" s="17" t="s">
        <v>1121</v>
      </c>
    </row>
    <row r="42" spans="1:11">
      <c r="A42" s="11" t="s">
        <v>143</v>
      </c>
      <c r="B42" s="12" t="s">
        <v>94</v>
      </c>
      <c r="C42" s="12" t="s">
        <v>71</v>
      </c>
      <c r="D42" s="12" t="s">
        <v>65</v>
      </c>
      <c r="E42" s="12">
        <v>30</v>
      </c>
      <c r="F42" s="13">
        <v>42884</v>
      </c>
      <c r="G42" s="14">
        <v>86317</v>
      </c>
      <c r="H42" s="15">
        <v>0</v>
      </c>
      <c r="I42" s="12" t="s">
        <v>66</v>
      </c>
      <c r="J42" s="12" t="s">
        <v>138</v>
      </c>
      <c r="K42" s="17">
        <v>42932</v>
      </c>
    </row>
    <row r="43" spans="1:11">
      <c r="A43" s="11" t="s">
        <v>85</v>
      </c>
      <c r="B43" s="12" t="s">
        <v>105</v>
      </c>
      <c r="C43" s="12" t="s">
        <v>71</v>
      </c>
      <c r="D43" s="12" t="s">
        <v>58</v>
      </c>
      <c r="E43" s="12">
        <v>53</v>
      </c>
      <c r="F43" s="13">
        <v>41601</v>
      </c>
      <c r="G43" s="14">
        <v>113135</v>
      </c>
      <c r="H43" s="15">
        <v>0.05</v>
      </c>
      <c r="I43" s="12" t="s">
        <v>60</v>
      </c>
      <c r="J43" s="12" t="s">
        <v>91</v>
      </c>
      <c r="K43" s="17" t="s">
        <v>1121</v>
      </c>
    </row>
    <row r="44" spans="1:11">
      <c r="A44" s="11" t="s">
        <v>104</v>
      </c>
      <c r="B44" s="12" t="s">
        <v>56</v>
      </c>
      <c r="C44" s="12" t="s">
        <v>71</v>
      </c>
      <c r="D44" s="12" t="s">
        <v>65</v>
      </c>
      <c r="E44" s="12">
        <v>52</v>
      </c>
      <c r="F44" s="13">
        <v>38664</v>
      </c>
      <c r="G44" s="14">
        <v>199808</v>
      </c>
      <c r="H44" s="15">
        <v>0.32</v>
      </c>
      <c r="I44" s="12" t="s">
        <v>60</v>
      </c>
      <c r="J44" s="12" t="s">
        <v>61</v>
      </c>
      <c r="K44" s="17" t="s">
        <v>1121</v>
      </c>
    </row>
    <row r="45" spans="1:11">
      <c r="A45" s="11" t="s">
        <v>81</v>
      </c>
      <c r="B45" s="12" t="s">
        <v>82</v>
      </c>
      <c r="C45" s="12" t="s">
        <v>71</v>
      </c>
      <c r="D45" s="12" t="s">
        <v>65</v>
      </c>
      <c r="E45" s="12">
        <v>37</v>
      </c>
      <c r="F45" s="13">
        <v>41592</v>
      </c>
      <c r="G45" s="14">
        <v>56037</v>
      </c>
      <c r="H45" s="15">
        <v>0</v>
      </c>
      <c r="I45" s="12" t="s">
        <v>66</v>
      </c>
      <c r="J45" s="12" t="s">
        <v>101</v>
      </c>
      <c r="K45" s="17" t="s">
        <v>1121</v>
      </c>
    </row>
    <row r="46" spans="1:11">
      <c r="A46" s="11" t="s">
        <v>55</v>
      </c>
      <c r="B46" s="12" t="s">
        <v>105</v>
      </c>
      <c r="C46" s="12" t="s">
        <v>57</v>
      </c>
      <c r="D46" s="12" t="s">
        <v>58</v>
      </c>
      <c r="E46" s="12">
        <v>29</v>
      </c>
      <c r="F46" s="13">
        <v>43609</v>
      </c>
      <c r="G46" s="14">
        <v>122350</v>
      </c>
      <c r="H46" s="15">
        <v>0.12</v>
      </c>
      <c r="I46" s="12" t="s">
        <v>60</v>
      </c>
      <c r="J46" s="12" t="s">
        <v>79</v>
      </c>
      <c r="K46" s="17" t="s">
        <v>1121</v>
      </c>
    </row>
    <row r="47" spans="1:11">
      <c r="A47" s="11" t="s">
        <v>136</v>
      </c>
      <c r="B47" s="12" t="s">
        <v>56</v>
      </c>
      <c r="C47" s="12" t="s">
        <v>57</v>
      </c>
      <c r="D47" s="12" t="s">
        <v>65</v>
      </c>
      <c r="E47" s="12">
        <v>40</v>
      </c>
      <c r="F47" s="13">
        <v>40486</v>
      </c>
      <c r="G47" s="14">
        <v>92952</v>
      </c>
      <c r="H47" s="15">
        <v>0</v>
      </c>
      <c r="I47" s="12" t="s">
        <v>60</v>
      </c>
      <c r="J47" s="12" t="s">
        <v>61</v>
      </c>
      <c r="K47" s="17" t="s">
        <v>1121</v>
      </c>
    </row>
    <row r="48" spans="1:11">
      <c r="A48" s="11" t="s">
        <v>75</v>
      </c>
      <c r="B48" s="12" t="s">
        <v>56</v>
      </c>
      <c r="C48" s="12" t="s">
        <v>83</v>
      </c>
      <c r="D48" s="12" t="s">
        <v>65</v>
      </c>
      <c r="E48" s="12">
        <v>32</v>
      </c>
      <c r="F48" s="13">
        <v>41353</v>
      </c>
      <c r="G48" s="14">
        <v>79921</v>
      </c>
      <c r="H48" s="15">
        <v>0.05</v>
      </c>
      <c r="I48" s="12" t="s">
        <v>60</v>
      </c>
      <c r="J48" s="12" t="s">
        <v>91</v>
      </c>
      <c r="K48" s="17" t="s">
        <v>1121</v>
      </c>
    </row>
    <row r="49" spans="1:11">
      <c r="A49" s="11" t="s">
        <v>69</v>
      </c>
      <c r="B49" s="12" t="s">
        <v>56</v>
      </c>
      <c r="C49" s="12" t="s">
        <v>57</v>
      </c>
      <c r="D49" s="12" t="s">
        <v>58</v>
      </c>
      <c r="E49" s="12">
        <v>37</v>
      </c>
      <c r="F49" s="13">
        <v>40076</v>
      </c>
      <c r="G49" s="14">
        <v>167199</v>
      </c>
      <c r="H49" s="15">
        <v>0.2</v>
      </c>
      <c r="I49" s="12" t="s">
        <v>60</v>
      </c>
      <c r="J49" s="12" t="s">
        <v>61</v>
      </c>
      <c r="K49" s="17" t="s">
        <v>1121</v>
      </c>
    </row>
    <row r="50" spans="1:11">
      <c r="A50" s="11" t="s">
        <v>122</v>
      </c>
      <c r="B50" s="12" t="s">
        <v>98</v>
      </c>
      <c r="C50" s="12" t="s">
        <v>57</v>
      </c>
      <c r="D50" s="12" t="s">
        <v>65</v>
      </c>
      <c r="E50" s="12">
        <v>52</v>
      </c>
      <c r="F50" s="13">
        <v>41199</v>
      </c>
      <c r="G50" s="14">
        <v>71476</v>
      </c>
      <c r="H50" s="15">
        <v>0</v>
      </c>
      <c r="I50" s="12" t="s">
        <v>60</v>
      </c>
      <c r="J50" s="12" t="s">
        <v>79</v>
      </c>
      <c r="K50" s="17" t="s">
        <v>1121</v>
      </c>
    </row>
    <row r="51" spans="1:11">
      <c r="A51" s="11" t="s">
        <v>69</v>
      </c>
      <c r="B51" s="12" t="s">
        <v>98</v>
      </c>
      <c r="C51" s="12" t="s">
        <v>64</v>
      </c>
      <c r="D51" s="12" t="s">
        <v>58</v>
      </c>
      <c r="E51" s="12">
        <v>45</v>
      </c>
      <c r="F51" s="13">
        <v>41941</v>
      </c>
      <c r="G51" s="14">
        <v>189420</v>
      </c>
      <c r="H51" s="15">
        <v>0.2</v>
      </c>
      <c r="I51" s="12" t="s">
        <v>60</v>
      </c>
      <c r="J51" s="12" t="s">
        <v>61</v>
      </c>
      <c r="K51" s="17" t="s">
        <v>1121</v>
      </c>
    </row>
    <row r="52" spans="1:11">
      <c r="A52" s="11" t="s">
        <v>154</v>
      </c>
      <c r="B52" s="12" t="s">
        <v>94</v>
      </c>
      <c r="C52" s="12" t="s">
        <v>57</v>
      </c>
      <c r="D52" s="12" t="s">
        <v>58</v>
      </c>
      <c r="E52" s="12">
        <v>64</v>
      </c>
      <c r="F52" s="13">
        <v>37184</v>
      </c>
      <c r="G52" s="14">
        <v>64057</v>
      </c>
      <c r="H52" s="15">
        <v>0</v>
      </c>
      <c r="I52" s="12" t="s">
        <v>60</v>
      </c>
      <c r="J52" s="12" t="s">
        <v>79</v>
      </c>
      <c r="K52" s="17" t="s">
        <v>1121</v>
      </c>
    </row>
    <row r="53" spans="1:11">
      <c r="A53" s="11" t="s">
        <v>132</v>
      </c>
      <c r="B53" s="12" t="s">
        <v>105</v>
      </c>
      <c r="C53" s="12" t="s">
        <v>64</v>
      </c>
      <c r="D53" s="12" t="s">
        <v>58</v>
      </c>
      <c r="E53" s="12">
        <v>27</v>
      </c>
      <c r="F53" s="13">
        <v>44460</v>
      </c>
      <c r="G53" s="14">
        <v>68728</v>
      </c>
      <c r="H53" s="15">
        <v>0</v>
      </c>
      <c r="I53" s="12" t="s">
        <v>60</v>
      </c>
      <c r="J53" s="12" t="s">
        <v>79</v>
      </c>
      <c r="K53" s="17" t="s">
        <v>1121</v>
      </c>
    </row>
    <row r="54" spans="1:11">
      <c r="A54" s="11" t="s">
        <v>55</v>
      </c>
      <c r="B54" s="12" t="s">
        <v>56</v>
      </c>
      <c r="C54" s="12" t="s">
        <v>64</v>
      </c>
      <c r="D54" s="12" t="s">
        <v>58</v>
      </c>
      <c r="E54" s="12">
        <v>25</v>
      </c>
      <c r="F54" s="13">
        <v>44379</v>
      </c>
      <c r="G54" s="14">
        <v>125633</v>
      </c>
      <c r="H54" s="15">
        <v>0.11</v>
      </c>
      <c r="I54" s="12" t="s">
        <v>66</v>
      </c>
      <c r="J54" s="12" t="s">
        <v>126</v>
      </c>
      <c r="K54" s="17" t="s">
        <v>1121</v>
      </c>
    </row>
    <row r="55" spans="1:11">
      <c r="A55" s="11" t="s">
        <v>132</v>
      </c>
      <c r="B55" s="12" t="s">
        <v>105</v>
      </c>
      <c r="C55" s="12" t="s">
        <v>64</v>
      </c>
      <c r="D55" s="12" t="s">
        <v>65</v>
      </c>
      <c r="E55" s="12">
        <v>35</v>
      </c>
      <c r="F55" s="13">
        <v>40678</v>
      </c>
      <c r="G55" s="14">
        <v>66889</v>
      </c>
      <c r="H55" s="15">
        <v>0</v>
      </c>
      <c r="I55" s="12" t="s">
        <v>60</v>
      </c>
      <c r="J55" s="12" t="s">
        <v>110</v>
      </c>
      <c r="K55" s="17" t="s">
        <v>1121</v>
      </c>
    </row>
    <row r="56" spans="1:11">
      <c r="A56" s="11" t="s">
        <v>69</v>
      </c>
      <c r="B56" s="12" t="s">
        <v>90</v>
      </c>
      <c r="C56" s="12" t="s">
        <v>57</v>
      </c>
      <c r="D56" s="12" t="s">
        <v>58</v>
      </c>
      <c r="E56" s="12">
        <v>36</v>
      </c>
      <c r="F56" s="13">
        <v>42276</v>
      </c>
      <c r="G56" s="14">
        <v>178700</v>
      </c>
      <c r="H56" s="15">
        <v>0.29</v>
      </c>
      <c r="I56" s="12" t="s">
        <v>60</v>
      </c>
      <c r="J56" s="12" t="s">
        <v>61</v>
      </c>
      <c r="K56" s="17" t="s">
        <v>1121</v>
      </c>
    </row>
    <row r="57" spans="1:11">
      <c r="A57" s="11" t="s">
        <v>160</v>
      </c>
      <c r="B57" s="12" t="s">
        <v>98</v>
      </c>
      <c r="C57" s="12" t="s">
        <v>57</v>
      </c>
      <c r="D57" s="12" t="s">
        <v>58</v>
      </c>
      <c r="E57" s="12">
        <v>33</v>
      </c>
      <c r="F57" s="13">
        <v>43456</v>
      </c>
      <c r="G57" s="14">
        <v>83990</v>
      </c>
      <c r="H57" s="15">
        <v>0</v>
      </c>
      <c r="I57" s="12" t="s">
        <v>60</v>
      </c>
      <c r="J57" s="12" t="s">
        <v>73</v>
      </c>
      <c r="K57" s="17" t="s">
        <v>1121</v>
      </c>
    </row>
    <row r="58" spans="1:11">
      <c r="A58" s="11" t="s">
        <v>162</v>
      </c>
      <c r="B58" s="12" t="s">
        <v>98</v>
      </c>
      <c r="C58" s="12" t="s">
        <v>83</v>
      </c>
      <c r="D58" s="12" t="s">
        <v>58</v>
      </c>
      <c r="E58" s="12">
        <v>52</v>
      </c>
      <c r="F58" s="13">
        <v>38696</v>
      </c>
      <c r="G58" s="14">
        <v>102043</v>
      </c>
      <c r="H58" s="15">
        <v>0</v>
      </c>
      <c r="I58" s="12" t="s">
        <v>60</v>
      </c>
      <c r="J58" s="12" t="s">
        <v>73</v>
      </c>
      <c r="K58" s="17" t="s">
        <v>1121</v>
      </c>
    </row>
    <row r="59" spans="1:11">
      <c r="A59" s="11" t="s">
        <v>164</v>
      </c>
      <c r="B59" s="12" t="s">
        <v>98</v>
      </c>
      <c r="C59" s="12" t="s">
        <v>64</v>
      </c>
      <c r="D59" s="12" t="s">
        <v>58</v>
      </c>
      <c r="E59" s="12">
        <v>46</v>
      </c>
      <c r="F59" s="13">
        <v>37041</v>
      </c>
      <c r="G59" s="14">
        <v>90678</v>
      </c>
      <c r="H59" s="15">
        <v>0</v>
      </c>
      <c r="I59" s="12" t="s">
        <v>60</v>
      </c>
      <c r="J59" s="12" t="s">
        <v>110</v>
      </c>
      <c r="K59" s="17" t="s">
        <v>1121</v>
      </c>
    </row>
    <row r="60" spans="1:11">
      <c r="A60" s="11" t="s">
        <v>166</v>
      </c>
      <c r="B60" s="12" t="s">
        <v>94</v>
      </c>
      <c r="C60" s="12" t="s">
        <v>64</v>
      </c>
      <c r="D60" s="12" t="s">
        <v>58</v>
      </c>
      <c r="E60" s="12">
        <v>46</v>
      </c>
      <c r="F60" s="13">
        <v>39681</v>
      </c>
      <c r="G60" s="14">
        <v>59067</v>
      </c>
      <c r="H60" s="15">
        <v>0</v>
      </c>
      <c r="I60" s="12" t="s">
        <v>60</v>
      </c>
      <c r="J60" s="12" t="s">
        <v>88</v>
      </c>
      <c r="K60" s="17" t="s">
        <v>1121</v>
      </c>
    </row>
    <row r="61" spans="1:11">
      <c r="A61" s="11" t="s">
        <v>55</v>
      </c>
      <c r="B61" s="12" t="s">
        <v>105</v>
      </c>
      <c r="C61" s="12" t="s">
        <v>57</v>
      </c>
      <c r="D61" s="12" t="s">
        <v>65</v>
      </c>
      <c r="E61" s="12">
        <v>45</v>
      </c>
      <c r="F61" s="13">
        <v>44266</v>
      </c>
      <c r="G61" s="14">
        <v>135062</v>
      </c>
      <c r="H61" s="15">
        <v>0.15</v>
      </c>
      <c r="I61" s="12" t="s">
        <v>66</v>
      </c>
      <c r="J61" s="12" t="s">
        <v>138</v>
      </c>
      <c r="K61" s="17" t="s">
        <v>1121</v>
      </c>
    </row>
    <row r="62" spans="1:11">
      <c r="A62" s="11" t="s">
        <v>55</v>
      </c>
      <c r="B62" s="12" t="s">
        <v>56</v>
      </c>
      <c r="C62" s="12" t="s">
        <v>83</v>
      </c>
      <c r="D62" s="12" t="s">
        <v>58</v>
      </c>
      <c r="E62" s="12">
        <v>55</v>
      </c>
      <c r="F62" s="13">
        <v>38945</v>
      </c>
      <c r="G62" s="14">
        <v>159044</v>
      </c>
      <c r="H62" s="15">
        <v>0.1</v>
      </c>
      <c r="I62" s="12" t="s">
        <v>113</v>
      </c>
      <c r="J62" s="12" t="s">
        <v>114</v>
      </c>
      <c r="K62" s="17" t="s">
        <v>1121</v>
      </c>
    </row>
    <row r="63" spans="1:11">
      <c r="A63" s="11" t="s">
        <v>78</v>
      </c>
      <c r="B63" s="12" t="s">
        <v>90</v>
      </c>
      <c r="C63" s="12" t="s">
        <v>64</v>
      </c>
      <c r="D63" s="12" t="s">
        <v>58</v>
      </c>
      <c r="E63" s="12">
        <v>44</v>
      </c>
      <c r="F63" s="13">
        <v>43467</v>
      </c>
      <c r="G63" s="14">
        <v>74691</v>
      </c>
      <c r="H63" s="15">
        <v>0</v>
      </c>
      <c r="I63" s="12" t="s">
        <v>113</v>
      </c>
      <c r="J63" s="12" t="s">
        <v>114</v>
      </c>
      <c r="K63" s="17">
        <v>44020</v>
      </c>
    </row>
    <row r="64" spans="1:11">
      <c r="A64" s="11" t="s">
        <v>125</v>
      </c>
      <c r="B64" s="12" t="s">
        <v>98</v>
      </c>
      <c r="C64" s="12" t="s">
        <v>83</v>
      </c>
      <c r="D64" s="12" t="s">
        <v>58</v>
      </c>
      <c r="E64" s="12">
        <v>44</v>
      </c>
      <c r="F64" s="13">
        <v>39800</v>
      </c>
      <c r="G64" s="14">
        <v>92753</v>
      </c>
      <c r="H64" s="15">
        <v>0.13</v>
      </c>
      <c r="I64" s="12" t="s">
        <v>60</v>
      </c>
      <c r="J64" s="12" t="s">
        <v>91</v>
      </c>
      <c r="K64" s="17">
        <v>44371</v>
      </c>
    </row>
    <row r="65" spans="1:11">
      <c r="A65" s="11" t="s">
        <v>104</v>
      </c>
      <c r="B65" s="12" t="s">
        <v>94</v>
      </c>
      <c r="C65" s="12" t="s">
        <v>71</v>
      </c>
      <c r="D65" s="12" t="s">
        <v>65</v>
      </c>
      <c r="E65" s="12">
        <v>45</v>
      </c>
      <c r="F65" s="13">
        <v>41493</v>
      </c>
      <c r="G65" s="14">
        <v>236946</v>
      </c>
      <c r="H65" s="15">
        <v>0.37</v>
      </c>
      <c r="I65" s="12" t="s">
        <v>60</v>
      </c>
      <c r="J65" s="12" t="s">
        <v>61</v>
      </c>
      <c r="K65" s="17" t="s">
        <v>1121</v>
      </c>
    </row>
    <row r="66" spans="1:11">
      <c r="A66" s="11" t="s">
        <v>87</v>
      </c>
      <c r="B66" s="12" t="s">
        <v>70</v>
      </c>
      <c r="C66" s="12" t="s">
        <v>83</v>
      </c>
      <c r="D66" s="12" t="s">
        <v>58</v>
      </c>
      <c r="E66" s="12">
        <v>36</v>
      </c>
      <c r="F66" s="13">
        <v>44435</v>
      </c>
      <c r="G66" s="14">
        <v>48906</v>
      </c>
      <c r="H66" s="15">
        <v>0</v>
      </c>
      <c r="I66" s="12" t="s">
        <v>60</v>
      </c>
      <c r="J66" s="12" t="s">
        <v>88</v>
      </c>
      <c r="K66" s="17" t="s">
        <v>1121</v>
      </c>
    </row>
    <row r="67" spans="1:11">
      <c r="A67" s="11" t="s">
        <v>78</v>
      </c>
      <c r="B67" s="12" t="s">
        <v>82</v>
      </c>
      <c r="C67" s="12" t="s">
        <v>83</v>
      </c>
      <c r="D67" s="12" t="s">
        <v>58</v>
      </c>
      <c r="E67" s="12">
        <v>38</v>
      </c>
      <c r="F67" s="13">
        <v>39474</v>
      </c>
      <c r="G67" s="14">
        <v>80024</v>
      </c>
      <c r="H67" s="15">
        <v>0</v>
      </c>
      <c r="I67" s="12" t="s">
        <v>60</v>
      </c>
      <c r="J67" s="12" t="s">
        <v>110</v>
      </c>
      <c r="K67" s="17" t="s">
        <v>1121</v>
      </c>
    </row>
    <row r="68" spans="1:11">
      <c r="A68" s="11" t="s">
        <v>154</v>
      </c>
      <c r="B68" s="12" t="s">
        <v>94</v>
      </c>
      <c r="C68" s="12" t="s">
        <v>71</v>
      </c>
      <c r="D68" s="12" t="s">
        <v>58</v>
      </c>
      <c r="E68" s="12">
        <v>41</v>
      </c>
      <c r="F68" s="13">
        <v>40109</v>
      </c>
      <c r="G68" s="14">
        <v>54415</v>
      </c>
      <c r="H68" s="15">
        <v>0</v>
      </c>
      <c r="I68" s="12" t="s">
        <v>60</v>
      </c>
      <c r="J68" s="12" t="s">
        <v>61</v>
      </c>
      <c r="K68" s="17">
        <v>41661</v>
      </c>
    </row>
    <row r="69" spans="1:11">
      <c r="A69" s="11" t="s">
        <v>85</v>
      </c>
      <c r="B69" s="12" t="s">
        <v>105</v>
      </c>
      <c r="C69" s="12" t="s">
        <v>57</v>
      </c>
      <c r="D69" s="12" t="s">
        <v>58</v>
      </c>
      <c r="E69" s="12">
        <v>30</v>
      </c>
      <c r="F69" s="13">
        <v>42484</v>
      </c>
      <c r="G69" s="14">
        <v>120341</v>
      </c>
      <c r="H69" s="15">
        <v>0.07</v>
      </c>
      <c r="I69" s="12" t="s">
        <v>60</v>
      </c>
      <c r="J69" s="12" t="s">
        <v>61</v>
      </c>
      <c r="K69" s="17" t="s">
        <v>1121</v>
      </c>
    </row>
    <row r="70" spans="1:11">
      <c r="A70" s="11" t="s">
        <v>104</v>
      </c>
      <c r="B70" s="12" t="s">
        <v>56</v>
      </c>
      <c r="C70" s="12" t="s">
        <v>71</v>
      </c>
      <c r="D70" s="12" t="s">
        <v>58</v>
      </c>
      <c r="E70" s="12">
        <v>43</v>
      </c>
      <c r="F70" s="13">
        <v>40029</v>
      </c>
      <c r="G70" s="14">
        <v>208415</v>
      </c>
      <c r="H70" s="15">
        <v>0.35</v>
      </c>
      <c r="I70" s="12" t="s">
        <v>60</v>
      </c>
      <c r="J70" s="12" t="s">
        <v>61</v>
      </c>
      <c r="K70" s="17" t="s">
        <v>1121</v>
      </c>
    </row>
    <row r="71" spans="1:11">
      <c r="A71" s="11" t="s">
        <v>178</v>
      </c>
      <c r="B71" s="12" t="s">
        <v>56</v>
      </c>
      <c r="C71" s="12" t="s">
        <v>71</v>
      </c>
      <c r="D71" s="12" t="s">
        <v>58</v>
      </c>
      <c r="E71" s="12">
        <v>32</v>
      </c>
      <c r="F71" s="13">
        <v>43835</v>
      </c>
      <c r="G71" s="14">
        <v>78844</v>
      </c>
      <c r="H71" s="15">
        <v>0</v>
      </c>
      <c r="I71" s="12" t="s">
        <v>60</v>
      </c>
      <c r="J71" s="12" t="s">
        <v>61</v>
      </c>
      <c r="K71" s="17" t="s">
        <v>1121</v>
      </c>
    </row>
    <row r="72" spans="1:11">
      <c r="A72" s="11" t="s">
        <v>160</v>
      </c>
      <c r="B72" s="12" t="s">
        <v>98</v>
      </c>
      <c r="C72" s="12" t="s">
        <v>64</v>
      </c>
      <c r="D72" s="12" t="s">
        <v>65</v>
      </c>
      <c r="E72" s="12">
        <v>58</v>
      </c>
      <c r="F72" s="13">
        <v>37399</v>
      </c>
      <c r="G72" s="14">
        <v>76354</v>
      </c>
      <c r="H72" s="15">
        <v>0</v>
      </c>
      <c r="I72" s="12" t="s">
        <v>60</v>
      </c>
      <c r="J72" s="12" t="s">
        <v>79</v>
      </c>
      <c r="K72" s="17">
        <v>44465</v>
      </c>
    </row>
    <row r="73" spans="1:11">
      <c r="A73" s="11" t="s">
        <v>69</v>
      </c>
      <c r="B73" s="12" t="s">
        <v>70</v>
      </c>
      <c r="C73" s="12" t="s">
        <v>71</v>
      </c>
      <c r="D73" s="12" t="s">
        <v>58</v>
      </c>
      <c r="E73" s="12">
        <v>37</v>
      </c>
      <c r="F73" s="13">
        <v>43493</v>
      </c>
      <c r="G73" s="14">
        <v>165927</v>
      </c>
      <c r="H73" s="15">
        <v>0.2</v>
      </c>
      <c r="I73" s="12" t="s">
        <v>60</v>
      </c>
      <c r="J73" s="12" t="s">
        <v>79</v>
      </c>
      <c r="K73" s="17" t="s">
        <v>1121</v>
      </c>
    </row>
    <row r="74" spans="1:11">
      <c r="A74" s="11" t="s">
        <v>85</v>
      </c>
      <c r="B74" s="12" t="s">
        <v>90</v>
      </c>
      <c r="C74" s="12" t="s">
        <v>71</v>
      </c>
      <c r="D74" s="12" t="s">
        <v>58</v>
      </c>
      <c r="E74" s="12">
        <v>38</v>
      </c>
      <c r="F74" s="13">
        <v>44516</v>
      </c>
      <c r="G74" s="14">
        <v>109812</v>
      </c>
      <c r="H74" s="15">
        <v>0.09</v>
      </c>
      <c r="I74" s="12" t="s">
        <v>113</v>
      </c>
      <c r="J74" s="12" t="s">
        <v>114</v>
      </c>
      <c r="K74" s="17" t="s">
        <v>1121</v>
      </c>
    </row>
    <row r="75" spans="1:11">
      <c r="A75" s="11" t="s">
        <v>97</v>
      </c>
      <c r="B75" s="12" t="s">
        <v>98</v>
      </c>
      <c r="C75" s="12" t="s">
        <v>83</v>
      </c>
      <c r="D75" s="12" t="s">
        <v>65</v>
      </c>
      <c r="E75" s="12">
        <v>55</v>
      </c>
      <c r="F75" s="13">
        <v>36041</v>
      </c>
      <c r="G75" s="14">
        <v>86299</v>
      </c>
      <c r="H75" s="15">
        <v>0</v>
      </c>
      <c r="I75" s="12" t="s">
        <v>60</v>
      </c>
      <c r="J75" s="12" t="s">
        <v>61</v>
      </c>
      <c r="K75" s="17" t="s">
        <v>1121</v>
      </c>
    </row>
    <row r="76" spans="1:11">
      <c r="A76" s="11" t="s">
        <v>104</v>
      </c>
      <c r="B76" s="12" t="s">
        <v>105</v>
      </c>
      <c r="C76" s="12" t="s">
        <v>57</v>
      </c>
      <c r="D76" s="12" t="s">
        <v>65</v>
      </c>
      <c r="E76" s="12">
        <v>57</v>
      </c>
      <c r="F76" s="13">
        <v>37828</v>
      </c>
      <c r="G76" s="14">
        <v>206624</v>
      </c>
      <c r="H76" s="15">
        <v>0.4</v>
      </c>
      <c r="I76" s="12" t="s">
        <v>113</v>
      </c>
      <c r="J76" s="12" t="s">
        <v>184</v>
      </c>
      <c r="K76" s="17" t="s">
        <v>1121</v>
      </c>
    </row>
    <row r="77" spans="1:11">
      <c r="A77" s="11" t="s">
        <v>129</v>
      </c>
      <c r="B77" s="12" t="s">
        <v>56</v>
      </c>
      <c r="C77" s="12" t="s">
        <v>64</v>
      </c>
      <c r="D77" s="12" t="s">
        <v>65</v>
      </c>
      <c r="E77" s="12">
        <v>36</v>
      </c>
      <c r="F77" s="13">
        <v>40535</v>
      </c>
      <c r="G77" s="14">
        <v>53215</v>
      </c>
      <c r="H77" s="15">
        <v>0</v>
      </c>
      <c r="I77" s="12" t="s">
        <v>113</v>
      </c>
      <c r="J77" s="12" t="s">
        <v>184</v>
      </c>
      <c r="K77" s="17">
        <v>41725</v>
      </c>
    </row>
    <row r="78" spans="1:11">
      <c r="A78" s="11" t="s">
        <v>187</v>
      </c>
      <c r="B78" s="12" t="s">
        <v>98</v>
      </c>
      <c r="C78" s="12" t="s">
        <v>57</v>
      </c>
      <c r="D78" s="12" t="s">
        <v>58</v>
      </c>
      <c r="E78" s="12">
        <v>30</v>
      </c>
      <c r="F78" s="13">
        <v>42877</v>
      </c>
      <c r="G78" s="14">
        <v>86858</v>
      </c>
      <c r="H78" s="15">
        <v>0</v>
      </c>
      <c r="I78" s="12" t="s">
        <v>66</v>
      </c>
      <c r="J78" s="12" t="s">
        <v>67</v>
      </c>
      <c r="K78" s="17">
        <v>43016</v>
      </c>
    </row>
    <row r="79" spans="1:11">
      <c r="A79" s="11" t="s">
        <v>75</v>
      </c>
      <c r="B79" s="12" t="s">
        <v>56</v>
      </c>
      <c r="C79" s="12" t="s">
        <v>64</v>
      </c>
      <c r="D79" s="12" t="s">
        <v>65</v>
      </c>
      <c r="E79" s="12">
        <v>40</v>
      </c>
      <c r="F79" s="13">
        <v>39265</v>
      </c>
      <c r="G79" s="14">
        <v>93971</v>
      </c>
      <c r="H79" s="15">
        <v>0.08</v>
      </c>
      <c r="I79" s="12" t="s">
        <v>66</v>
      </c>
      <c r="J79" s="12" t="s">
        <v>67</v>
      </c>
      <c r="K79" s="17" t="s">
        <v>1121</v>
      </c>
    </row>
    <row r="80" spans="1:11">
      <c r="A80" s="11" t="s">
        <v>132</v>
      </c>
      <c r="B80" s="12" t="s">
        <v>70</v>
      </c>
      <c r="C80" s="12" t="s">
        <v>83</v>
      </c>
      <c r="D80" s="12" t="s">
        <v>65</v>
      </c>
      <c r="E80" s="12">
        <v>34</v>
      </c>
      <c r="F80" s="13">
        <v>42182</v>
      </c>
      <c r="G80" s="14">
        <v>57008</v>
      </c>
      <c r="H80" s="15">
        <v>0</v>
      </c>
      <c r="I80" s="12" t="s">
        <v>60</v>
      </c>
      <c r="J80" s="12" t="s">
        <v>79</v>
      </c>
      <c r="K80" s="17" t="s">
        <v>1121</v>
      </c>
    </row>
    <row r="81" spans="1:11">
      <c r="A81" s="11" t="s">
        <v>55</v>
      </c>
      <c r="B81" s="12" t="s">
        <v>70</v>
      </c>
      <c r="C81" s="12" t="s">
        <v>64</v>
      </c>
      <c r="D81" s="12" t="s">
        <v>65</v>
      </c>
      <c r="E81" s="12">
        <v>60</v>
      </c>
      <c r="F81" s="13">
        <v>42270</v>
      </c>
      <c r="G81" s="14">
        <v>141899</v>
      </c>
      <c r="H81" s="15">
        <v>0.15</v>
      </c>
      <c r="I81" s="12" t="s">
        <v>60</v>
      </c>
      <c r="J81" s="12" t="s">
        <v>79</v>
      </c>
      <c r="K81" s="17" t="s">
        <v>1121</v>
      </c>
    </row>
    <row r="82" spans="1:11">
      <c r="A82" s="11" t="s">
        <v>132</v>
      </c>
      <c r="B82" s="12" t="s">
        <v>105</v>
      </c>
      <c r="C82" s="12" t="s">
        <v>83</v>
      </c>
      <c r="D82" s="12" t="s">
        <v>65</v>
      </c>
      <c r="E82" s="12">
        <v>41</v>
      </c>
      <c r="F82" s="13">
        <v>42626</v>
      </c>
      <c r="G82" s="14">
        <v>64847</v>
      </c>
      <c r="H82" s="15">
        <v>0</v>
      </c>
      <c r="I82" s="12" t="s">
        <v>60</v>
      </c>
      <c r="J82" s="12" t="s">
        <v>88</v>
      </c>
      <c r="K82" s="17" t="s">
        <v>1121</v>
      </c>
    </row>
    <row r="83" spans="1:11">
      <c r="A83" s="11" t="s">
        <v>125</v>
      </c>
      <c r="B83" s="12" t="s">
        <v>98</v>
      </c>
      <c r="C83" s="12" t="s">
        <v>57</v>
      </c>
      <c r="D83" s="12" t="s">
        <v>65</v>
      </c>
      <c r="E83" s="12">
        <v>53</v>
      </c>
      <c r="F83" s="13">
        <v>33702</v>
      </c>
      <c r="G83" s="14">
        <v>116878</v>
      </c>
      <c r="H83" s="15">
        <v>0.11</v>
      </c>
      <c r="I83" s="12" t="s">
        <v>60</v>
      </c>
      <c r="J83" s="12" t="s">
        <v>88</v>
      </c>
      <c r="K83" s="17" t="s">
        <v>1121</v>
      </c>
    </row>
    <row r="84" spans="1:11">
      <c r="A84" s="11" t="s">
        <v>122</v>
      </c>
      <c r="B84" s="12" t="s">
        <v>98</v>
      </c>
      <c r="C84" s="12" t="s">
        <v>71</v>
      </c>
      <c r="D84" s="12" t="s">
        <v>65</v>
      </c>
      <c r="E84" s="12">
        <v>45</v>
      </c>
      <c r="F84" s="13">
        <v>38388</v>
      </c>
      <c r="G84" s="14">
        <v>70505</v>
      </c>
      <c r="H84" s="15">
        <v>0</v>
      </c>
      <c r="I84" s="12" t="s">
        <v>60</v>
      </c>
      <c r="J84" s="12" t="s">
        <v>91</v>
      </c>
      <c r="K84" s="17" t="s">
        <v>1121</v>
      </c>
    </row>
    <row r="85" spans="1:11">
      <c r="A85" s="11" t="s">
        <v>69</v>
      </c>
      <c r="B85" s="12" t="s">
        <v>98</v>
      </c>
      <c r="C85" s="12" t="s">
        <v>57</v>
      </c>
      <c r="D85" s="12" t="s">
        <v>58</v>
      </c>
      <c r="E85" s="12">
        <v>30</v>
      </c>
      <c r="F85" s="13">
        <v>42512</v>
      </c>
      <c r="G85" s="14">
        <v>189702</v>
      </c>
      <c r="H85" s="15">
        <v>0.28</v>
      </c>
      <c r="I85" s="12" t="s">
        <v>113</v>
      </c>
      <c r="J85" s="12" t="s">
        <v>114</v>
      </c>
      <c r="K85" s="17">
        <v>44186</v>
      </c>
    </row>
    <row r="86" spans="1:11">
      <c r="A86" s="11" t="s">
        <v>69</v>
      </c>
      <c r="B86" s="12" t="s">
        <v>90</v>
      </c>
      <c r="C86" s="12" t="s">
        <v>71</v>
      </c>
      <c r="D86" s="12" t="s">
        <v>65</v>
      </c>
      <c r="E86" s="12">
        <v>26</v>
      </c>
      <c r="F86" s="13">
        <v>44040</v>
      </c>
      <c r="G86" s="14">
        <v>180664</v>
      </c>
      <c r="H86" s="15">
        <v>0.27</v>
      </c>
      <c r="I86" s="12" t="s">
        <v>60</v>
      </c>
      <c r="J86" s="12" t="s">
        <v>73</v>
      </c>
      <c r="K86" s="17" t="s">
        <v>1121</v>
      </c>
    </row>
    <row r="87" spans="1:11">
      <c r="A87" s="11" t="s">
        <v>166</v>
      </c>
      <c r="B87" s="12" t="s">
        <v>94</v>
      </c>
      <c r="C87" s="12" t="s">
        <v>64</v>
      </c>
      <c r="D87" s="12" t="s">
        <v>58</v>
      </c>
      <c r="E87" s="12">
        <v>45</v>
      </c>
      <c r="F87" s="13">
        <v>37972</v>
      </c>
      <c r="G87" s="14">
        <v>48345</v>
      </c>
      <c r="H87" s="15">
        <v>0</v>
      </c>
      <c r="I87" s="12" t="s">
        <v>66</v>
      </c>
      <c r="J87" s="12" t="s">
        <v>138</v>
      </c>
      <c r="K87" s="17" t="s">
        <v>1121</v>
      </c>
    </row>
    <row r="88" spans="1:11">
      <c r="A88" s="11" t="s">
        <v>69</v>
      </c>
      <c r="B88" s="12" t="s">
        <v>94</v>
      </c>
      <c r="C88" s="12" t="s">
        <v>64</v>
      </c>
      <c r="D88" s="12" t="s">
        <v>65</v>
      </c>
      <c r="E88" s="12">
        <v>42</v>
      </c>
      <c r="F88" s="13">
        <v>41655</v>
      </c>
      <c r="G88" s="14">
        <v>152214</v>
      </c>
      <c r="H88" s="15">
        <v>0.3</v>
      </c>
      <c r="I88" s="12" t="s">
        <v>66</v>
      </c>
      <c r="J88" s="12" t="s">
        <v>126</v>
      </c>
      <c r="K88" s="17" t="s">
        <v>1121</v>
      </c>
    </row>
    <row r="89" spans="1:11">
      <c r="A89" s="11" t="s">
        <v>178</v>
      </c>
      <c r="B89" s="12" t="s">
        <v>56</v>
      </c>
      <c r="C89" s="12" t="s">
        <v>83</v>
      </c>
      <c r="D89" s="12" t="s">
        <v>58</v>
      </c>
      <c r="E89" s="12">
        <v>41</v>
      </c>
      <c r="F89" s="13">
        <v>39931</v>
      </c>
      <c r="G89" s="14">
        <v>69803</v>
      </c>
      <c r="H89" s="15">
        <v>0</v>
      </c>
      <c r="I89" s="12" t="s">
        <v>113</v>
      </c>
      <c r="J89" s="12" t="s">
        <v>114</v>
      </c>
      <c r="K89" s="17" t="s">
        <v>1121</v>
      </c>
    </row>
    <row r="90" spans="1:11">
      <c r="A90" s="11" t="s">
        <v>200</v>
      </c>
      <c r="B90" s="12" t="s">
        <v>56</v>
      </c>
      <c r="C90" s="12" t="s">
        <v>83</v>
      </c>
      <c r="D90" s="12" t="s">
        <v>58</v>
      </c>
      <c r="E90" s="12">
        <v>48</v>
      </c>
      <c r="F90" s="13">
        <v>43650</v>
      </c>
      <c r="G90" s="14">
        <v>76588</v>
      </c>
      <c r="H90" s="15">
        <v>0</v>
      </c>
      <c r="I90" s="12" t="s">
        <v>113</v>
      </c>
      <c r="J90" s="12" t="s">
        <v>117</v>
      </c>
      <c r="K90" s="17" t="s">
        <v>1121</v>
      </c>
    </row>
    <row r="91" spans="1:11">
      <c r="A91" s="11" t="s">
        <v>202</v>
      </c>
      <c r="B91" s="12" t="s">
        <v>56</v>
      </c>
      <c r="C91" s="12" t="s">
        <v>64</v>
      </c>
      <c r="D91" s="12" t="s">
        <v>65</v>
      </c>
      <c r="E91" s="12">
        <v>29</v>
      </c>
      <c r="F91" s="13">
        <v>43444</v>
      </c>
      <c r="G91" s="14">
        <v>84596</v>
      </c>
      <c r="H91" s="15">
        <v>0</v>
      </c>
      <c r="I91" s="12" t="s">
        <v>60</v>
      </c>
      <c r="J91" s="12" t="s">
        <v>88</v>
      </c>
      <c r="K91" s="17" t="s">
        <v>1121</v>
      </c>
    </row>
    <row r="92" spans="1:11">
      <c r="A92" s="11" t="s">
        <v>85</v>
      </c>
      <c r="B92" s="12" t="s">
        <v>105</v>
      </c>
      <c r="C92" s="12" t="s">
        <v>57</v>
      </c>
      <c r="D92" s="12" t="s">
        <v>65</v>
      </c>
      <c r="E92" s="12">
        <v>27</v>
      </c>
      <c r="F92" s="13">
        <v>43368</v>
      </c>
      <c r="G92" s="14">
        <v>114441</v>
      </c>
      <c r="H92" s="15">
        <v>0.1</v>
      </c>
      <c r="I92" s="12" t="s">
        <v>66</v>
      </c>
      <c r="J92" s="12" t="s">
        <v>67</v>
      </c>
      <c r="K92" s="17">
        <v>43821</v>
      </c>
    </row>
    <row r="93" spans="1:11">
      <c r="A93" s="11" t="s">
        <v>55</v>
      </c>
      <c r="B93" s="12" t="s">
        <v>70</v>
      </c>
      <c r="C93" s="12" t="s">
        <v>71</v>
      </c>
      <c r="D93" s="12" t="s">
        <v>58</v>
      </c>
      <c r="E93" s="12">
        <v>33</v>
      </c>
      <c r="F93" s="13">
        <v>43211</v>
      </c>
      <c r="G93" s="14">
        <v>140402</v>
      </c>
      <c r="H93" s="15">
        <v>0.15</v>
      </c>
      <c r="I93" s="12" t="s">
        <v>66</v>
      </c>
      <c r="J93" s="12" t="s">
        <v>126</v>
      </c>
      <c r="K93" s="17" t="s">
        <v>1121</v>
      </c>
    </row>
    <row r="94" spans="1:11">
      <c r="A94" s="11" t="s">
        <v>132</v>
      </c>
      <c r="B94" s="12" t="s">
        <v>70</v>
      </c>
      <c r="C94" s="12" t="s">
        <v>83</v>
      </c>
      <c r="D94" s="12" t="s">
        <v>58</v>
      </c>
      <c r="E94" s="12">
        <v>26</v>
      </c>
      <c r="F94" s="13">
        <v>43578</v>
      </c>
      <c r="G94" s="14">
        <v>59817</v>
      </c>
      <c r="H94" s="15">
        <v>0</v>
      </c>
      <c r="I94" s="12" t="s">
        <v>113</v>
      </c>
      <c r="J94" s="12" t="s">
        <v>184</v>
      </c>
      <c r="K94" s="17" t="s">
        <v>1121</v>
      </c>
    </row>
    <row r="95" spans="1:11">
      <c r="A95" s="11" t="s">
        <v>81</v>
      </c>
      <c r="B95" s="12" t="s">
        <v>82</v>
      </c>
      <c r="C95" s="12" t="s">
        <v>64</v>
      </c>
      <c r="D95" s="12" t="s">
        <v>65</v>
      </c>
      <c r="E95" s="12">
        <v>31</v>
      </c>
      <c r="F95" s="13">
        <v>42938</v>
      </c>
      <c r="G95" s="14">
        <v>55854</v>
      </c>
      <c r="H95" s="15">
        <v>0</v>
      </c>
      <c r="I95" s="12" t="s">
        <v>60</v>
      </c>
      <c r="J95" s="12" t="s">
        <v>91</v>
      </c>
      <c r="K95" s="17" t="s">
        <v>1121</v>
      </c>
    </row>
    <row r="96" spans="1:11">
      <c r="A96" s="11" t="s">
        <v>143</v>
      </c>
      <c r="B96" s="12" t="s">
        <v>94</v>
      </c>
      <c r="C96" s="12" t="s">
        <v>57</v>
      </c>
      <c r="D96" s="12" t="s">
        <v>65</v>
      </c>
      <c r="E96" s="12">
        <v>53</v>
      </c>
      <c r="F96" s="13">
        <v>37576</v>
      </c>
      <c r="G96" s="14">
        <v>95998</v>
      </c>
      <c r="H96" s="15">
        <v>0</v>
      </c>
      <c r="I96" s="12" t="s">
        <v>60</v>
      </c>
      <c r="J96" s="12" t="s">
        <v>61</v>
      </c>
      <c r="K96" s="17" t="s">
        <v>1121</v>
      </c>
    </row>
    <row r="97" spans="1:11">
      <c r="A97" s="11" t="s">
        <v>55</v>
      </c>
      <c r="B97" s="12" t="s">
        <v>82</v>
      </c>
      <c r="C97" s="12" t="s">
        <v>64</v>
      </c>
      <c r="D97" s="12" t="s">
        <v>58</v>
      </c>
      <c r="E97" s="12">
        <v>34</v>
      </c>
      <c r="F97" s="13">
        <v>42116</v>
      </c>
      <c r="G97" s="14">
        <v>154941</v>
      </c>
      <c r="H97" s="15">
        <v>0.13</v>
      </c>
      <c r="I97" s="12" t="s">
        <v>60</v>
      </c>
      <c r="J97" s="12" t="s">
        <v>79</v>
      </c>
      <c r="K97" s="17" t="s">
        <v>1121</v>
      </c>
    </row>
    <row r="98" spans="1:11">
      <c r="A98" s="11" t="s">
        <v>104</v>
      </c>
      <c r="B98" s="12" t="s">
        <v>70</v>
      </c>
      <c r="C98" s="12" t="s">
        <v>71</v>
      </c>
      <c r="D98" s="12" t="s">
        <v>58</v>
      </c>
      <c r="E98" s="12">
        <v>54</v>
      </c>
      <c r="F98" s="13">
        <v>40734</v>
      </c>
      <c r="G98" s="14">
        <v>247022</v>
      </c>
      <c r="H98" s="15">
        <v>0.3</v>
      </c>
      <c r="I98" s="12" t="s">
        <v>66</v>
      </c>
      <c r="J98" s="12" t="s">
        <v>126</v>
      </c>
      <c r="K98" s="17" t="s">
        <v>1121</v>
      </c>
    </row>
    <row r="99" spans="1:11">
      <c r="A99" s="11" t="s">
        <v>200</v>
      </c>
      <c r="B99" s="12" t="s">
        <v>56</v>
      </c>
      <c r="C99" s="12" t="s">
        <v>64</v>
      </c>
      <c r="D99" s="12" t="s">
        <v>58</v>
      </c>
      <c r="E99" s="12">
        <v>32</v>
      </c>
      <c r="F99" s="13">
        <v>44474</v>
      </c>
      <c r="G99" s="14">
        <v>88072</v>
      </c>
      <c r="H99" s="15">
        <v>0</v>
      </c>
      <c r="I99" s="12" t="s">
        <v>113</v>
      </c>
      <c r="J99" s="12" t="s">
        <v>184</v>
      </c>
      <c r="K99" s="17" t="s">
        <v>1121</v>
      </c>
    </row>
    <row r="100" spans="1:11">
      <c r="A100" s="11" t="s">
        <v>75</v>
      </c>
      <c r="B100" s="12" t="s">
        <v>56</v>
      </c>
      <c r="C100" s="12" t="s">
        <v>57</v>
      </c>
      <c r="D100" s="12" t="s">
        <v>65</v>
      </c>
      <c r="E100" s="12">
        <v>28</v>
      </c>
      <c r="F100" s="13">
        <v>43977</v>
      </c>
      <c r="G100" s="14">
        <v>67925</v>
      </c>
      <c r="H100" s="15">
        <v>0.08</v>
      </c>
      <c r="I100" s="12" t="s">
        <v>66</v>
      </c>
      <c r="J100" s="12" t="s">
        <v>101</v>
      </c>
      <c r="K100" s="17" t="s">
        <v>1121</v>
      </c>
    </row>
    <row r="101" spans="1:11">
      <c r="A101" s="11" t="s">
        <v>104</v>
      </c>
      <c r="B101" s="12" t="s">
        <v>82</v>
      </c>
      <c r="C101" s="12" t="s">
        <v>64</v>
      </c>
      <c r="D101" s="12" t="s">
        <v>58</v>
      </c>
      <c r="E101" s="12">
        <v>31</v>
      </c>
      <c r="F101" s="13">
        <v>44063</v>
      </c>
      <c r="G101" s="14">
        <v>219693</v>
      </c>
      <c r="H101" s="15">
        <v>0.3</v>
      </c>
      <c r="I101" s="12" t="s">
        <v>60</v>
      </c>
      <c r="J101" s="12" t="s">
        <v>91</v>
      </c>
      <c r="K101" s="17" t="s">
        <v>1121</v>
      </c>
    </row>
    <row r="102" spans="1:11">
      <c r="A102" s="11" t="s">
        <v>187</v>
      </c>
      <c r="B102" s="12" t="s">
        <v>98</v>
      </c>
      <c r="C102" s="12" t="s">
        <v>57</v>
      </c>
      <c r="D102" s="12" t="s">
        <v>58</v>
      </c>
      <c r="E102" s="12">
        <v>45</v>
      </c>
      <c r="F102" s="13">
        <v>41386</v>
      </c>
      <c r="G102" s="14">
        <v>61773</v>
      </c>
      <c r="H102" s="15">
        <v>0</v>
      </c>
      <c r="I102" s="12" t="s">
        <v>60</v>
      </c>
      <c r="J102" s="12" t="s">
        <v>61</v>
      </c>
      <c r="K102" s="17" t="s">
        <v>1121</v>
      </c>
    </row>
    <row r="103" spans="1:11">
      <c r="A103" s="11" t="s">
        <v>75</v>
      </c>
      <c r="B103" s="12" t="s">
        <v>56</v>
      </c>
      <c r="C103" s="12" t="s">
        <v>71</v>
      </c>
      <c r="D103" s="12" t="s">
        <v>58</v>
      </c>
      <c r="E103" s="12">
        <v>48</v>
      </c>
      <c r="F103" s="13">
        <v>39091</v>
      </c>
      <c r="G103" s="14">
        <v>74546</v>
      </c>
      <c r="H103" s="15">
        <v>0.09</v>
      </c>
      <c r="I103" s="12" t="s">
        <v>60</v>
      </c>
      <c r="J103" s="12" t="s">
        <v>61</v>
      </c>
      <c r="K103" s="17" t="s">
        <v>1121</v>
      </c>
    </row>
    <row r="104" spans="1:11">
      <c r="A104" s="11" t="s">
        <v>216</v>
      </c>
      <c r="B104" s="12" t="s">
        <v>98</v>
      </c>
      <c r="C104" s="12" t="s">
        <v>71</v>
      </c>
      <c r="D104" s="12" t="s">
        <v>65</v>
      </c>
      <c r="E104" s="12">
        <v>56</v>
      </c>
      <c r="F104" s="13">
        <v>42031</v>
      </c>
      <c r="G104" s="14">
        <v>62575</v>
      </c>
      <c r="H104" s="15">
        <v>0</v>
      </c>
      <c r="I104" s="12" t="s">
        <v>60</v>
      </c>
      <c r="J104" s="12" t="s">
        <v>88</v>
      </c>
      <c r="K104" s="17" t="s">
        <v>1121</v>
      </c>
    </row>
    <row r="105" spans="1:11">
      <c r="A105" s="11" t="s">
        <v>69</v>
      </c>
      <c r="B105" s="12" t="s">
        <v>94</v>
      </c>
      <c r="C105" s="12" t="s">
        <v>83</v>
      </c>
      <c r="D105" s="12" t="s">
        <v>58</v>
      </c>
      <c r="E105" s="12">
        <v>27</v>
      </c>
      <c r="F105" s="13">
        <v>44250</v>
      </c>
      <c r="G105" s="14">
        <v>199041</v>
      </c>
      <c r="H105" s="15">
        <v>0.16</v>
      </c>
      <c r="I105" s="12" t="s">
        <v>66</v>
      </c>
      <c r="J105" s="12" t="s">
        <v>126</v>
      </c>
      <c r="K105" s="17" t="s">
        <v>1121</v>
      </c>
    </row>
    <row r="106" spans="1:11">
      <c r="A106" s="11" t="s">
        <v>132</v>
      </c>
      <c r="B106" s="12" t="s">
        <v>90</v>
      </c>
      <c r="C106" s="12" t="s">
        <v>71</v>
      </c>
      <c r="D106" s="12" t="s">
        <v>65</v>
      </c>
      <c r="E106" s="12">
        <v>55</v>
      </c>
      <c r="F106" s="13">
        <v>39177</v>
      </c>
      <c r="G106" s="14">
        <v>52310</v>
      </c>
      <c r="H106" s="15">
        <v>0</v>
      </c>
      <c r="I106" s="12" t="s">
        <v>60</v>
      </c>
      <c r="J106" s="12" t="s">
        <v>88</v>
      </c>
      <c r="K106" s="17">
        <v>43385</v>
      </c>
    </row>
    <row r="107" spans="1:11">
      <c r="A107" s="11" t="s">
        <v>55</v>
      </c>
      <c r="B107" s="12" t="s">
        <v>70</v>
      </c>
      <c r="C107" s="12" t="s">
        <v>71</v>
      </c>
      <c r="D107" s="12" t="s">
        <v>65</v>
      </c>
      <c r="E107" s="12">
        <v>64</v>
      </c>
      <c r="F107" s="13">
        <v>41454</v>
      </c>
      <c r="G107" s="14">
        <v>159571</v>
      </c>
      <c r="H107" s="15">
        <v>0.1</v>
      </c>
      <c r="I107" s="12" t="s">
        <v>60</v>
      </c>
      <c r="J107" s="12" t="s">
        <v>110</v>
      </c>
      <c r="K107" s="17" t="s">
        <v>1121</v>
      </c>
    </row>
    <row r="108" spans="1:11">
      <c r="A108" s="11" t="s">
        <v>160</v>
      </c>
      <c r="B108" s="12" t="s">
        <v>98</v>
      </c>
      <c r="C108" s="12" t="s">
        <v>57</v>
      </c>
      <c r="D108" s="12" t="s">
        <v>58</v>
      </c>
      <c r="E108" s="12">
        <v>50</v>
      </c>
      <c r="F108" s="13">
        <v>35726</v>
      </c>
      <c r="G108" s="14">
        <v>91763</v>
      </c>
      <c r="H108" s="15">
        <v>0</v>
      </c>
      <c r="I108" s="12" t="s">
        <v>60</v>
      </c>
      <c r="J108" s="12" t="s">
        <v>91</v>
      </c>
      <c r="K108" s="17" t="s">
        <v>1121</v>
      </c>
    </row>
    <row r="109" spans="1:11">
      <c r="A109" s="11" t="s">
        <v>216</v>
      </c>
      <c r="B109" s="12" t="s">
        <v>98</v>
      </c>
      <c r="C109" s="12" t="s">
        <v>83</v>
      </c>
      <c r="D109" s="12" t="s">
        <v>58</v>
      </c>
      <c r="E109" s="12">
        <v>51</v>
      </c>
      <c r="F109" s="13">
        <v>35055</v>
      </c>
      <c r="G109" s="14">
        <v>96475</v>
      </c>
      <c r="H109" s="15">
        <v>0</v>
      </c>
      <c r="I109" s="12" t="s">
        <v>60</v>
      </c>
      <c r="J109" s="12" t="s">
        <v>91</v>
      </c>
      <c r="K109" s="17" t="s">
        <v>1121</v>
      </c>
    </row>
    <row r="110" spans="1:11">
      <c r="A110" s="11" t="s">
        <v>97</v>
      </c>
      <c r="B110" s="12" t="s">
        <v>98</v>
      </c>
      <c r="C110" s="12" t="s">
        <v>64</v>
      </c>
      <c r="D110" s="12" t="s">
        <v>65</v>
      </c>
      <c r="E110" s="12">
        <v>36</v>
      </c>
      <c r="F110" s="13">
        <v>42706</v>
      </c>
      <c r="G110" s="14">
        <v>113781</v>
      </c>
      <c r="H110" s="15">
        <v>0</v>
      </c>
      <c r="I110" s="12" t="s">
        <v>60</v>
      </c>
      <c r="J110" s="12" t="s">
        <v>110</v>
      </c>
      <c r="K110" s="17" t="s">
        <v>1121</v>
      </c>
    </row>
    <row r="111" spans="1:11">
      <c r="A111" s="11" t="s">
        <v>69</v>
      </c>
      <c r="B111" s="12" t="s">
        <v>70</v>
      </c>
      <c r="C111" s="12" t="s">
        <v>57</v>
      </c>
      <c r="D111" s="12" t="s">
        <v>65</v>
      </c>
      <c r="E111" s="12">
        <v>42</v>
      </c>
      <c r="F111" s="13">
        <v>37636</v>
      </c>
      <c r="G111" s="14">
        <v>166599</v>
      </c>
      <c r="H111" s="15">
        <v>0.26</v>
      </c>
      <c r="I111" s="12" t="s">
        <v>60</v>
      </c>
      <c r="J111" s="12" t="s">
        <v>61</v>
      </c>
      <c r="K111" s="17" t="s">
        <v>1121</v>
      </c>
    </row>
    <row r="112" spans="1:11">
      <c r="A112" s="11" t="s">
        <v>225</v>
      </c>
      <c r="B112" s="12" t="s">
        <v>82</v>
      </c>
      <c r="C112" s="12" t="s">
        <v>83</v>
      </c>
      <c r="D112" s="12" t="s">
        <v>58</v>
      </c>
      <c r="E112" s="12">
        <v>41</v>
      </c>
      <c r="F112" s="13">
        <v>38398</v>
      </c>
      <c r="G112" s="14">
        <v>95372</v>
      </c>
      <c r="H112" s="15">
        <v>0</v>
      </c>
      <c r="I112" s="12" t="s">
        <v>66</v>
      </c>
      <c r="J112" s="12" t="s">
        <v>101</v>
      </c>
      <c r="K112" s="17" t="s">
        <v>1121</v>
      </c>
    </row>
    <row r="113" spans="1:11">
      <c r="A113" s="11" t="s">
        <v>69</v>
      </c>
      <c r="B113" s="12" t="s">
        <v>56</v>
      </c>
      <c r="C113" s="12" t="s">
        <v>57</v>
      </c>
      <c r="D113" s="12" t="s">
        <v>58</v>
      </c>
      <c r="E113" s="12">
        <v>29</v>
      </c>
      <c r="F113" s="13">
        <v>44052</v>
      </c>
      <c r="G113" s="14">
        <v>161203</v>
      </c>
      <c r="H113" s="15">
        <v>0.15</v>
      </c>
      <c r="I113" s="12" t="s">
        <v>66</v>
      </c>
      <c r="J113" s="12" t="s">
        <v>138</v>
      </c>
      <c r="K113" s="17" t="s">
        <v>1121</v>
      </c>
    </row>
    <row r="114" spans="1:11">
      <c r="A114" s="11" t="s">
        <v>228</v>
      </c>
      <c r="B114" s="12" t="s">
        <v>56</v>
      </c>
      <c r="C114" s="12" t="s">
        <v>64</v>
      </c>
      <c r="D114" s="12" t="s">
        <v>58</v>
      </c>
      <c r="E114" s="12">
        <v>44</v>
      </c>
      <c r="F114" s="13">
        <v>39064</v>
      </c>
      <c r="G114" s="14">
        <v>74738</v>
      </c>
      <c r="H114" s="15">
        <v>0</v>
      </c>
      <c r="I114" s="12" t="s">
        <v>60</v>
      </c>
      <c r="J114" s="12" t="s">
        <v>88</v>
      </c>
      <c r="K114" s="17" t="s">
        <v>1121</v>
      </c>
    </row>
    <row r="115" spans="1:11">
      <c r="A115" s="11" t="s">
        <v>69</v>
      </c>
      <c r="B115" s="12" t="s">
        <v>82</v>
      </c>
      <c r="C115" s="12" t="s">
        <v>57</v>
      </c>
      <c r="D115" s="12" t="s">
        <v>58</v>
      </c>
      <c r="E115" s="12">
        <v>41</v>
      </c>
      <c r="F115" s="13">
        <v>43322</v>
      </c>
      <c r="G115" s="14">
        <v>171173</v>
      </c>
      <c r="H115" s="15">
        <v>0.21</v>
      </c>
      <c r="I115" s="12" t="s">
        <v>60</v>
      </c>
      <c r="J115" s="12" t="s">
        <v>110</v>
      </c>
      <c r="K115" s="17" t="s">
        <v>1121</v>
      </c>
    </row>
    <row r="116" spans="1:11">
      <c r="A116" s="11" t="s">
        <v>104</v>
      </c>
      <c r="B116" s="12" t="s">
        <v>82</v>
      </c>
      <c r="C116" s="12" t="s">
        <v>83</v>
      </c>
      <c r="D116" s="12" t="s">
        <v>65</v>
      </c>
      <c r="E116" s="12">
        <v>61</v>
      </c>
      <c r="F116" s="13">
        <v>43732</v>
      </c>
      <c r="G116" s="14">
        <v>201464</v>
      </c>
      <c r="H116" s="15">
        <v>0.37</v>
      </c>
      <c r="I116" s="12" t="s">
        <v>60</v>
      </c>
      <c r="J116" s="12" t="s">
        <v>73</v>
      </c>
      <c r="K116" s="17" t="s">
        <v>1121</v>
      </c>
    </row>
    <row r="117" spans="1:11">
      <c r="A117" s="11" t="s">
        <v>69</v>
      </c>
      <c r="B117" s="12" t="s">
        <v>94</v>
      </c>
      <c r="C117" s="12" t="s">
        <v>83</v>
      </c>
      <c r="D117" s="12" t="s">
        <v>65</v>
      </c>
      <c r="E117" s="12">
        <v>50</v>
      </c>
      <c r="F117" s="13">
        <v>35998</v>
      </c>
      <c r="G117" s="14">
        <v>174895</v>
      </c>
      <c r="H117" s="15">
        <v>0.15</v>
      </c>
      <c r="I117" s="12" t="s">
        <v>60</v>
      </c>
      <c r="J117" s="12" t="s">
        <v>73</v>
      </c>
      <c r="K117" s="17" t="s">
        <v>1121</v>
      </c>
    </row>
    <row r="118" spans="1:11">
      <c r="A118" s="11" t="s">
        <v>55</v>
      </c>
      <c r="B118" s="12" t="s">
        <v>56</v>
      </c>
      <c r="C118" s="12" t="s">
        <v>64</v>
      </c>
      <c r="D118" s="12" t="s">
        <v>58</v>
      </c>
      <c r="E118" s="12">
        <v>49</v>
      </c>
      <c r="F118" s="13">
        <v>38825</v>
      </c>
      <c r="G118" s="14">
        <v>134486</v>
      </c>
      <c r="H118" s="15">
        <v>0.14</v>
      </c>
      <c r="I118" s="12" t="s">
        <v>60</v>
      </c>
      <c r="J118" s="12" t="s">
        <v>91</v>
      </c>
      <c r="K118" s="17" t="s">
        <v>1121</v>
      </c>
    </row>
    <row r="119" spans="1:11">
      <c r="A119" s="11" t="s">
        <v>78</v>
      </c>
      <c r="B119" s="12" t="s">
        <v>70</v>
      </c>
      <c r="C119" s="12" t="s">
        <v>64</v>
      </c>
      <c r="D119" s="12" t="s">
        <v>58</v>
      </c>
      <c r="E119" s="12">
        <v>60</v>
      </c>
      <c r="F119" s="13">
        <v>39137</v>
      </c>
      <c r="G119" s="14">
        <v>71699</v>
      </c>
      <c r="H119" s="15">
        <v>0</v>
      </c>
      <c r="I119" s="12" t="s">
        <v>113</v>
      </c>
      <c r="J119" s="12" t="s">
        <v>114</v>
      </c>
      <c r="K119" s="17" t="s">
        <v>1121</v>
      </c>
    </row>
    <row r="120" spans="1:11">
      <c r="A120" s="11" t="s">
        <v>78</v>
      </c>
      <c r="B120" s="12" t="s">
        <v>105</v>
      </c>
      <c r="C120" s="12" t="s">
        <v>83</v>
      </c>
      <c r="D120" s="12" t="s">
        <v>58</v>
      </c>
      <c r="E120" s="12">
        <v>42</v>
      </c>
      <c r="F120" s="13">
        <v>44198</v>
      </c>
      <c r="G120" s="14">
        <v>94430</v>
      </c>
      <c r="H120" s="15">
        <v>0</v>
      </c>
      <c r="I120" s="12" t="s">
        <v>60</v>
      </c>
      <c r="J120" s="12" t="s">
        <v>61</v>
      </c>
      <c r="K120" s="17" t="s">
        <v>1121</v>
      </c>
    </row>
    <row r="121" spans="1:11">
      <c r="A121" s="11" t="s">
        <v>85</v>
      </c>
      <c r="B121" s="12" t="s">
        <v>70</v>
      </c>
      <c r="C121" s="12" t="s">
        <v>83</v>
      </c>
      <c r="D121" s="12" t="s">
        <v>65</v>
      </c>
      <c r="E121" s="12">
        <v>39</v>
      </c>
      <c r="F121" s="13">
        <v>40192</v>
      </c>
      <c r="G121" s="14">
        <v>103504</v>
      </c>
      <c r="H121" s="15">
        <v>0.07</v>
      </c>
      <c r="I121" s="12" t="s">
        <v>66</v>
      </c>
      <c r="J121" s="12" t="s">
        <v>138</v>
      </c>
      <c r="K121" s="17" t="s">
        <v>1121</v>
      </c>
    </row>
    <row r="122" spans="1:11">
      <c r="A122" s="11" t="s">
        <v>136</v>
      </c>
      <c r="B122" s="12" t="s">
        <v>56</v>
      </c>
      <c r="C122" s="12" t="s">
        <v>64</v>
      </c>
      <c r="D122" s="12" t="s">
        <v>58</v>
      </c>
      <c r="E122" s="12">
        <v>55</v>
      </c>
      <c r="F122" s="13">
        <v>38573</v>
      </c>
      <c r="G122" s="14">
        <v>92771</v>
      </c>
      <c r="H122" s="15">
        <v>0</v>
      </c>
      <c r="I122" s="12" t="s">
        <v>60</v>
      </c>
      <c r="J122" s="12" t="s">
        <v>88</v>
      </c>
      <c r="K122" s="17" t="s">
        <v>1121</v>
      </c>
    </row>
    <row r="123" spans="1:11">
      <c r="A123" s="11" t="s">
        <v>132</v>
      </c>
      <c r="B123" s="12" t="s">
        <v>70</v>
      </c>
      <c r="C123" s="12" t="s">
        <v>71</v>
      </c>
      <c r="D123" s="12" t="s">
        <v>58</v>
      </c>
      <c r="E123" s="12">
        <v>39</v>
      </c>
      <c r="F123" s="13">
        <v>38813</v>
      </c>
      <c r="G123" s="14">
        <v>71531</v>
      </c>
      <c r="H123" s="15">
        <v>0</v>
      </c>
      <c r="I123" s="12" t="s">
        <v>60</v>
      </c>
      <c r="J123" s="12" t="s">
        <v>110</v>
      </c>
      <c r="K123" s="17" t="s">
        <v>1121</v>
      </c>
    </row>
    <row r="124" spans="1:11">
      <c r="A124" s="11" t="s">
        <v>178</v>
      </c>
      <c r="B124" s="12" t="s">
        <v>56</v>
      </c>
      <c r="C124" s="12" t="s">
        <v>71</v>
      </c>
      <c r="D124" s="12" t="s">
        <v>65</v>
      </c>
      <c r="E124" s="12">
        <v>28</v>
      </c>
      <c r="F124" s="13">
        <v>43530</v>
      </c>
      <c r="G124" s="14">
        <v>90304</v>
      </c>
      <c r="H124" s="15">
        <v>0</v>
      </c>
      <c r="I124" s="12" t="s">
        <v>60</v>
      </c>
      <c r="J124" s="12" t="s">
        <v>73</v>
      </c>
      <c r="K124" s="17" t="s">
        <v>1121</v>
      </c>
    </row>
    <row r="125" spans="1:11">
      <c r="A125" s="11" t="s">
        <v>85</v>
      </c>
      <c r="B125" s="12" t="s">
        <v>105</v>
      </c>
      <c r="C125" s="12" t="s">
        <v>64</v>
      </c>
      <c r="D125" s="12" t="s">
        <v>58</v>
      </c>
      <c r="E125" s="12">
        <v>65</v>
      </c>
      <c r="F125" s="13">
        <v>40793</v>
      </c>
      <c r="G125" s="14">
        <v>104903</v>
      </c>
      <c r="H125" s="15">
        <v>0.1</v>
      </c>
      <c r="I125" s="12" t="s">
        <v>60</v>
      </c>
      <c r="J125" s="12" t="s">
        <v>110</v>
      </c>
      <c r="K125" s="17" t="s">
        <v>1121</v>
      </c>
    </row>
    <row r="126" spans="1:11">
      <c r="A126" s="11" t="s">
        <v>87</v>
      </c>
      <c r="B126" s="12" t="s">
        <v>70</v>
      </c>
      <c r="C126" s="12" t="s">
        <v>83</v>
      </c>
      <c r="D126" s="12" t="s">
        <v>58</v>
      </c>
      <c r="E126" s="12">
        <v>52</v>
      </c>
      <c r="F126" s="13">
        <v>43515</v>
      </c>
      <c r="G126" s="14">
        <v>55859</v>
      </c>
      <c r="H126" s="15">
        <v>0</v>
      </c>
      <c r="I126" s="12" t="s">
        <v>66</v>
      </c>
      <c r="J126" s="12" t="s">
        <v>126</v>
      </c>
      <c r="K126" s="17" t="s">
        <v>1121</v>
      </c>
    </row>
    <row r="127" spans="1:11">
      <c r="A127" s="11" t="s">
        <v>164</v>
      </c>
      <c r="B127" s="12" t="s">
        <v>98</v>
      </c>
      <c r="C127" s="12" t="s">
        <v>83</v>
      </c>
      <c r="D127" s="12" t="s">
        <v>58</v>
      </c>
      <c r="E127" s="12">
        <v>62</v>
      </c>
      <c r="F127" s="13">
        <v>39002</v>
      </c>
      <c r="G127" s="14">
        <v>79785</v>
      </c>
      <c r="H127" s="15">
        <v>0</v>
      </c>
      <c r="I127" s="12" t="s">
        <v>60</v>
      </c>
      <c r="J127" s="12" t="s">
        <v>91</v>
      </c>
      <c r="K127" s="17" t="s">
        <v>1121</v>
      </c>
    </row>
    <row r="128" spans="1:11">
      <c r="A128" s="11" t="s">
        <v>78</v>
      </c>
      <c r="B128" s="12" t="s">
        <v>105</v>
      </c>
      <c r="C128" s="12" t="s">
        <v>83</v>
      </c>
      <c r="D128" s="12" t="s">
        <v>58</v>
      </c>
      <c r="E128" s="12">
        <v>39</v>
      </c>
      <c r="F128" s="13">
        <v>39391</v>
      </c>
      <c r="G128" s="14">
        <v>99017</v>
      </c>
      <c r="H128" s="15">
        <v>0</v>
      </c>
      <c r="I128" s="12" t="s">
        <v>66</v>
      </c>
      <c r="J128" s="12" t="s">
        <v>126</v>
      </c>
      <c r="K128" s="17" t="s">
        <v>1121</v>
      </c>
    </row>
    <row r="129" spans="1:11">
      <c r="A129" s="11" t="s">
        <v>244</v>
      </c>
      <c r="B129" s="12" t="s">
        <v>56</v>
      </c>
      <c r="C129" s="12" t="s">
        <v>64</v>
      </c>
      <c r="D129" s="12" t="s">
        <v>58</v>
      </c>
      <c r="E129" s="12">
        <v>63</v>
      </c>
      <c r="F129" s="13">
        <v>33695</v>
      </c>
      <c r="G129" s="14">
        <v>53809</v>
      </c>
      <c r="H129" s="15">
        <v>0</v>
      </c>
      <c r="I129" s="12" t="s">
        <v>60</v>
      </c>
      <c r="J129" s="12" t="s">
        <v>79</v>
      </c>
      <c r="K129" s="17" t="s">
        <v>1121</v>
      </c>
    </row>
    <row r="130" spans="1:11">
      <c r="A130" s="11" t="s">
        <v>160</v>
      </c>
      <c r="B130" s="12" t="s">
        <v>98</v>
      </c>
      <c r="C130" s="12" t="s">
        <v>71</v>
      </c>
      <c r="D130" s="12" t="s">
        <v>65</v>
      </c>
      <c r="E130" s="12">
        <v>27</v>
      </c>
      <c r="F130" s="13">
        <v>43937</v>
      </c>
      <c r="G130" s="14">
        <v>71864</v>
      </c>
      <c r="H130" s="15">
        <v>0</v>
      </c>
      <c r="I130" s="12" t="s">
        <v>66</v>
      </c>
      <c r="J130" s="12" t="s">
        <v>138</v>
      </c>
      <c r="K130" s="17" t="s">
        <v>1121</v>
      </c>
    </row>
    <row r="131" spans="1:11">
      <c r="A131" s="11" t="s">
        <v>104</v>
      </c>
      <c r="B131" s="12" t="s">
        <v>70</v>
      </c>
      <c r="C131" s="12" t="s">
        <v>83</v>
      </c>
      <c r="D131" s="12" t="s">
        <v>58</v>
      </c>
      <c r="E131" s="12">
        <v>37</v>
      </c>
      <c r="F131" s="13">
        <v>40883</v>
      </c>
      <c r="G131" s="14">
        <v>225558</v>
      </c>
      <c r="H131" s="15">
        <v>0.33</v>
      </c>
      <c r="I131" s="12" t="s">
        <v>66</v>
      </c>
      <c r="J131" s="12" t="s">
        <v>101</v>
      </c>
      <c r="K131" s="17" t="s">
        <v>1121</v>
      </c>
    </row>
    <row r="132" spans="1:11">
      <c r="A132" s="11" t="s">
        <v>55</v>
      </c>
      <c r="B132" s="12" t="s">
        <v>56</v>
      </c>
      <c r="C132" s="12" t="s">
        <v>64</v>
      </c>
      <c r="D132" s="12" t="s">
        <v>65</v>
      </c>
      <c r="E132" s="12">
        <v>37</v>
      </c>
      <c r="F132" s="13">
        <v>41695</v>
      </c>
      <c r="G132" s="14">
        <v>128984</v>
      </c>
      <c r="H132" s="15">
        <v>0.12</v>
      </c>
      <c r="I132" s="12" t="s">
        <v>60</v>
      </c>
      <c r="J132" s="12" t="s">
        <v>88</v>
      </c>
      <c r="K132" s="17">
        <v>44317</v>
      </c>
    </row>
    <row r="133" spans="1:11">
      <c r="A133" s="11" t="s">
        <v>160</v>
      </c>
      <c r="B133" s="12" t="s">
        <v>98</v>
      </c>
      <c r="C133" s="12" t="s">
        <v>71</v>
      </c>
      <c r="D133" s="12" t="s">
        <v>65</v>
      </c>
      <c r="E133" s="12">
        <v>46</v>
      </c>
      <c r="F133" s="13">
        <v>36331</v>
      </c>
      <c r="G133" s="14">
        <v>96997</v>
      </c>
      <c r="H133" s="15">
        <v>0</v>
      </c>
      <c r="I133" s="12" t="s">
        <v>113</v>
      </c>
      <c r="J133" s="12" t="s">
        <v>184</v>
      </c>
      <c r="K133" s="17" t="s">
        <v>1121</v>
      </c>
    </row>
    <row r="134" spans="1:11">
      <c r="A134" s="11" t="s">
        <v>69</v>
      </c>
      <c r="B134" s="12" t="s">
        <v>94</v>
      </c>
      <c r="C134" s="12" t="s">
        <v>64</v>
      </c>
      <c r="D134" s="12" t="s">
        <v>58</v>
      </c>
      <c r="E134" s="12">
        <v>54</v>
      </c>
      <c r="F134" s="13">
        <v>43122</v>
      </c>
      <c r="G134" s="14">
        <v>176294</v>
      </c>
      <c r="H134" s="15">
        <v>0.28</v>
      </c>
      <c r="I134" s="12" t="s">
        <v>60</v>
      </c>
      <c r="J134" s="12" t="s">
        <v>91</v>
      </c>
      <c r="K134" s="17" t="s">
        <v>1121</v>
      </c>
    </row>
    <row r="135" spans="1:11">
      <c r="A135" s="11" t="s">
        <v>87</v>
      </c>
      <c r="B135" s="12" t="s">
        <v>82</v>
      </c>
      <c r="C135" s="12" t="s">
        <v>57</v>
      </c>
      <c r="D135" s="12" t="s">
        <v>58</v>
      </c>
      <c r="E135" s="12">
        <v>30</v>
      </c>
      <c r="F135" s="13">
        <v>44241</v>
      </c>
      <c r="G135" s="14">
        <v>48340</v>
      </c>
      <c r="H135" s="15">
        <v>0</v>
      </c>
      <c r="I135" s="12" t="s">
        <v>66</v>
      </c>
      <c r="J135" s="12" t="s">
        <v>126</v>
      </c>
      <c r="K135" s="17" t="s">
        <v>1121</v>
      </c>
    </row>
    <row r="136" spans="1:11">
      <c r="A136" s="11" t="s">
        <v>104</v>
      </c>
      <c r="B136" s="12" t="s">
        <v>98</v>
      </c>
      <c r="C136" s="12" t="s">
        <v>83</v>
      </c>
      <c r="D136" s="12" t="s">
        <v>58</v>
      </c>
      <c r="E136" s="12">
        <v>28</v>
      </c>
      <c r="F136" s="13">
        <v>42922</v>
      </c>
      <c r="G136" s="14">
        <v>240488</v>
      </c>
      <c r="H136" s="15">
        <v>0.4</v>
      </c>
      <c r="I136" s="12" t="s">
        <v>113</v>
      </c>
      <c r="J136" s="12" t="s">
        <v>117</v>
      </c>
      <c r="K136" s="17" t="s">
        <v>1121</v>
      </c>
    </row>
    <row r="137" spans="1:11">
      <c r="A137" s="11" t="s">
        <v>136</v>
      </c>
      <c r="B137" s="12" t="s">
        <v>56</v>
      </c>
      <c r="C137" s="12" t="s">
        <v>64</v>
      </c>
      <c r="D137" s="12" t="s">
        <v>65</v>
      </c>
      <c r="E137" s="12">
        <v>40</v>
      </c>
      <c r="F137" s="13">
        <v>40565</v>
      </c>
      <c r="G137" s="14">
        <v>97339</v>
      </c>
      <c r="H137" s="15">
        <v>0</v>
      </c>
      <c r="I137" s="12" t="s">
        <v>60</v>
      </c>
      <c r="J137" s="12" t="s">
        <v>91</v>
      </c>
      <c r="K137" s="17" t="s">
        <v>1121</v>
      </c>
    </row>
    <row r="138" spans="1:11">
      <c r="A138" s="11" t="s">
        <v>104</v>
      </c>
      <c r="B138" s="12" t="s">
        <v>94</v>
      </c>
      <c r="C138" s="12" t="s">
        <v>64</v>
      </c>
      <c r="D138" s="12" t="s">
        <v>58</v>
      </c>
      <c r="E138" s="12">
        <v>49</v>
      </c>
      <c r="F138" s="13">
        <v>37680</v>
      </c>
      <c r="G138" s="14">
        <v>211291</v>
      </c>
      <c r="H138" s="15">
        <v>0.37</v>
      </c>
      <c r="I138" s="12" t="s">
        <v>66</v>
      </c>
      <c r="J138" s="12" t="s">
        <v>67</v>
      </c>
      <c r="K138" s="17" t="s">
        <v>1121</v>
      </c>
    </row>
    <row r="139" spans="1:11">
      <c r="A139" s="11" t="s">
        <v>104</v>
      </c>
      <c r="B139" s="12" t="s">
        <v>82</v>
      </c>
      <c r="C139" s="12" t="s">
        <v>57</v>
      </c>
      <c r="D139" s="12" t="s">
        <v>65</v>
      </c>
      <c r="E139" s="12">
        <v>39</v>
      </c>
      <c r="F139" s="13">
        <v>40778</v>
      </c>
      <c r="G139" s="14">
        <v>249506</v>
      </c>
      <c r="H139" s="15">
        <v>0.3</v>
      </c>
      <c r="I139" s="12" t="s">
        <v>113</v>
      </c>
      <c r="J139" s="12" t="s">
        <v>117</v>
      </c>
      <c r="K139" s="17" t="s">
        <v>1121</v>
      </c>
    </row>
    <row r="140" spans="1:11">
      <c r="A140" s="11" t="s">
        <v>122</v>
      </c>
      <c r="B140" s="12" t="s">
        <v>98</v>
      </c>
      <c r="C140" s="12" t="s">
        <v>71</v>
      </c>
      <c r="D140" s="12" t="s">
        <v>65</v>
      </c>
      <c r="E140" s="12">
        <v>61</v>
      </c>
      <c r="F140" s="13">
        <v>37582</v>
      </c>
      <c r="G140" s="14">
        <v>80950</v>
      </c>
      <c r="H140" s="15">
        <v>0</v>
      </c>
      <c r="I140" s="12" t="s">
        <v>66</v>
      </c>
      <c r="J140" s="12" t="s">
        <v>67</v>
      </c>
      <c r="K140" s="17" t="s">
        <v>1121</v>
      </c>
    </row>
    <row r="141" spans="1:11">
      <c r="A141" s="11" t="s">
        <v>162</v>
      </c>
      <c r="B141" s="12" t="s">
        <v>98</v>
      </c>
      <c r="C141" s="12" t="s">
        <v>57</v>
      </c>
      <c r="D141" s="12" t="s">
        <v>58</v>
      </c>
      <c r="E141" s="12">
        <v>46</v>
      </c>
      <c r="F141" s="13">
        <v>44206</v>
      </c>
      <c r="G141" s="14">
        <v>86538</v>
      </c>
      <c r="H141" s="15">
        <v>0</v>
      </c>
      <c r="I141" s="12" t="s">
        <v>66</v>
      </c>
      <c r="J141" s="12" t="s">
        <v>138</v>
      </c>
      <c r="K141" s="17" t="s">
        <v>1121</v>
      </c>
    </row>
    <row r="142" spans="1:11">
      <c r="A142" s="11" t="s">
        <v>78</v>
      </c>
      <c r="B142" s="12" t="s">
        <v>105</v>
      </c>
      <c r="C142" s="12" t="s">
        <v>71</v>
      </c>
      <c r="D142" s="12" t="s">
        <v>58</v>
      </c>
      <c r="E142" s="12">
        <v>35</v>
      </c>
      <c r="F142" s="13">
        <v>43715</v>
      </c>
      <c r="G142" s="14">
        <v>70992</v>
      </c>
      <c r="H142" s="15">
        <v>0</v>
      </c>
      <c r="I142" s="12" t="s">
        <v>60</v>
      </c>
      <c r="J142" s="12" t="s">
        <v>91</v>
      </c>
      <c r="K142" s="17" t="s">
        <v>1121</v>
      </c>
    </row>
    <row r="143" spans="1:11">
      <c r="A143" s="11" t="s">
        <v>104</v>
      </c>
      <c r="B143" s="12" t="s">
        <v>98</v>
      </c>
      <c r="C143" s="12" t="s">
        <v>83</v>
      </c>
      <c r="D143" s="12" t="s">
        <v>65</v>
      </c>
      <c r="E143" s="12">
        <v>33</v>
      </c>
      <c r="F143" s="13">
        <v>42173</v>
      </c>
      <c r="G143" s="14">
        <v>205314</v>
      </c>
      <c r="H143" s="15">
        <v>0.3</v>
      </c>
      <c r="I143" s="12" t="s">
        <v>60</v>
      </c>
      <c r="J143" s="12" t="s">
        <v>110</v>
      </c>
      <c r="K143" s="17" t="s">
        <v>1121</v>
      </c>
    </row>
    <row r="144" spans="1:11">
      <c r="A144" s="11" t="s">
        <v>104</v>
      </c>
      <c r="B144" s="12" t="s">
        <v>94</v>
      </c>
      <c r="C144" s="12" t="s">
        <v>83</v>
      </c>
      <c r="D144" s="12" t="s">
        <v>58</v>
      </c>
      <c r="E144" s="12">
        <v>61</v>
      </c>
      <c r="F144" s="13">
        <v>42804</v>
      </c>
      <c r="G144" s="14">
        <v>196951</v>
      </c>
      <c r="H144" s="15">
        <v>0.33</v>
      </c>
      <c r="I144" s="12" t="s">
        <v>66</v>
      </c>
      <c r="J144" s="12" t="s">
        <v>126</v>
      </c>
      <c r="K144" s="17" t="s">
        <v>1121</v>
      </c>
    </row>
    <row r="145" spans="1:11">
      <c r="A145" s="11" t="s">
        <v>202</v>
      </c>
      <c r="B145" s="12" t="s">
        <v>56</v>
      </c>
      <c r="C145" s="12" t="s">
        <v>71</v>
      </c>
      <c r="D145" s="12" t="s">
        <v>65</v>
      </c>
      <c r="E145" s="12">
        <v>45</v>
      </c>
      <c r="F145" s="13">
        <v>38613</v>
      </c>
      <c r="G145" s="14">
        <v>67686</v>
      </c>
      <c r="H145" s="15">
        <v>0</v>
      </c>
      <c r="I145" s="12" t="s">
        <v>66</v>
      </c>
      <c r="J145" s="12" t="s">
        <v>126</v>
      </c>
      <c r="K145" s="17" t="s">
        <v>1121</v>
      </c>
    </row>
    <row r="146" spans="1:11">
      <c r="A146" s="11" t="s">
        <v>63</v>
      </c>
      <c r="B146" s="12" t="s">
        <v>56</v>
      </c>
      <c r="C146" s="12" t="s">
        <v>57</v>
      </c>
      <c r="D146" s="12" t="s">
        <v>65</v>
      </c>
      <c r="E146" s="12">
        <v>51</v>
      </c>
      <c r="F146" s="13">
        <v>39553</v>
      </c>
      <c r="G146" s="14">
        <v>86431</v>
      </c>
      <c r="H146" s="15">
        <v>0</v>
      </c>
      <c r="I146" s="12" t="s">
        <v>60</v>
      </c>
      <c r="J146" s="12" t="s">
        <v>110</v>
      </c>
      <c r="K146" s="17" t="s">
        <v>1121</v>
      </c>
    </row>
    <row r="147" spans="1:11">
      <c r="A147" s="11" t="s">
        <v>85</v>
      </c>
      <c r="B147" s="12" t="s">
        <v>94</v>
      </c>
      <c r="C147" s="12" t="s">
        <v>64</v>
      </c>
      <c r="D147" s="12" t="s">
        <v>65</v>
      </c>
      <c r="E147" s="12">
        <v>55</v>
      </c>
      <c r="F147" s="13">
        <v>35019</v>
      </c>
      <c r="G147" s="14">
        <v>125936</v>
      </c>
      <c r="H147" s="15">
        <v>0.08</v>
      </c>
      <c r="I147" s="12" t="s">
        <v>66</v>
      </c>
      <c r="J147" s="12" t="s">
        <v>67</v>
      </c>
      <c r="K147" s="17" t="s">
        <v>1121</v>
      </c>
    </row>
    <row r="148" spans="1:11">
      <c r="A148" s="11" t="s">
        <v>55</v>
      </c>
      <c r="B148" s="12" t="s">
        <v>82</v>
      </c>
      <c r="C148" s="12" t="s">
        <v>83</v>
      </c>
      <c r="D148" s="12" t="s">
        <v>58</v>
      </c>
      <c r="E148" s="12">
        <v>46</v>
      </c>
      <c r="F148" s="13">
        <v>41473</v>
      </c>
      <c r="G148" s="14">
        <v>149712</v>
      </c>
      <c r="H148" s="15">
        <v>0.14</v>
      </c>
      <c r="I148" s="12" t="s">
        <v>60</v>
      </c>
      <c r="J148" s="12" t="s">
        <v>110</v>
      </c>
      <c r="K148" s="17" t="s">
        <v>1121</v>
      </c>
    </row>
    <row r="149" spans="1:11">
      <c r="A149" s="11" t="s">
        <v>160</v>
      </c>
      <c r="B149" s="12" t="s">
        <v>98</v>
      </c>
      <c r="C149" s="12" t="s">
        <v>71</v>
      </c>
      <c r="D149" s="12" t="s">
        <v>65</v>
      </c>
      <c r="E149" s="12">
        <v>30</v>
      </c>
      <c r="F149" s="13">
        <v>44471</v>
      </c>
      <c r="G149" s="14">
        <v>88758</v>
      </c>
      <c r="H149" s="15">
        <v>0</v>
      </c>
      <c r="I149" s="12" t="s">
        <v>60</v>
      </c>
      <c r="J149" s="12" t="s">
        <v>61</v>
      </c>
      <c r="K149" s="17" t="s">
        <v>1121</v>
      </c>
    </row>
    <row r="150" spans="1:11">
      <c r="A150" s="11" t="s">
        <v>266</v>
      </c>
      <c r="B150" s="12" t="s">
        <v>56</v>
      </c>
      <c r="C150" s="12" t="s">
        <v>57</v>
      </c>
      <c r="D150" s="12" t="s">
        <v>65</v>
      </c>
      <c r="E150" s="12">
        <v>54</v>
      </c>
      <c r="F150" s="13">
        <v>41468</v>
      </c>
      <c r="G150" s="14">
        <v>83639</v>
      </c>
      <c r="H150" s="15">
        <v>0</v>
      </c>
      <c r="I150" s="12" t="s">
        <v>66</v>
      </c>
      <c r="J150" s="12" t="s">
        <v>126</v>
      </c>
      <c r="K150" s="17" t="s">
        <v>1121</v>
      </c>
    </row>
    <row r="151" spans="1:11">
      <c r="A151" s="11" t="s">
        <v>200</v>
      </c>
      <c r="B151" s="12" t="s">
        <v>56</v>
      </c>
      <c r="C151" s="12" t="s">
        <v>57</v>
      </c>
      <c r="D151" s="12" t="s">
        <v>58</v>
      </c>
      <c r="E151" s="12">
        <v>54</v>
      </c>
      <c r="F151" s="13">
        <v>35933</v>
      </c>
      <c r="G151" s="14">
        <v>68268</v>
      </c>
      <c r="H151" s="15">
        <v>0</v>
      </c>
      <c r="I151" s="12" t="s">
        <v>60</v>
      </c>
      <c r="J151" s="12" t="s">
        <v>79</v>
      </c>
      <c r="K151" s="17" t="s">
        <v>1121</v>
      </c>
    </row>
    <row r="152" spans="1:11">
      <c r="A152" s="11" t="s">
        <v>160</v>
      </c>
      <c r="B152" s="12" t="s">
        <v>98</v>
      </c>
      <c r="C152" s="12" t="s">
        <v>64</v>
      </c>
      <c r="D152" s="12" t="s">
        <v>65</v>
      </c>
      <c r="E152" s="12">
        <v>45</v>
      </c>
      <c r="F152" s="13">
        <v>37313</v>
      </c>
      <c r="G152" s="14">
        <v>75819</v>
      </c>
      <c r="H152" s="15">
        <v>0</v>
      </c>
      <c r="I152" s="12" t="s">
        <v>113</v>
      </c>
      <c r="J152" s="12" t="s">
        <v>184</v>
      </c>
      <c r="K152" s="17" t="s">
        <v>1121</v>
      </c>
    </row>
    <row r="153" spans="1:11">
      <c r="A153" s="11" t="s">
        <v>78</v>
      </c>
      <c r="B153" s="12" t="s">
        <v>82</v>
      </c>
      <c r="C153" s="12" t="s">
        <v>71</v>
      </c>
      <c r="D153" s="12" t="s">
        <v>58</v>
      </c>
      <c r="E153" s="12">
        <v>49</v>
      </c>
      <c r="F153" s="13">
        <v>35200</v>
      </c>
      <c r="G153" s="14">
        <v>86658</v>
      </c>
      <c r="H153" s="15">
        <v>0</v>
      </c>
      <c r="I153" s="12" t="s">
        <v>60</v>
      </c>
      <c r="J153" s="12" t="s">
        <v>79</v>
      </c>
      <c r="K153" s="17" t="s">
        <v>1121</v>
      </c>
    </row>
    <row r="154" spans="1:11">
      <c r="A154" s="11" t="s">
        <v>132</v>
      </c>
      <c r="B154" s="12" t="s">
        <v>70</v>
      </c>
      <c r="C154" s="12" t="s">
        <v>57</v>
      </c>
      <c r="D154" s="12" t="s">
        <v>65</v>
      </c>
      <c r="E154" s="12">
        <v>55</v>
      </c>
      <c r="F154" s="13">
        <v>41714</v>
      </c>
      <c r="G154" s="14">
        <v>74552</v>
      </c>
      <c r="H154" s="15">
        <v>0</v>
      </c>
      <c r="I154" s="12" t="s">
        <v>66</v>
      </c>
      <c r="J154" s="12" t="s">
        <v>138</v>
      </c>
      <c r="K154" s="17" t="s">
        <v>1121</v>
      </c>
    </row>
    <row r="155" spans="1:11">
      <c r="A155" s="11" t="s">
        <v>136</v>
      </c>
      <c r="B155" s="12" t="s">
        <v>56</v>
      </c>
      <c r="C155" s="12" t="s">
        <v>64</v>
      </c>
      <c r="D155" s="12" t="s">
        <v>58</v>
      </c>
      <c r="E155" s="12">
        <v>62</v>
      </c>
      <c r="F155" s="13">
        <v>39887</v>
      </c>
      <c r="G155" s="14">
        <v>82839</v>
      </c>
      <c r="H155" s="15">
        <v>0</v>
      </c>
      <c r="I155" s="12" t="s">
        <v>60</v>
      </c>
      <c r="J155" s="12" t="s">
        <v>88</v>
      </c>
      <c r="K155" s="17" t="s">
        <v>1121</v>
      </c>
    </row>
    <row r="156" spans="1:11">
      <c r="A156" s="11" t="s">
        <v>200</v>
      </c>
      <c r="B156" s="12" t="s">
        <v>56</v>
      </c>
      <c r="C156" s="12" t="s">
        <v>71</v>
      </c>
      <c r="D156" s="12" t="s">
        <v>58</v>
      </c>
      <c r="E156" s="12">
        <v>28</v>
      </c>
      <c r="F156" s="13">
        <v>44477</v>
      </c>
      <c r="G156" s="14">
        <v>64475</v>
      </c>
      <c r="H156" s="15">
        <v>0</v>
      </c>
      <c r="I156" s="12" t="s">
        <v>60</v>
      </c>
      <c r="J156" s="12" t="s">
        <v>79</v>
      </c>
      <c r="K156" s="17" t="s">
        <v>1121</v>
      </c>
    </row>
    <row r="157" spans="1:11">
      <c r="A157" s="11" t="s">
        <v>200</v>
      </c>
      <c r="B157" s="12" t="s">
        <v>56</v>
      </c>
      <c r="C157" s="12" t="s">
        <v>64</v>
      </c>
      <c r="D157" s="12" t="s">
        <v>65</v>
      </c>
      <c r="E157" s="12">
        <v>33</v>
      </c>
      <c r="F157" s="13">
        <v>44036</v>
      </c>
      <c r="G157" s="14">
        <v>69453</v>
      </c>
      <c r="H157" s="15">
        <v>0</v>
      </c>
      <c r="I157" s="12" t="s">
        <v>66</v>
      </c>
      <c r="J157" s="12" t="s">
        <v>138</v>
      </c>
      <c r="K157" s="17" t="s">
        <v>1121</v>
      </c>
    </row>
    <row r="158" spans="1:11">
      <c r="A158" s="11" t="s">
        <v>85</v>
      </c>
      <c r="B158" s="12" t="s">
        <v>56</v>
      </c>
      <c r="C158" s="12" t="s">
        <v>83</v>
      </c>
      <c r="D158" s="12" t="s">
        <v>65</v>
      </c>
      <c r="E158" s="12">
        <v>32</v>
      </c>
      <c r="F158" s="13">
        <v>41642</v>
      </c>
      <c r="G158" s="14">
        <v>127148</v>
      </c>
      <c r="H158" s="15">
        <v>0.1</v>
      </c>
      <c r="I158" s="12" t="s">
        <v>60</v>
      </c>
      <c r="J158" s="12" t="s">
        <v>88</v>
      </c>
      <c r="K158" s="17" t="s">
        <v>1121</v>
      </c>
    </row>
    <row r="159" spans="1:11">
      <c r="A159" s="11" t="s">
        <v>104</v>
      </c>
      <c r="B159" s="12" t="s">
        <v>70</v>
      </c>
      <c r="C159" s="12" t="s">
        <v>71</v>
      </c>
      <c r="D159" s="12" t="s">
        <v>58</v>
      </c>
      <c r="E159" s="12">
        <v>32</v>
      </c>
      <c r="F159" s="13">
        <v>43102</v>
      </c>
      <c r="G159" s="14">
        <v>190253</v>
      </c>
      <c r="H159" s="15">
        <v>0.33</v>
      </c>
      <c r="I159" s="12" t="s">
        <v>60</v>
      </c>
      <c r="J159" s="12" t="s">
        <v>91</v>
      </c>
      <c r="K159" s="17" t="s">
        <v>1121</v>
      </c>
    </row>
    <row r="160" spans="1:11">
      <c r="A160" s="11" t="s">
        <v>85</v>
      </c>
      <c r="B160" s="12" t="s">
        <v>90</v>
      </c>
      <c r="C160" s="12" t="s">
        <v>57</v>
      </c>
      <c r="D160" s="12" t="s">
        <v>65</v>
      </c>
      <c r="E160" s="12">
        <v>55</v>
      </c>
      <c r="F160" s="13">
        <v>36644</v>
      </c>
      <c r="G160" s="14">
        <v>115798</v>
      </c>
      <c r="H160" s="15">
        <v>0.05</v>
      </c>
      <c r="I160" s="12" t="s">
        <v>60</v>
      </c>
      <c r="J160" s="12" t="s">
        <v>88</v>
      </c>
      <c r="K160" s="17" t="s">
        <v>1121</v>
      </c>
    </row>
    <row r="161" spans="1:11">
      <c r="A161" s="11" t="s">
        <v>143</v>
      </c>
      <c r="B161" s="12" t="s">
        <v>94</v>
      </c>
      <c r="C161" s="12" t="s">
        <v>57</v>
      </c>
      <c r="D161" s="12" t="s">
        <v>58</v>
      </c>
      <c r="E161" s="12">
        <v>58</v>
      </c>
      <c r="F161" s="13">
        <v>34567</v>
      </c>
      <c r="G161" s="14">
        <v>93102</v>
      </c>
      <c r="H161" s="15">
        <v>0</v>
      </c>
      <c r="I161" s="12" t="s">
        <v>60</v>
      </c>
      <c r="J161" s="12" t="s">
        <v>61</v>
      </c>
      <c r="K161" s="17">
        <v>41621</v>
      </c>
    </row>
    <row r="162" spans="1:11">
      <c r="A162" s="11" t="s">
        <v>125</v>
      </c>
      <c r="B162" s="12" t="s">
        <v>98</v>
      </c>
      <c r="C162" s="12" t="s">
        <v>71</v>
      </c>
      <c r="D162" s="12" t="s">
        <v>65</v>
      </c>
      <c r="E162" s="12">
        <v>34</v>
      </c>
      <c r="F162" s="13">
        <v>43055</v>
      </c>
      <c r="G162" s="14">
        <v>110054</v>
      </c>
      <c r="H162" s="15">
        <v>0.15</v>
      </c>
      <c r="I162" s="12" t="s">
        <v>60</v>
      </c>
      <c r="J162" s="12" t="s">
        <v>88</v>
      </c>
      <c r="K162" s="17" t="s">
        <v>1121</v>
      </c>
    </row>
    <row r="163" spans="1:11">
      <c r="A163" s="11" t="s">
        <v>122</v>
      </c>
      <c r="B163" s="12" t="s">
        <v>98</v>
      </c>
      <c r="C163" s="12" t="s">
        <v>57</v>
      </c>
      <c r="D163" s="12" t="s">
        <v>58</v>
      </c>
      <c r="E163" s="12">
        <v>27</v>
      </c>
      <c r="F163" s="13">
        <v>44224</v>
      </c>
      <c r="G163" s="14">
        <v>95786</v>
      </c>
      <c r="H163" s="15">
        <v>0</v>
      </c>
      <c r="I163" s="12" t="s">
        <v>60</v>
      </c>
      <c r="J163" s="12" t="s">
        <v>73</v>
      </c>
      <c r="K163" s="17" t="s">
        <v>1121</v>
      </c>
    </row>
    <row r="164" spans="1:11">
      <c r="A164" s="11" t="s">
        <v>78</v>
      </c>
      <c r="B164" s="12" t="s">
        <v>82</v>
      </c>
      <c r="C164" s="12" t="s">
        <v>71</v>
      </c>
      <c r="D164" s="12" t="s">
        <v>65</v>
      </c>
      <c r="E164" s="12">
        <v>61</v>
      </c>
      <c r="F164" s="13">
        <v>42858</v>
      </c>
      <c r="G164" s="14">
        <v>90855</v>
      </c>
      <c r="H164" s="15">
        <v>0</v>
      </c>
      <c r="I164" s="12" t="s">
        <v>113</v>
      </c>
      <c r="J164" s="12" t="s">
        <v>184</v>
      </c>
      <c r="K164" s="17" t="s">
        <v>1121</v>
      </c>
    </row>
    <row r="165" spans="1:11">
      <c r="A165" s="11" t="s">
        <v>136</v>
      </c>
      <c r="B165" s="12" t="s">
        <v>56</v>
      </c>
      <c r="C165" s="12" t="s">
        <v>64</v>
      </c>
      <c r="D165" s="12" t="s">
        <v>65</v>
      </c>
      <c r="E165" s="12">
        <v>47</v>
      </c>
      <c r="F165" s="13">
        <v>36233</v>
      </c>
      <c r="G165" s="14">
        <v>92897</v>
      </c>
      <c r="H165" s="15">
        <v>0</v>
      </c>
      <c r="I165" s="12" t="s">
        <v>113</v>
      </c>
      <c r="J165" s="12" t="s">
        <v>184</v>
      </c>
      <c r="K165" s="17" t="s">
        <v>1121</v>
      </c>
    </row>
    <row r="166" spans="1:11">
      <c r="A166" s="11" t="s">
        <v>104</v>
      </c>
      <c r="B166" s="12" t="s">
        <v>105</v>
      </c>
      <c r="C166" s="12" t="s">
        <v>71</v>
      </c>
      <c r="D166" s="12" t="s">
        <v>65</v>
      </c>
      <c r="E166" s="12">
        <v>40</v>
      </c>
      <c r="F166" s="13">
        <v>39872</v>
      </c>
      <c r="G166" s="14">
        <v>242919</v>
      </c>
      <c r="H166" s="15">
        <v>0.31</v>
      </c>
      <c r="I166" s="12" t="s">
        <v>66</v>
      </c>
      <c r="J166" s="12" t="s">
        <v>67</v>
      </c>
      <c r="K166" s="17" t="s">
        <v>1121</v>
      </c>
    </row>
    <row r="167" spans="1:11">
      <c r="A167" s="11" t="s">
        <v>69</v>
      </c>
      <c r="B167" s="12" t="s">
        <v>98</v>
      </c>
      <c r="C167" s="12" t="s">
        <v>71</v>
      </c>
      <c r="D167" s="12" t="s">
        <v>65</v>
      </c>
      <c r="E167" s="12">
        <v>30</v>
      </c>
      <c r="F167" s="13">
        <v>43240</v>
      </c>
      <c r="G167" s="14">
        <v>184368</v>
      </c>
      <c r="H167" s="15">
        <v>0.29</v>
      </c>
      <c r="I167" s="12" t="s">
        <v>60</v>
      </c>
      <c r="J167" s="12" t="s">
        <v>91</v>
      </c>
      <c r="K167" s="17" t="s">
        <v>1121</v>
      </c>
    </row>
    <row r="168" spans="1:11">
      <c r="A168" s="11" t="s">
        <v>55</v>
      </c>
      <c r="B168" s="12" t="s">
        <v>70</v>
      </c>
      <c r="C168" s="12" t="s">
        <v>83</v>
      </c>
      <c r="D168" s="12" t="s">
        <v>65</v>
      </c>
      <c r="E168" s="12">
        <v>45</v>
      </c>
      <c r="F168" s="13">
        <v>44554</v>
      </c>
      <c r="G168" s="14">
        <v>144754</v>
      </c>
      <c r="H168" s="15">
        <v>0.15</v>
      </c>
      <c r="I168" s="12" t="s">
        <v>60</v>
      </c>
      <c r="J168" s="12" t="s">
        <v>79</v>
      </c>
      <c r="K168" s="17" t="s">
        <v>1121</v>
      </c>
    </row>
    <row r="169" spans="1:11">
      <c r="A169" s="11" t="s">
        <v>225</v>
      </c>
      <c r="B169" s="12" t="s">
        <v>82</v>
      </c>
      <c r="C169" s="12" t="s">
        <v>57</v>
      </c>
      <c r="D169" s="12" t="s">
        <v>58</v>
      </c>
      <c r="E169" s="12">
        <v>30</v>
      </c>
      <c r="F169" s="13">
        <v>42722</v>
      </c>
      <c r="G169" s="14">
        <v>89458</v>
      </c>
      <c r="H169" s="15">
        <v>0</v>
      </c>
      <c r="I169" s="12" t="s">
        <v>60</v>
      </c>
      <c r="J169" s="12" t="s">
        <v>91</v>
      </c>
      <c r="K169" s="17" t="s">
        <v>1121</v>
      </c>
    </row>
    <row r="170" spans="1:11">
      <c r="A170" s="11" t="s">
        <v>104</v>
      </c>
      <c r="B170" s="12" t="s">
        <v>90</v>
      </c>
      <c r="C170" s="12" t="s">
        <v>83</v>
      </c>
      <c r="D170" s="12" t="s">
        <v>58</v>
      </c>
      <c r="E170" s="12">
        <v>56</v>
      </c>
      <c r="F170" s="13">
        <v>41714</v>
      </c>
      <c r="G170" s="14">
        <v>190815</v>
      </c>
      <c r="H170" s="15">
        <v>0.4</v>
      </c>
      <c r="I170" s="12" t="s">
        <v>60</v>
      </c>
      <c r="J170" s="12" t="s">
        <v>91</v>
      </c>
      <c r="K170" s="17" t="s">
        <v>1121</v>
      </c>
    </row>
    <row r="171" spans="1:11">
      <c r="A171" s="11" t="s">
        <v>55</v>
      </c>
      <c r="B171" s="12" t="s">
        <v>82</v>
      </c>
      <c r="C171" s="12" t="s">
        <v>57</v>
      </c>
      <c r="D171" s="12" t="s">
        <v>58</v>
      </c>
      <c r="E171" s="12">
        <v>62</v>
      </c>
      <c r="F171" s="13">
        <v>36374</v>
      </c>
      <c r="G171" s="14">
        <v>137995</v>
      </c>
      <c r="H171" s="15">
        <v>0.14</v>
      </c>
      <c r="I171" s="12" t="s">
        <v>60</v>
      </c>
      <c r="J171" s="12" t="s">
        <v>91</v>
      </c>
      <c r="K171" s="17" t="s">
        <v>1121</v>
      </c>
    </row>
    <row r="172" spans="1:11">
      <c r="A172" s="11" t="s">
        <v>143</v>
      </c>
      <c r="B172" s="12" t="s">
        <v>94</v>
      </c>
      <c r="C172" s="12" t="s">
        <v>64</v>
      </c>
      <c r="D172" s="12" t="s">
        <v>58</v>
      </c>
      <c r="E172" s="12">
        <v>45</v>
      </c>
      <c r="F172" s="13">
        <v>39437</v>
      </c>
      <c r="G172" s="14">
        <v>93840</v>
      </c>
      <c r="H172" s="15">
        <v>0</v>
      </c>
      <c r="I172" s="12" t="s">
        <v>113</v>
      </c>
      <c r="J172" s="12" t="s">
        <v>114</v>
      </c>
      <c r="K172" s="17" t="s">
        <v>1121</v>
      </c>
    </row>
    <row r="173" spans="1:11">
      <c r="A173" s="11" t="s">
        <v>63</v>
      </c>
      <c r="B173" s="12" t="s">
        <v>56</v>
      </c>
      <c r="C173" s="12" t="s">
        <v>57</v>
      </c>
      <c r="D173" s="12" t="s">
        <v>65</v>
      </c>
      <c r="E173" s="12">
        <v>46</v>
      </c>
      <c r="F173" s="13">
        <v>44495</v>
      </c>
      <c r="G173" s="14">
        <v>94790</v>
      </c>
      <c r="H173" s="15">
        <v>0</v>
      </c>
      <c r="I173" s="12" t="s">
        <v>66</v>
      </c>
      <c r="J173" s="12" t="s">
        <v>67</v>
      </c>
      <c r="K173" s="17" t="s">
        <v>1121</v>
      </c>
    </row>
    <row r="174" spans="1:11">
      <c r="A174" s="11" t="s">
        <v>104</v>
      </c>
      <c r="B174" s="12" t="s">
        <v>94</v>
      </c>
      <c r="C174" s="12" t="s">
        <v>57</v>
      </c>
      <c r="D174" s="12" t="s">
        <v>65</v>
      </c>
      <c r="E174" s="12">
        <v>48</v>
      </c>
      <c r="F174" s="13">
        <v>41706</v>
      </c>
      <c r="G174" s="14">
        <v>197367</v>
      </c>
      <c r="H174" s="15">
        <v>0.39</v>
      </c>
      <c r="I174" s="12" t="s">
        <v>60</v>
      </c>
      <c r="J174" s="12" t="s">
        <v>91</v>
      </c>
      <c r="K174" s="17" t="s">
        <v>1121</v>
      </c>
    </row>
    <row r="175" spans="1:11">
      <c r="A175" s="11" t="s">
        <v>69</v>
      </c>
      <c r="B175" s="12" t="s">
        <v>90</v>
      </c>
      <c r="C175" s="12" t="s">
        <v>64</v>
      </c>
      <c r="D175" s="12" t="s">
        <v>58</v>
      </c>
      <c r="E175" s="12">
        <v>27</v>
      </c>
      <c r="F175" s="13">
        <v>43276</v>
      </c>
      <c r="G175" s="14">
        <v>174097</v>
      </c>
      <c r="H175" s="15">
        <v>0.21</v>
      </c>
      <c r="I175" s="12" t="s">
        <v>60</v>
      </c>
      <c r="J175" s="12" t="s">
        <v>79</v>
      </c>
      <c r="K175" s="17" t="s">
        <v>1121</v>
      </c>
    </row>
    <row r="176" spans="1:11">
      <c r="A176" s="11" t="s">
        <v>85</v>
      </c>
      <c r="B176" s="12" t="s">
        <v>56</v>
      </c>
      <c r="C176" s="12" t="s">
        <v>71</v>
      </c>
      <c r="D176" s="12" t="s">
        <v>65</v>
      </c>
      <c r="E176" s="12">
        <v>53</v>
      </c>
      <c r="F176" s="13">
        <v>39021</v>
      </c>
      <c r="G176" s="14">
        <v>120128</v>
      </c>
      <c r="H176" s="15">
        <v>0.1</v>
      </c>
      <c r="I176" s="12" t="s">
        <v>60</v>
      </c>
      <c r="J176" s="12" t="s">
        <v>91</v>
      </c>
      <c r="K176" s="17" t="s">
        <v>1121</v>
      </c>
    </row>
    <row r="177" spans="1:11">
      <c r="A177" s="11" t="s">
        <v>85</v>
      </c>
      <c r="B177" s="12" t="s">
        <v>105</v>
      </c>
      <c r="C177" s="12" t="s">
        <v>64</v>
      </c>
      <c r="D177" s="12" t="s">
        <v>58</v>
      </c>
      <c r="E177" s="12">
        <v>59</v>
      </c>
      <c r="F177" s="13">
        <v>39197</v>
      </c>
      <c r="G177" s="14">
        <v>129708</v>
      </c>
      <c r="H177" s="15">
        <v>0.05</v>
      </c>
      <c r="I177" s="12" t="s">
        <v>60</v>
      </c>
      <c r="J177" s="12" t="s">
        <v>88</v>
      </c>
      <c r="K177" s="17" t="s">
        <v>1121</v>
      </c>
    </row>
    <row r="178" spans="1:11">
      <c r="A178" s="11" t="s">
        <v>85</v>
      </c>
      <c r="B178" s="12" t="s">
        <v>105</v>
      </c>
      <c r="C178" s="12" t="s">
        <v>57</v>
      </c>
      <c r="D178" s="12" t="s">
        <v>65</v>
      </c>
      <c r="E178" s="12">
        <v>55</v>
      </c>
      <c r="F178" s="13">
        <v>34595</v>
      </c>
      <c r="G178" s="14">
        <v>102270</v>
      </c>
      <c r="H178" s="15">
        <v>0.1</v>
      </c>
      <c r="I178" s="12" t="s">
        <v>60</v>
      </c>
      <c r="J178" s="12" t="s">
        <v>73</v>
      </c>
      <c r="K178" s="17" t="s">
        <v>1121</v>
      </c>
    </row>
    <row r="179" spans="1:11">
      <c r="A179" s="11" t="s">
        <v>104</v>
      </c>
      <c r="B179" s="12" t="s">
        <v>70</v>
      </c>
      <c r="C179" s="12" t="s">
        <v>71</v>
      </c>
      <c r="D179" s="12" t="s">
        <v>58</v>
      </c>
      <c r="E179" s="12">
        <v>43</v>
      </c>
      <c r="F179" s="13">
        <v>38564</v>
      </c>
      <c r="G179" s="14">
        <v>249686</v>
      </c>
      <c r="H179" s="15">
        <v>0.31</v>
      </c>
      <c r="I179" s="12" t="s">
        <v>66</v>
      </c>
      <c r="J179" s="12" t="s">
        <v>67</v>
      </c>
      <c r="K179" s="17" t="s">
        <v>1121</v>
      </c>
    </row>
    <row r="180" spans="1:11">
      <c r="A180" s="11" t="s">
        <v>87</v>
      </c>
      <c r="B180" s="12" t="s">
        <v>70</v>
      </c>
      <c r="C180" s="12" t="s">
        <v>64</v>
      </c>
      <c r="D180" s="12" t="s">
        <v>58</v>
      </c>
      <c r="E180" s="12">
        <v>55</v>
      </c>
      <c r="F180" s="13">
        <v>37343</v>
      </c>
      <c r="G180" s="14">
        <v>50475</v>
      </c>
      <c r="H180" s="15">
        <v>0</v>
      </c>
      <c r="I180" s="12" t="s">
        <v>60</v>
      </c>
      <c r="J180" s="12" t="s">
        <v>110</v>
      </c>
      <c r="K180" s="17" t="s">
        <v>1121</v>
      </c>
    </row>
    <row r="181" spans="1:11">
      <c r="A181" s="11" t="s">
        <v>85</v>
      </c>
      <c r="B181" s="12" t="s">
        <v>105</v>
      </c>
      <c r="C181" s="12" t="s">
        <v>57</v>
      </c>
      <c r="D181" s="12" t="s">
        <v>65</v>
      </c>
      <c r="E181" s="12">
        <v>51</v>
      </c>
      <c r="F181" s="13">
        <v>44014</v>
      </c>
      <c r="G181" s="14">
        <v>100099</v>
      </c>
      <c r="H181" s="15">
        <v>0.08</v>
      </c>
      <c r="I181" s="12" t="s">
        <v>60</v>
      </c>
      <c r="J181" s="12" t="s">
        <v>88</v>
      </c>
      <c r="K181" s="17" t="s">
        <v>1121</v>
      </c>
    </row>
    <row r="182" spans="1:11">
      <c r="A182" s="11" t="s">
        <v>129</v>
      </c>
      <c r="B182" s="12" t="s">
        <v>56</v>
      </c>
      <c r="C182" s="12" t="s">
        <v>64</v>
      </c>
      <c r="D182" s="12" t="s">
        <v>58</v>
      </c>
      <c r="E182" s="12">
        <v>54</v>
      </c>
      <c r="F182" s="13">
        <v>42731</v>
      </c>
      <c r="G182" s="14">
        <v>41673</v>
      </c>
      <c r="H182" s="15">
        <v>0</v>
      </c>
      <c r="I182" s="12" t="s">
        <v>60</v>
      </c>
      <c r="J182" s="12" t="s">
        <v>88</v>
      </c>
      <c r="K182" s="17" t="s">
        <v>1121</v>
      </c>
    </row>
    <row r="183" spans="1:11">
      <c r="A183" s="11" t="s">
        <v>78</v>
      </c>
      <c r="B183" s="12" t="s">
        <v>105</v>
      </c>
      <c r="C183" s="12" t="s">
        <v>71</v>
      </c>
      <c r="D183" s="12" t="s">
        <v>58</v>
      </c>
      <c r="E183" s="12">
        <v>47</v>
      </c>
      <c r="F183" s="13">
        <v>42928</v>
      </c>
      <c r="G183" s="14">
        <v>70996</v>
      </c>
      <c r="H183" s="15">
        <v>0</v>
      </c>
      <c r="I183" s="12" t="s">
        <v>66</v>
      </c>
      <c r="J183" s="12" t="s">
        <v>138</v>
      </c>
      <c r="K183" s="17" t="s">
        <v>1121</v>
      </c>
    </row>
    <row r="184" spans="1:11">
      <c r="A184" s="11" t="s">
        <v>87</v>
      </c>
      <c r="B184" s="12" t="s">
        <v>105</v>
      </c>
      <c r="C184" s="12" t="s">
        <v>83</v>
      </c>
      <c r="D184" s="12" t="s">
        <v>65</v>
      </c>
      <c r="E184" s="12">
        <v>55</v>
      </c>
      <c r="F184" s="13">
        <v>38328</v>
      </c>
      <c r="G184" s="14">
        <v>40752</v>
      </c>
      <c r="H184" s="15">
        <v>0</v>
      </c>
      <c r="I184" s="12" t="s">
        <v>60</v>
      </c>
      <c r="J184" s="12" t="s">
        <v>79</v>
      </c>
      <c r="K184" s="17" t="s">
        <v>1121</v>
      </c>
    </row>
    <row r="185" spans="1:11">
      <c r="A185" s="11" t="s">
        <v>202</v>
      </c>
      <c r="B185" s="12" t="s">
        <v>56</v>
      </c>
      <c r="C185" s="12" t="s">
        <v>64</v>
      </c>
      <c r="D185" s="12" t="s">
        <v>58</v>
      </c>
      <c r="E185" s="12">
        <v>50</v>
      </c>
      <c r="F185" s="13">
        <v>36914</v>
      </c>
      <c r="G185" s="14">
        <v>97537</v>
      </c>
      <c r="H185" s="15">
        <v>0</v>
      </c>
      <c r="I185" s="12" t="s">
        <v>66</v>
      </c>
      <c r="J185" s="12" t="s">
        <v>138</v>
      </c>
      <c r="K185" s="17" t="s">
        <v>1121</v>
      </c>
    </row>
    <row r="186" spans="1:11">
      <c r="A186" s="11" t="s">
        <v>303</v>
      </c>
      <c r="B186" s="12" t="s">
        <v>56</v>
      </c>
      <c r="C186" s="12" t="s">
        <v>57</v>
      </c>
      <c r="D186" s="12" t="s">
        <v>65</v>
      </c>
      <c r="E186" s="12">
        <v>31</v>
      </c>
      <c r="F186" s="13">
        <v>44086</v>
      </c>
      <c r="G186" s="14">
        <v>96567</v>
      </c>
      <c r="H186" s="15">
        <v>0</v>
      </c>
      <c r="I186" s="12" t="s">
        <v>66</v>
      </c>
      <c r="J186" s="12" t="s">
        <v>101</v>
      </c>
      <c r="K186" s="17" t="s">
        <v>1121</v>
      </c>
    </row>
    <row r="187" spans="1:11">
      <c r="A187" s="11" t="s">
        <v>244</v>
      </c>
      <c r="B187" s="12" t="s">
        <v>56</v>
      </c>
      <c r="C187" s="12" t="s">
        <v>71</v>
      </c>
      <c r="D187" s="12" t="s">
        <v>65</v>
      </c>
      <c r="E187" s="12">
        <v>47</v>
      </c>
      <c r="F187" s="13">
        <v>36229</v>
      </c>
      <c r="G187" s="14">
        <v>49404</v>
      </c>
      <c r="H187" s="15">
        <v>0</v>
      </c>
      <c r="I187" s="12" t="s">
        <v>66</v>
      </c>
      <c r="J187" s="12" t="s">
        <v>126</v>
      </c>
      <c r="K187" s="17" t="s">
        <v>1121</v>
      </c>
    </row>
    <row r="188" spans="1:11">
      <c r="A188" s="11" t="s">
        <v>303</v>
      </c>
      <c r="B188" s="12" t="s">
        <v>56</v>
      </c>
      <c r="C188" s="12" t="s">
        <v>57</v>
      </c>
      <c r="D188" s="12" t="s">
        <v>65</v>
      </c>
      <c r="E188" s="12">
        <v>29</v>
      </c>
      <c r="F188" s="13">
        <v>43753</v>
      </c>
      <c r="G188" s="14">
        <v>66819</v>
      </c>
      <c r="H188" s="15">
        <v>0</v>
      </c>
      <c r="I188" s="12" t="s">
        <v>113</v>
      </c>
      <c r="J188" s="12" t="s">
        <v>117</v>
      </c>
      <c r="K188" s="17" t="s">
        <v>1121</v>
      </c>
    </row>
    <row r="189" spans="1:11">
      <c r="A189" s="11" t="s">
        <v>87</v>
      </c>
      <c r="B189" s="12" t="s">
        <v>105</v>
      </c>
      <c r="C189" s="12" t="s">
        <v>71</v>
      </c>
      <c r="D189" s="12" t="s">
        <v>65</v>
      </c>
      <c r="E189" s="12">
        <v>38</v>
      </c>
      <c r="F189" s="13">
        <v>42492</v>
      </c>
      <c r="G189" s="14">
        <v>50784</v>
      </c>
      <c r="H189" s="15">
        <v>0</v>
      </c>
      <c r="I189" s="12" t="s">
        <v>113</v>
      </c>
      <c r="J189" s="12" t="s">
        <v>117</v>
      </c>
      <c r="K189" s="17" t="s">
        <v>1121</v>
      </c>
    </row>
    <row r="190" spans="1:11">
      <c r="A190" s="11" t="s">
        <v>55</v>
      </c>
      <c r="B190" s="12" t="s">
        <v>94</v>
      </c>
      <c r="C190" s="12" t="s">
        <v>57</v>
      </c>
      <c r="D190" s="12" t="s">
        <v>65</v>
      </c>
      <c r="E190" s="12">
        <v>29</v>
      </c>
      <c r="F190" s="13">
        <v>43594</v>
      </c>
      <c r="G190" s="14">
        <v>125828</v>
      </c>
      <c r="H190" s="15">
        <v>0.15</v>
      </c>
      <c r="I190" s="12" t="s">
        <v>113</v>
      </c>
      <c r="J190" s="12" t="s">
        <v>184</v>
      </c>
      <c r="K190" s="17" t="s">
        <v>1121</v>
      </c>
    </row>
    <row r="191" spans="1:11">
      <c r="A191" s="11" t="s">
        <v>143</v>
      </c>
      <c r="B191" s="12" t="s">
        <v>94</v>
      </c>
      <c r="C191" s="12" t="s">
        <v>64</v>
      </c>
      <c r="D191" s="12" t="s">
        <v>65</v>
      </c>
      <c r="E191" s="12">
        <v>33</v>
      </c>
      <c r="F191" s="13">
        <v>42951</v>
      </c>
      <c r="G191" s="14">
        <v>92610</v>
      </c>
      <c r="H191" s="15">
        <v>0</v>
      </c>
      <c r="I191" s="12" t="s">
        <v>60</v>
      </c>
      <c r="J191" s="12" t="s">
        <v>110</v>
      </c>
      <c r="K191" s="17" t="s">
        <v>1121</v>
      </c>
    </row>
    <row r="192" spans="1:11">
      <c r="A192" s="11" t="s">
        <v>55</v>
      </c>
      <c r="B192" s="12" t="s">
        <v>82</v>
      </c>
      <c r="C192" s="12" t="s">
        <v>71</v>
      </c>
      <c r="D192" s="12" t="s">
        <v>65</v>
      </c>
      <c r="E192" s="12">
        <v>50</v>
      </c>
      <c r="F192" s="13">
        <v>37705</v>
      </c>
      <c r="G192" s="14">
        <v>123405</v>
      </c>
      <c r="H192" s="15">
        <v>0.13</v>
      </c>
      <c r="I192" s="12" t="s">
        <v>60</v>
      </c>
      <c r="J192" s="12" t="s">
        <v>110</v>
      </c>
      <c r="K192" s="17" t="s">
        <v>1121</v>
      </c>
    </row>
    <row r="193" spans="1:11">
      <c r="A193" s="11" t="s">
        <v>81</v>
      </c>
      <c r="B193" s="12" t="s">
        <v>82</v>
      </c>
      <c r="C193" s="12" t="s">
        <v>64</v>
      </c>
      <c r="D193" s="12" t="s">
        <v>58</v>
      </c>
      <c r="E193" s="12">
        <v>46</v>
      </c>
      <c r="F193" s="13">
        <v>38066</v>
      </c>
      <c r="G193" s="14">
        <v>73004</v>
      </c>
      <c r="H193" s="15">
        <v>0</v>
      </c>
      <c r="I193" s="12" t="s">
        <v>66</v>
      </c>
      <c r="J193" s="12" t="s">
        <v>126</v>
      </c>
      <c r="K193" s="17" t="s">
        <v>1121</v>
      </c>
    </row>
    <row r="194" spans="1:11">
      <c r="A194" s="11" t="s">
        <v>125</v>
      </c>
      <c r="B194" s="12" t="s">
        <v>98</v>
      </c>
      <c r="C194" s="12" t="s">
        <v>83</v>
      </c>
      <c r="D194" s="12" t="s">
        <v>65</v>
      </c>
      <c r="E194" s="12">
        <v>57</v>
      </c>
      <c r="F194" s="13">
        <v>36275</v>
      </c>
      <c r="G194" s="14">
        <v>95061</v>
      </c>
      <c r="H194" s="15">
        <v>0.1</v>
      </c>
      <c r="I194" s="12" t="s">
        <v>66</v>
      </c>
      <c r="J194" s="12" t="s">
        <v>101</v>
      </c>
      <c r="K194" s="17" t="s">
        <v>1121</v>
      </c>
    </row>
    <row r="195" spans="1:11">
      <c r="A195" s="11" t="s">
        <v>69</v>
      </c>
      <c r="B195" s="12" t="s">
        <v>82</v>
      </c>
      <c r="C195" s="12" t="s">
        <v>83</v>
      </c>
      <c r="D195" s="12" t="s">
        <v>58</v>
      </c>
      <c r="E195" s="12">
        <v>49</v>
      </c>
      <c r="F195" s="13">
        <v>35887</v>
      </c>
      <c r="G195" s="14">
        <v>160832</v>
      </c>
      <c r="H195" s="15">
        <v>0.3</v>
      </c>
      <c r="I195" s="12" t="s">
        <v>60</v>
      </c>
      <c r="J195" s="12" t="s">
        <v>79</v>
      </c>
      <c r="K195" s="17" t="s">
        <v>1121</v>
      </c>
    </row>
    <row r="196" spans="1:11">
      <c r="A196" s="11" t="s">
        <v>314</v>
      </c>
      <c r="B196" s="12" t="s">
        <v>56</v>
      </c>
      <c r="C196" s="12" t="s">
        <v>64</v>
      </c>
      <c r="D196" s="12" t="s">
        <v>65</v>
      </c>
      <c r="E196" s="12">
        <v>54</v>
      </c>
      <c r="F196" s="13">
        <v>40540</v>
      </c>
      <c r="G196" s="14">
        <v>64417</v>
      </c>
      <c r="H196" s="15">
        <v>0</v>
      </c>
      <c r="I196" s="12" t="s">
        <v>60</v>
      </c>
      <c r="J196" s="12" t="s">
        <v>110</v>
      </c>
      <c r="K196" s="17" t="s">
        <v>1121</v>
      </c>
    </row>
    <row r="197" spans="1:11">
      <c r="A197" s="11" t="s">
        <v>85</v>
      </c>
      <c r="B197" s="12" t="s">
        <v>82</v>
      </c>
      <c r="C197" s="12" t="s">
        <v>83</v>
      </c>
      <c r="D197" s="12" t="s">
        <v>65</v>
      </c>
      <c r="E197" s="12">
        <v>28</v>
      </c>
      <c r="F197" s="13">
        <v>44274</v>
      </c>
      <c r="G197" s="14">
        <v>127543</v>
      </c>
      <c r="H197" s="15">
        <v>0.06</v>
      </c>
      <c r="I197" s="12" t="s">
        <v>66</v>
      </c>
      <c r="J197" s="12" t="s">
        <v>101</v>
      </c>
      <c r="K197" s="17" t="s">
        <v>1121</v>
      </c>
    </row>
    <row r="198" spans="1:11">
      <c r="A198" s="11" t="s">
        <v>87</v>
      </c>
      <c r="B198" s="12" t="s">
        <v>105</v>
      </c>
      <c r="C198" s="12" t="s">
        <v>64</v>
      </c>
      <c r="D198" s="12" t="s">
        <v>65</v>
      </c>
      <c r="E198" s="12">
        <v>30</v>
      </c>
      <c r="F198" s="13">
        <v>43272</v>
      </c>
      <c r="G198" s="14">
        <v>56154</v>
      </c>
      <c r="H198" s="15">
        <v>0</v>
      </c>
      <c r="I198" s="12" t="s">
        <v>113</v>
      </c>
      <c r="J198" s="12" t="s">
        <v>184</v>
      </c>
      <c r="K198" s="17" t="s">
        <v>1121</v>
      </c>
    </row>
    <row r="199" spans="1:11">
      <c r="A199" s="11" t="s">
        <v>104</v>
      </c>
      <c r="B199" s="12" t="s">
        <v>82</v>
      </c>
      <c r="C199" s="12" t="s">
        <v>64</v>
      </c>
      <c r="D199" s="12" t="s">
        <v>58</v>
      </c>
      <c r="E199" s="12">
        <v>36</v>
      </c>
      <c r="F199" s="13">
        <v>41692</v>
      </c>
      <c r="G199" s="14">
        <v>218530</v>
      </c>
      <c r="H199" s="15">
        <v>0.3</v>
      </c>
      <c r="I199" s="12" t="s">
        <v>66</v>
      </c>
      <c r="J199" s="12" t="s">
        <v>101</v>
      </c>
      <c r="K199" s="17" t="s">
        <v>1121</v>
      </c>
    </row>
    <row r="200" spans="1:11">
      <c r="A200" s="11" t="s">
        <v>314</v>
      </c>
      <c r="B200" s="12" t="s">
        <v>56</v>
      </c>
      <c r="C200" s="12" t="s">
        <v>64</v>
      </c>
      <c r="D200" s="12" t="s">
        <v>58</v>
      </c>
      <c r="E200" s="12">
        <v>36</v>
      </c>
      <c r="F200" s="13">
        <v>43818</v>
      </c>
      <c r="G200" s="14">
        <v>91954</v>
      </c>
      <c r="H200" s="15">
        <v>0</v>
      </c>
      <c r="I200" s="12" t="s">
        <v>60</v>
      </c>
      <c r="J200" s="12" t="s">
        <v>110</v>
      </c>
      <c r="K200" s="17" t="s">
        <v>1121</v>
      </c>
    </row>
    <row r="201" spans="1:11">
      <c r="A201" s="11" t="s">
        <v>104</v>
      </c>
      <c r="B201" s="12" t="s">
        <v>105</v>
      </c>
      <c r="C201" s="12" t="s">
        <v>83</v>
      </c>
      <c r="D201" s="12" t="s">
        <v>58</v>
      </c>
      <c r="E201" s="12">
        <v>30</v>
      </c>
      <c r="F201" s="13">
        <v>42634</v>
      </c>
      <c r="G201" s="14">
        <v>221217</v>
      </c>
      <c r="H201" s="15">
        <v>0.32</v>
      </c>
      <c r="I201" s="12" t="s">
        <v>60</v>
      </c>
      <c r="J201" s="12" t="s">
        <v>110</v>
      </c>
      <c r="K201" s="17">
        <v>43003</v>
      </c>
    </row>
    <row r="202" spans="1:11">
      <c r="A202" s="11" t="s">
        <v>228</v>
      </c>
      <c r="B202" s="12" t="s">
        <v>56</v>
      </c>
      <c r="C202" s="12" t="s">
        <v>64</v>
      </c>
      <c r="D202" s="12" t="s">
        <v>65</v>
      </c>
      <c r="E202" s="12">
        <v>29</v>
      </c>
      <c r="F202" s="13">
        <v>42866</v>
      </c>
      <c r="G202" s="14">
        <v>87536</v>
      </c>
      <c r="H202" s="15">
        <v>0</v>
      </c>
      <c r="I202" s="12" t="s">
        <v>60</v>
      </c>
      <c r="J202" s="12" t="s">
        <v>61</v>
      </c>
      <c r="K202" s="17" t="s">
        <v>1121</v>
      </c>
    </row>
    <row r="203" spans="1:11">
      <c r="A203" s="11" t="s">
        <v>87</v>
      </c>
      <c r="B203" s="12" t="s">
        <v>82</v>
      </c>
      <c r="C203" s="12" t="s">
        <v>83</v>
      </c>
      <c r="D203" s="12" t="s">
        <v>58</v>
      </c>
      <c r="E203" s="12">
        <v>47</v>
      </c>
      <c r="F203" s="13">
        <v>42164</v>
      </c>
      <c r="G203" s="14">
        <v>41429</v>
      </c>
      <c r="H203" s="15">
        <v>0</v>
      </c>
      <c r="I203" s="12" t="s">
        <v>60</v>
      </c>
      <c r="J203" s="12" t="s">
        <v>61</v>
      </c>
      <c r="K203" s="17" t="s">
        <v>1121</v>
      </c>
    </row>
    <row r="204" spans="1:11">
      <c r="A204" s="11" t="s">
        <v>104</v>
      </c>
      <c r="B204" s="12" t="s">
        <v>98</v>
      </c>
      <c r="C204" s="12" t="s">
        <v>64</v>
      </c>
      <c r="D204" s="12" t="s">
        <v>65</v>
      </c>
      <c r="E204" s="12">
        <v>35</v>
      </c>
      <c r="F204" s="13">
        <v>40826</v>
      </c>
      <c r="G204" s="14">
        <v>245482</v>
      </c>
      <c r="H204" s="15">
        <v>0.39</v>
      </c>
      <c r="I204" s="12" t="s">
        <v>60</v>
      </c>
      <c r="J204" s="12" t="s">
        <v>61</v>
      </c>
      <c r="K204" s="17" t="s">
        <v>1121</v>
      </c>
    </row>
    <row r="205" spans="1:11">
      <c r="A205" s="11" t="s">
        <v>216</v>
      </c>
      <c r="B205" s="12" t="s">
        <v>98</v>
      </c>
      <c r="C205" s="12" t="s">
        <v>64</v>
      </c>
      <c r="D205" s="12" t="s">
        <v>58</v>
      </c>
      <c r="E205" s="12">
        <v>25</v>
      </c>
      <c r="F205" s="13">
        <v>43850</v>
      </c>
      <c r="G205" s="14">
        <v>71359</v>
      </c>
      <c r="H205" s="15">
        <v>0</v>
      </c>
      <c r="I205" s="12" t="s">
        <v>60</v>
      </c>
      <c r="J205" s="12" t="s">
        <v>79</v>
      </c>
      <c r="K205" s="17" t="s">
        <v>1121</v>
      </c>
    </row>
    <row r="206" spans="1:11">
      <c r="A206" s="11" t="s">
        <v>69</v>
      </c>
      <c r="B206" s="12" t="s">
        <v>98</v>
      </c>
      <c r="C206" s="12" t="s">
        <v>71</v>
      </c>
      <c r="D206" s="12" t="s">
        <v>65</v>
      </c>
      <c r="E206" s="12">
        <v>45</v>
      </c>
      <c r="F206" s="13">
        <v>41879</v>
      </c>
      <c r="G206" s="14">
        <v>183161</v>
      </c>
      <c r="H206" s="15">
        <v>0.22</v>
      </c>
      <c r="I206" s="12" t="s">
        <v>60</v>
      </c>
      <c r="J206" s="12" t="s">
        <v>88</v>
      </c>
      <c r="K206" s="17" t="s">
        <v>1121</v>
      </c>
    </row>
    <row r="207" spans="1:11">
      <c r="A207" s="11" t="s">
        <v>326</v>
      </c>
      <c r="B207" s="12" t="s">
        <v>56</v>
      </c>
      <c r="C207" s="12" t="s">
        <v>83</v>
      </c>
      <c r="D207" s="12" t="s">
        <v>65</v>
      </c>
      <c r="E207" s="12">
        <v>58</v>
      </c>
      <c r="F207" s="13">
        <v>34176</v>
      </c>
      <c r="G207" s="14">
        <v>69260</v>
      </c>
      <c r="H207" s="15">
        <v>0</v>
      </c>
      <c r="I207" s="12" t="s">
        <v>60</v>
      </c>
      <c r="J207" s="12" t="s">
        <v>79</v>
      </c>
      <c r="K207" s="17" t="s">
        <v>1121</v>
      </c>
    </row>
    <row r="208" spans="1:11">
      <c r="A208" s="11" t="s">
        <v>164</v>
      </c>
      <c r="B208" s="12" t="s">
        <v>98</v>
      </c>
      <c r="C208" s="12" t="s">
        <v>71</v>
      </c>
      <c r="D208" s="12" t="s">
        <v>65</v>
      </c>
      <c r="E208" s="12">
        <v>51</v>
      </c>
      <c r="F208" s="13">
        <v>36442</v>
      </c>
      <c r="G208" s="14">
        <v>95639</v>
      </c>
      <c r="H208" s="15">
        <v>0</v>
      </c>
      <c r="I208" s="12" t="s">
        <v>60</v>
      </c>
      <c r="J208" s="12" t="s">
        <v>91</v>
      </c>
      <c r="K208" s="17" t="s">
        <v>1121</v>
      </c>
    </row>
    <row r="209" spans="1:11">
      <c r="A209" s="11" t="s">
        <v>85</v>
      </c>
      <c r="B209" s="12" t="s">
        <v>94</v>
      </c>
      <c r="C209" s="12" t="s">
        <v>57</v>
      </c>
      <c r="D209" s="12" t="s">
        <v>65</v>
      </c>
      <c r="E209" s="12">
        <v>48</v>
      </c>
      <c r="F209" s="13">
        <v>38168</v>
      </c>
      <c r="G209" s="14">
        <v>120660</v>
      </c>
      <c r="H209" s="15">
        <v>0.07</v>
      </c>
      <c r="I209" s="12" t="s">
        <v>66</v>
      </c>
      <c r="J209" s="12" t="s">
        <v>138</v>
      </c>
      <c r="K209" s="17" t="s">
        <v>1121</v>
      </c>
    </row>
    <row r="210" spans="1:11">
      <c r="A210" s="11" t="s">
        <v>78</v>
      </c>
      <c r="B210" s="12" t="s">
        <v>82</v>
      </c>
      <c r="C210" s="12" t="s">
        <v>83</v>
      </c>
      <c r="D210" s="12" t="s">
        <v>65</v>
      </c>
      <c r="E210" s="12">
        <v>36</v>
      </c>
      <c r="F210" s="13">
        <v>44556</v>
      </c>
      <c r="G210" s="14">
        <v>75119</v>
      </c>
      <c r="H210" s="15">
        <v>0</v>
      </c>
      <c r="I210" s="12" t="s">
        <v>60</v>
      </c>
      <c r="J210" s="12" t="s">
        <v>73</v>
      </c>
      <c r="K210" s="17" t="s">
        <v>1121</v>
      </c>
    </row>
    <row r="211" spans="1:11">
      <c r="A211" s="11" t="s">
        <v>104</v>
      </c>
      <c r="B211" s="12" t="s">
        <v>90</v>
      </c>
      <c r="C211" s="12" t="s">
        <v>57</v>
      </c>
      <c r="D211" s="12" t="s">
        <v>65</v>
      </c>
      <c r="E211" s="12">
        <v>59</v>
      </c>
      <c r="F211" s="13">
        <v>40681</v>
      </c>
      <c r="G211" s="14">
        <v>192213</v>
      </c>
      <c r="H211" s="15">
        <v>0.4</v>
      </c>
      <c r="I211" s="12" t="s">
        <v>60</v>
      </c>
      <c r="J211" s="12" t="s">
        <v>73</v>
      </c>
      <c r="K211" s="17" t="s">
        <v>1121</v>
      </c>
    </row>
    <row r="212" spans="1:11">
      <c r="A212" s="11" t="s">
        <v>81</v>
      </c>
      <c r="B212" s="12" t="s">
        <v>82</v>
      </c>
      <c r="C212" s="12" t="s">
        <v>71</v>
      </c>
      <c r="D212" s="12" t="s">
        <v>58</v>
      </c>
      <c r="E212" s="12">
        <v>45</v>
      </c>
      <c r="F212" s="13">
        <v>41769</v>
      </c>
      <c r="G212" s="14">
        <v>65047</v>
      </c>
      <c r="H212" s="15">
        <v>0</v>
      </c>
      <c r="I212" s="12" t="s">
        <v>113</v>
      </c>
      <c r="J212" s="12" t="s">
        <v>184</v>
      </c>
      <c r="K212" s="17" t="s">
        <v>1121</v>
      </c>
    </row>
    <row r="213" spans="1:11">
      <c r="A213" s="11" t="s">
        <v>55</v>
      </c>
      <c r="B213" s="12" t="s">
        <v>82</v>
      </c>
      <c r="C213" s="12" t="s">
        <v>64</v>
      </c>
      <c r="D213" s="12" t="s">
        <v>65</v>
      </c>
      <c r="E213" s="12">
        <v>29</v>
      </c>
      <c r="F213" s="13">
        <v>42810</v>
      </c>
      <c r="G213" s="14">
        <v>151413</v>
      </c>
      <c r="H213" s="15">
        <v>0.15</v>
      </c>
      <c r="I213" s="12" t="s">
        <v>60</v>
      </c>
      <c r="J213" s="12" t="s">
        <v>61</v>
      </c>
      <c r="K213" s="17" t="s">
        <v>1121</v>
      </c>
    </row>
    <row r="214" spans="1:11">
      <c r="A214" s="11" t="s">
        <v>78</v>
      </c>
      <c r="B214" s="12" t="s">
        <v>90</v>
      </c>
      <c r="C214" s="12" t="s">
        <v>71</v>
      </c>
      <c r="D214" s="12" t="s">
        <v>65</v>
      </c>
      <c r="E214" s="12">
        <v>62</v>
      </c>
      <c r="F214" s="13">
        <v>37733</v>
      </c>
      <c r="G214" s="14">
        <v>76906</v>
      </c>
      <c r="H214" s="15">
        <v>0</v>
      </c>
      <c r="I214" s="12" t="s">
        <v>60</v>
      </c>
      <c r="J214" s="12" t="s">
        <v>61</v>
      </c>
      <c r="K214" s="17" t="s">
        <v>1121</v>
      </c>
    </row>
    <row r="215" spans="1:11">
      <c r="A215" s="11" t="s">
        <v>85</v>
      </c>
      <c r="B215" s="12" t="s">
        <v>56</v>
      </c>
      <c r="C215" s="12" t="s">
        <v>83</v>
      </c>
      <c r="D215" s="12" t="s">
        <v>65</v>
      </c>
      <c r="E215" s="12">
        <v>51</v>
      </c>
      <c r="F215" s="13">
        <v>34388</v>
      </c>
      <c r="G215" s="14">
        <v>122802</v>
      </c>
      <c r="H215" s="15">
        <v>0.05</v>
      </c>
      <c r="I215" s="12" t="s">
        <v>66</v>
      </c>
      <c r="J215" s="12" t="s">
        <v>101</v>
      </c>
      <c r="K215" s="17" t="s">
        <v>1121</v>
      </c>
    </row>
    <row r="216" spans="1:11">
      <c r="A216" s="11" t="s">
        <v>216</v>
      </c>
      <c r="B216" s="12" t="s">
        <v>98</v>
      </c>
      <c r="C216" s="12" t="s">
        <v>57</v>
      </c>
      <c r="D216" s="12" t="s">
        <v>65</v>
      </c>
      <c r="E216" s="12">
        <v>47</v>
      </c>
      <c r="F216" s="13">
        <v>35990</v>
      </c>
      <c r="G216" s="14">
        <v>99091</v>
      </c>
      <c r="H216" s="15">
        <v>0</v>
      </c>
      <c r="I216" s="12" t="s">
        <v>60</v>
      </c>
      <c r="J216" s="12" t="s">
        <v>91</v>
      </c>
      <c r="K216" s="17" t="s">
        <v>1121</v>
      </c>
    </row>
    <row r="217" spans="1:11">
      <c r="A217" s="11" t="s">
        <v>97</v>
      </c>
      <c r="B217" s="12" t="s">
        <v>98</v>
      </c>
      <c r="C217" s="12" t="s">
        <v>64</v>
      </c>
      <c r="D217" s="12" t="s">
        <v>65</v>
      </c>
      <c r="E217" s="12">
        <v>40</v>
      </c>
      <c r="F217" s="13">
        <v>39506</v>
      </c>
      <c r="G217" s="14">
        <v>113987</v>
      </c>
      <c r="H217" s="15">
        <v>0</v>
      </c>
      <c r="I217" s="12" t="s">
        <v>113</v>
      </c>
      <c r="J217" s="12" t="s">
        <v>114</v>
      </c>
      <c r="K217" s="17" t="s">
        <v>1121</v>
      </c>
    </row>
    <row r="218" spans="1:11">
      <c r="A218" s="11" t="s">
        <v>78</v>
      </c>
      <c r="B218" s="12" t="s">
        <v>70</v>
      </c>
      <c r="C218" s="12" t="s">
        <v>83</v>
      </c>
      <c r="D218" s="12" t="s">
        <v>58</v>
      </c>
      <c r="E218" s="12">
        <v>28</v>
      </c>
      <c r="F218" s="13">
        <v>44078</v>
      </c>
      <c r="G218" s="14">
        <v>95045</v>
      </c>
      <c r="H218" s="15">
        <v>0</v>
      </c>
      <c r="I218" s="12" t="s">
        <v>60</v>
      </c>
      <c r="J218" s="12" t="s">
        <v>73</v>
      </c>
      <c r="K218" s="17" t="s">
        <v>1121</v>
      </c>
    </row>
    <row r="219" spans="1:11">
      <c r="A219" s="11" t="s">
        <v>104</v>
      </c>
      <c r="B219" s="12" t="s">
        <v>105</v>
      </c>
      <c r="C219" s="12" t="s">
        <v>71</v>
      </c>
      <c r="D219" s="12" t="s">
        <v>58</v>
      </c>
      <c r="E219" s="12">
        <v>29</v>
      </c>
      <c r="F219" s="13">
        <v>42740</v>
      </c>
      <c r="G219" s="14">
        <v>190401</v>
      </c>
      <c r="H219" s="15">
        <v>0.37</v>
      </c>
      <c r="I219" s="12" t="s">
        <v>60</v>
      </c>
      <c r="J219" s="12" t="s">
        <v>110</v>
      </c>
      <c r="K219" s="17" t="s">
        <v>1121</v>
      </c>
    </row>
    <row r="220" spans="1:11">
      <c r="A220" s="11" t="s">
        <v>78</v>
      </c>
      <c r="B220" s="12" t="s">
        <v>70</v>
      </c>
      <c r="C220" s="12" t="s">
        <v>83</v>
      </c>
      <c r="D220" s="12" t="s">
        <v>65</v>
      </c>
      <c r="E220" s="12">
        <v>46</v>
      </c>
      <c r="F220" s="13">
        <v>41294</v>
      </c>
      <c r="G220" s="14">
        <v>86061</v>
      </c>
      <c r="H220" s="15">
        <v>0</v>
      </c>
      <c r="I220" s="12" t="s">
        <v>113</v>
      </c>
      <c r="J220" s="12" t="s">
        <v>117</v>
      </c>
      <c r="K220" s="17" t="s">
        <v>1121</v>
      </c>
    </row>
    <row r="221" spans="1:11">
      <c r="A221" s="11" t="s">
        <v>225</v>
      </c>
      <c r="B221" s="12" t="s">
        <v>82</v>
      </c>
      <c r="C221" s="12" t="s">
        <v>71</v>
      </c>
      <c r="D221" s="12" t="s">
        <v>65</v>
      </c>
      <c r="E221" s="12">
        <v>45</v>
      </c>
      <c r="F221" s="13">
        <v>44237</v>
      </c>
      <c r="G221" s="14">
        <v>79882</v>
      </c>
      <c r="H221" s="15">
        <v>0</v>
      </c>
      <c r="I221" s="12" t="s">
        <v>60</v>
      </c>
      <c r="J221" s="12" t="s">
        <v>79</v>
      </c>
      <c r="K221" s="17" t="s">
        <v>1121</v>
      </c>
    </row>
    <row r="222" spans="1:11">
      <c r="A222" s="11" t="s">
        <v>104</v>
      </c>
      <c r="B222" s="12" t="s">
        <v>98</v>
      </c>
      <c r="C222" s="12" t="s">
        <v>64</v>
      </c>
      <c r="D222" s="12" t="s">
        <v>58</v>
      </c>
      <c r="E222" s="12">
        <v>30</v>
      </c>
      <c r="F222" s="13">
        <v>43165</v>
      </c>
      <c r="G222" s="14">
        <v>255431</v>
      </c>
      <c r="H222" s="15">
        <v>0.36</v>
      </c>
      <c r="I222" s="12" t="s">
        <v>60</v>
      </c>
      <c r="J222" s="12" t="s">
        <v>110</v>
      </c>
      <c r="K222" s="17" t="s">
        <v>1121</v>
      </c>
    </row>
    <row r="223" spans="1:11">
      <c r="A223" s="11" t="s">
        <v>314</v>
      </c>
      <c r="B223" s="12" t="s">
        <v>56</v>
      </c>
      <c r="C223" s="12" t="s">
        <v>64</v>
      </c>
      <c r="D223" s="12" t="s">
        <v>58</v>
      </c>
      <c r="E223" s="12">
        <v>48</v>
      </c>
      <c r="F223" s="13">
        <v>37855</v>
      </c>
      <c r="G223" s="14">
        <v>82017</v>
      </c>
      <c r="H223" s="15">
        <v>0</v>
      </c>
      <c r="I223" s="12" t="s">
        <v>66</v>
      </c>
      <c r="J223" s="12" t="s">
        <v>126</v>
      </c>
      <c r="K223" s="17" t="s">
        <v>1121</v>
      </c>
    </row>
    <row r="224" spans="1:11">
      <c r="A224" s="11" t="s">
        <v>87</v>
      </c>
      <c r="B224" s="12" t="s">
        <v>70</v>
      </c>
      <c r="C224" s="12" t="s">
        <v>64</v>
      </c>
      <c r="D224" s="12" t="s">
        <v>58</v>
      </c>
      <c r="E224" s="12">
        <v>51</v>
      </c>
      <c r="F224" s="13">
        <v>42753</v>
      </c>
      <c r="G224" s="14">
        <v>53799</v>
      </c>
      <c r="H224" s="15">
        <v>0</v>
      </c>
      <c r="I224" s="12" t="s">
        <v>60</v>
      </c>
      <c r="J224" s="12" t="s">
        <v>110</v>
      </c>
      <c r="K224" s="17" t="s">
        <v>1121</v>
      </c>
    </row>
    <row r="225" spans="1:11">
      <c r="A225" s="11" t="s">
        <v>78</v>
      </c>
      <c r="B225" s="12" t="s">
        <v>82</v>
      </c>
      <c r="C225" s="12" t="s">
        <v>83</v>
      </c>
      <c r="D225" s="12" t="s">
        <v>58</v>
      </c>
      <c r="E225" s="12">
        <v>28</v>
      </c>
      <c r="F225" s="13">
        <v>44380</v>
      </c>
      <c r="G225" s="14">
        <v>82739</v>
      </c>
      <c r="H225" s="15">
        <v>0</v>
      </c>
      <c r="I225" s="12" t="s">
        <v>60</v>
      </c>
      <c r="J225" s="12" t="s">
        <v>79</v>
      </c>
      <c r="K225" s="17" t="s">
        <v>1121</v>
      </c>
    </row>
    <row r="226" spans="1:11">
      <c r="A226" s="11" t="s">
        <v>178</v>
      </c>
      <c r="B226" s="12" t="s">
        <v>56</v>
      </c>
      <c r="C226" s="12" t="s">
        <v>64</v>
      </c>
      <c r="D226" s="12" t="s">
        <v>58</v>
      </c>
      <c r="E226" s="12">
        <v>36</v>
      </c>
      <c r="F226" s="13">
        <v>41789</v>
      </c>
      <c r="G226" s="14">
        <v>99080</v>
      </c>
      <c r="H226" s="15">
        <v>0</v>
      </c>
      <c r="I226" s="12" t="s">
        <v>60</v>
      </c>
      <c r="J226" s="12" t="s">
        <v>73</v>
      </c>
      <c r="K226" s="17" t="s">
        <v>1121</v>
      </c>
    </row>
    <row r="227" spans="1:11">
      <c r="A227" s="11" t="s">
        <v>225</v>
      </c>
      <c r="B227" s="12" t="s">
        <v>82</v>
      </c>
      <c r="C227" s="12" t="s">
        <v>83</v>
      </c>
      <c r="D227" s="12" t="s">
        <v>58</v>
      </c>
      <c r="E227" s="12">
        <v>40</v>
      </c>
      <c r="F227" s="13">
        <v>40563</v>
      </c>
      <c r="G227" s="14">
        <v>96719</v>
      </c>
      <c r="H227" s="15">
        <v>0</v>
      </c>
      <c r="I227" s="12" t="s">
        <v>66</v>
      </c>
      <c r="J227" s="12" t="s">
        <v>138</v>
      </c>
      <c r="K227" s="17" t="s">
        <v>1121</v>
      </c>
    </row>
    <row r="228" spans="1:11">
      <c r="A228" s="11" t="s">
        <v>69</v>
      </c>
      <c r="B228" s="12" t="s">
        <v>94</v>
      </c>
      <c r="C228" s="12" t="s">
        <v>57</v>
      </c>
      <c r="D228" s="12" t="s">
        <v>58</v>
      </c>
      <c r="E228" s="12">
        <v>51</v>
      </c>
      <c r="F228" s="13">
        <v>44283</v>
      </c>
      <c r="G228" s="14">
        <v>180687</v>
      </c>
      <c r="H228" s="15">
        <v>0.19</v>
      </c>
      <c r="I228" s="12" t="s">
        <v>60</v>
      </c>
      <c r="J228" s="12" t="s">
        <v>79</v>
      </c>
      <c r="K228" s="17" t="s">
        <v>1121</v>
      </c>
    </row>
    <row r="229" spans="1:11">
      <c r="A229" s="11" t="s">
        <v>125</v>
      </c>
      <c r="B229" s="12" t="s">
        <v>98</v>
      </c>
      <c r="C229" s="12" t="s">
        <v>83</v>
      </c>
      <c r="D229" s="12" t="s">
        <v>65</v>
      </c>
      <c r="E229" s="12">
        <v>45</v>
      </c>
      <c r="F229" s="13">
        <v>36993</v>
      </c>
      <c r="G229" s="14">
        <v>95743</v>
      </c>
      <c r="H229" s="15">
        <v>0.15</v>
      </c>
      <c r="I229" s="12" t="s">
        <v>60</v>
      </c>
      <c r="J229" s="12" t="s">
        <v>91</v>
      </c>
      <c r="K229" s="17">
        <v>40193</v>
      </c>
    </row>
    <row r="230" spans="1:11">
      <c r="A230" s="11" t="s">
        <v>216</v>
      </c>
      <c r="B230" s="12" t="s">
        <v>98</v>
      </c>
      <c r="C230" s="12" t="s">
        <v>57</v>
      </c>
      <c r="D230" s="12" t="s">
        <v>58</v>
      </c>
      <c r="E230" s="12">
        <v>44</v>
      </c>
      <c r="F230" s="13">
        <v>40060</v>
      </c>
      <c r="G230" s="14">
        <v>89695</v>
      </c>
      <c r="H230" s="15">
        <v>0</v>
      </c>
      <c r="I230" s="12" t="s">
        <v>60</v>
      </c>
      <c r="J230" s="12" t="s">
        <v>91</v>
      </c>
      <c r="K230" s="17" t="s">
        <v>1121</v>
      </c>
    </row>
    <row r="231" spans="1:11">
      <c r="A231" s="11" t="s">
        <v>85</v>
      </c>
      <c r="B231" s="12" t="s">
        <v>70</v>
      </c>
      <c r="C231" s="12" t="s">
        <v>64</v>
      </c>
      <c r="D231" s="12" t="s">
        <v>65</v>
      </c>
      <c r="E231" s="12">
        <v>64</v>
      </c>
      <c r="F231" s="13">
        <v>35996</v>
      </c>
      <c r="G231" s="14">
        <v>122753</v>
      </c>
      <c r="H231" s="15">
        <v>0.09</v>
      </c>
      <c r="I231" s="12" t="s">
        <v>66</v>
      </c>
      <c r="J231" s="12" t="s">
        <v>67</v>
      </c>
      <c r="K231" s="17" t="s">
        <v>1121</v>
      </c>
    </row>
    <row r="232" spans="1:11">
      <c r="A232" s="11" t="s">
        <v>143</v>
      </c>
      <c r="B232" s="12" t="s">
        <v>94</v>
      </c>
      <c r="C232" s="12" t="s">
        <v>57</v>
      </c>
      <c r="D232" s="12" t="s">
        <v>65</v>
      </c>
      <c r="E232" s="12">
        <v>30</v>
      </c>
      <c r="F232" s="13">
        <v>42078</v>
      </c>
      <c r="G232" s="14">
        <v>93734</v>
      </c>
      <c r="H232" s="15">
        <v>0</v>
      </c>
      <c r="I232" s="12" t="s">
        <v>60</v>
      </c>
      <c r="J232" s="12" t="s">
        <v>79</v>
      </c>
      <c r="K232" s="17" t="s">
        <v>1121</v>
      </c>
    </row>
    <row r="233" spans="1:11">
      <c r="A233" s="11" t="s">
        <v>87</v>
      </c>
      <c r="B233" s="12" t="s">
        <v>90</v>
      </c>
      <c r="C233" s="12" t="s">
        <v>83</v>
      </c>
      <c r="D233" s="12" t="s">
        <v>65</v>
      </c>
      <c r="E233" s="12">
        <v>28</v>
      </c>
      <c r="F233" s="13">
        <v>42867</v>
      </c>
      <c r="G233" s="14">
        <v>52069</v>
      </c>
      <c r="H233" s="15">
        <v>0</v>
      </c>
      <c r="I233" s="12" t="s">
        <v>66</v>
      </c>
      <c r="J233" s="12" t="s">
        <v>67</v>
      </c>
      <c r="K233" s="17" t="s">
        <v>1121</v>
      </c>
    </row>
    <row r="234" spans="1:11">
      <c r="A234" s="11" t="s">
        <v>104</v>
      </c>
      <c r="B234" s="12" t="s">
        <v>90</v>
      </c>
      <c r="C234" s="12" t="s">
        <v>83</v>
      </c>
      <c r="D234" s="12" t="s">
        <v>58</v>
      </c>
      <c r="E234" s="12">
        <v>33</v>
      </c>
      <c r="F234" s="13">
        <v>44181</v>
      </c>
      <c r="G234" s="14">
        <v>258426</v>
      </c>
      <c r="H234" s="15">
        <v>0.4</v>
      </c>
      <c r="I234" s="12" t="s">
        <v>113</v>
      </c>
      <c r="J234" s="12" t="s">
        <v>117</v>
      </c>
      <c r="K234" s="17" t="s">
        <v>1121</v>
      </c>
    </row>
    <row r="235" spans="1:11">
      <c r="A235" s="11" t="s">
        <v>85</v>
      </c>
      <c r="B235" s="12" t="s">
        <v>70</v>
      </c>
      <c r="C235" s="12" t="s">
        <v>71</v>
      </c>
      <c r="D235" s="12" t="s">
        <v>65</v>
      </c>
      <c r="E235" s="12">
        <v>51</v>
      </c>
      <c r="F235" s="13">
        <v>34746</v>
      </c>
      <c r="G235" s="14">
        <v>125375</v>
      </c>
      <c r="H235" s="15">
        <v>0.09</v>
      </c>
      <c r="I235" s="12" t="s">
        <v>60</v>
      </c>
      <c r="J235" s="12" t="s">
        <v>73</v>
      </c>
      <c r="K235" s="17" t="s">
        <v>1121</v>
      </c>
    </row>
    <row r="236" spans="1:11">
      <c r="A236" s="11" t="s">
        <v>104</v>
      </c>
      <c r="B236" s="12" t="s">
        <v>90</v>
      </c>
      <c r="C236" s="12" t="s">
        <v>64</v>
      </c>
      <c r="D236" s="12" t="s">
        <v>65</v>
      </c>
      <c r="E236" s="12">
        <v>25</v>
      </c>
      <c r="F236" s="13">
        <v>44235</v>
      </c>
      <c r="G236" s="14">
        <v>198243</v>
      </c>
      <c r="H236" s="15">
        <v>0.31</v>
      </c>
      <c r="I236" s="12" t="s">
        <v>60</v>
      </c>
      <c r="J236" s="12" t="s">
        <v>88</v>
      </c>
      <c r="K236" s="17" t="s">
        <v>1121</v>
      </c>
    </row>
    <row r="237" spans="1:11">
      <c r="A237" s="11" t="s">
        <v>187</v>
      </c>
      <c r="B237" s="12" t="s">
        <v>98</v>
      </c>
      <c r="C237" s="12" t="s">
        <v>57</v>
      </c>
      <c r="D237" s="12" t="s">
        <v>58</v>
      </c>
      <c r="E237" s="12">
        <v>42</v>
      </c>
      <c r="F237" s="13">
        <v>43062</v>
      </c>
      <c r="G237" s="14">
        <v>96023</v>
      </c>
      <c r="H237" s="15">
        <v>0</v>
      </c>
      <c r="I237" s="12" t="s">
        <v>60</v>
      </c>
      <c r="J237" s="12" t="s">
        <v>88</v>
      </c>
      <c r="K237" s="17" t="s">
        <v>1121</v>
      </c>
    </row>
    <row r="238" spans="1:11">
      <c r="A238" s="11" t="s">
        <v>78</v>
      </c>
      <c r="B238" s="12" t="s">
        <v>105</v>
      </c>
      <c r="C238" s="12" t="s">
        <v>57</v>
      </c>
      <c r="D238" s="12" t="s">
        <v>58</v>
      </c>
      <c r="E238" s="12">
        <v>34</v>
      </c>
      <c r="F238" s="13">
        <v>41085</v>
      </c>
      <c r="G238" s="14">
        <v>83066</v>
      </c>
      <c r="H238" s="15">
        <v>0</v>
      </c>
      <c r="I238" s="12" t="s">
        <v>60</v>
      </c>
      <c r="J238" s="12" t="s">
        <v>73</v>
      </c>
      <c r="K238" s="17">
        <v>41430</v>
      </c>
    </row>
    <row r="239" spans="1:11">
      <c r="A239" s="11" t="s">
        <v>132</v>
      </c>
      <c r="B239" s="12" t="s">
        <v>82</v>
      </c>
      <c r="C239" s="12" t="s">
        <v>57</v>
      </c>
      <c r="D239" s="12" t="s">
        <v>58</v>
      </c>
      <c r="E239" s="12">
        <v>48</v>
      </c>
      <c r="F239" s="13">
        <v>41773</v>
      </c>
      <c r="G239" s="14">
        <v>61216</v>
      </c>
      <c r="H239" s="15">
        <v>0</v>
      </c>
      <c r="I239" s="12" t="s">
        <v>60</v>
      </c>
      <c r="J239" s="12" t="s">
        <v>61</v>
      </c>
      <c r="K239" s="17" t="s">
        <v>1121</v>
      </c>
    </row>
    <row r="240" spans="1:11">
      <c r="A240" s="11" t="s">
        <v>55</v>
      </c>
      <c r="B240" s="12" t="s">
        <v>90</v>
      </c>
      <c r="C240" s="12" t="s">
        <v>83</v>
      </c>
      <c r="D240" s="12" t="s">
        <v>65</v>
      </c>
      <c r="E240" s="12">
        <v>33</v>
      </c>
      <c r="F240" s="13">
        <v>41315</v>
      </c>
      <c r="G240" s="14">
        <v>144231</v>
      </c>
      <c r="H240" s="15">
        <v>0.14</v>
      </c>
      <c r="I240" s="12" t="s">
        <v>60</v>
      </c>
      <c r="J240" s="12" t="s">
        <v>110</v>
      </c>
      <c r="K240" s="17">
        <v>44029</v>
      </c>
    </row>
    <row r="241" spans="1:11">
      <c r="A241" s="11" t="s">
        <v>154</v>
      </c>
      <c r="B241" s="12" t="s">
        <v>94</v>
      </c>
      <c r="C241" s="12" t="s">
        <v>57</v>
      </c>
      <c r="D241" s="12" t="s">
        <v>65</v>
      </c>
      <c r="E241" s="12">
        <v>41</v>
      </c>
      <c r="F241" s="13">
        <v>39379</v>
      </c>
      <c r="G241" s="14">
        <v>51630</v>
      </c>
      <c r="H241" s="15">
        <v>0</v>
      </c>
      <c r="I241" s="12" t="s">
        <v>66</v>
      </c>
      <c r="J241" s="12" t="s">
        <v>126</v>
      </c>
      <c r="K241" s="17" t="s">
        <v>1121</v>
      </c>
    </row>
    <row r="242" spans="1:11">
      <c r="A242" s="11" t="s">
        <v>55</v>
      </c>
      <c r="B242" s="12" t="s">
        <v>82</v>
      </c>
      <c r="C242" s="12" t="s">
        <v>83</v>
      </c>
      <c r="D242" s="12" t="s">
        <v>65</v>
      </c>
      <c r="E242" s="12">
        <v>55</v>
      </c>
      <c r="F242" s="13">
        <v>41594</v>
      </c>
      <c r="G242" s="14">
        <v>124129</v>
      </c>
      <c r="H242" s="15">
        <v>0.15</v>
      </c>
      <c r="I242" s="12" t="s">
        <v>113</v>
      </c>
      <c r="J242" s="12" t="s">
        <v>184</v>
      </c>
      <c r="K242" s="17" t="s">
        <v>1121</v>
      </c>
    </row>
    <row r="243" spans="1:11">
      <c r="A243" s="11" t="s">
        <v>187</v>
      </c>
      <c r="B243" s="12" t="s">
        <v>98</v>
      </c>
      <c r="C243" s="12" t="s">
        <v>64</v>
      </c>
      <c r="D243" s="12" t="s">
        <v>65</v>
      </c>
      <c r="E243" s="12">
        <v>36</v>
      </c>
      <c r="F243" s="13">
        <v>39912</v>
      </c>
      <c r="G243" s="14">
        <v>60055</v>
      </c>
      <c r="H243" s="15">
        <v>0</v>
      </c>
      <c r="I243" s="12" t="s">
        <v>60</v>
      </c>
      <c r="J243" s="12" t="s">
        <v>61</v>
      </c>
      <c r="K243" s="17" t="s">
        <v>1121</v>
      </c>
    </row>
    <row r="244" spans="1:11">
      <c r="A244" s="11" t="s">
        <v>69</v>
      </c>
      <c r="B244" s="12" t="s">
        <v>98</v>
      </c>
      <c r="C244" s="12" t="s">
        <v>57</v>
      </c>
      <c r="D244" s="12" t="s">
        <v>65</v>
      </c>
      <c r="E244" s="12">
        <v>31</v>
      </c>
      <c r="F244" s="13">
        <v>44069</v>
      </c>
      <c r="G244" s="14">
        <v>189290</v>
      </c>
      <c r="H244" s="15">
        <v>0.22</v>
      </c>
      <c r="I244" s="12" t="s">
        <v>113</v>
      </c>
      <c r="J244" s="12" t="s">
        <v>184</v>
      </c>
      <c r="K244" s="17">
        <v>44099</v>
      </c>
    </row>
    <row r="245" spans="1:11">
      <c r="A245" s="11" t="s">
        <v>104</v>
      </c>
      <c r="B245" s="12" t="s">
        <v>56</v>
      </c>
      <c r="C245" s="12" t="s">
        <v>83</v>
      </c>
      <c r="D245" s="12" t="s">
        <v>58</v>
      </c>
      <c r="E245" s="12">
        <v>53</v>
      </c>
      <c r="F245" s="13">
        <v>39568</v>
      </c>
      <c r="G245" s="14">
        <v>182202</v>
      </c>
      <c r="H245" s="15">
        <v>0.3</v>
      </c>
      <c r="I245" s="12" t="s">
        <v>60</v>
      </c>
      <c r="J245" s="12" t="s">
        <v>91</v>
      </c>
      <c r="K245" s="17" t="s">
        <v>1121</v>
      </c>
    </row>
    <row r="246" spans="1:11">
      <c r="A246" s="11" t="s">
        <v>85</v>
      </c>
      <c r="B246" s="12" t="s">
        <v>82</v>
      </c>
      <c r="C246" s="12" t="s">
        <v>71</v>
      </c>
      <c r="D246" s="12" t="s">
        <v>65</v>
      </c>
      <c r="E246" s="12">
        <v>43</v>
      </c>
      <c r="F246" s="13">
        <v>38748</v>
      </c>
      <c r="G246" s="14">
        <v>117518</v>
      </c>
      <c r="H246" s="15">
        <v>0.07</v>
      </c>
      <c r="I246" s="12" t="s">
        <v>60</v>
      </c>
      <c r="J246" s="12" t="s">
        <v>61</v>
      </c>
      <c r="K246" s="17" t="s">
        <v>1121</v>
      </c>
    </row>
    <row r="247" spans="1:11">
      <c r="A247" s="11" t="s">
        <v>55</v>
      </c>
      <c r="B247" s="12" t="s">
        <v>70</v>
      </c>
      <c r="C247" s="12" t="s">
        <v>64</v>
      </c>
      <c r="D247" s="12" t="s">
        <v>58</v>
      </c>
      <c r="E247" s="12">
        <v>37</v>
      </c>
      <c r="F247" s="13">
        <v>41329</v>
      </c>
      <c r="G247" s="14">
        <v>157474</v>
      </c>
      <c r="H247" s="15">
        <v>0.11</v>
      </c>
      <c r="I247" s="12" t="s">
        <v>113</v>
      </c>
      <c r="J247" s="12" t="s">
        <v>117</v>
      </c>
      <c r="K247" s="17" t="s">
        <v>1121</v>
      </c>
    </row>
    <row r="248" spans="1:11">
      <c r="A248" s="11" t="s">
        <v>85</v>
      </c>
      <c r="B248" s="12" t="s">
        <v>105</v>
      </c>
      <c r="C248" s="12" t="s">
        <v>64</v>
      </c>
      <c r="D248" s="12" t="s">
        <v>65</v>
      </c>
      <c r="E248" s="12">
        <v>38</v>
      </c>
      <c r="F248" s="13">
        <v>39544</v>
      </c>
      <c r="G248" s="14">
        <v>126856</v>
      </c>
      <c r="H248" s="15">
        <v>0.06</v>
      </c>
      <c r="I248" s="12" t="s">
        <v>60</v>
      </c>
      <c r="J248" s="12" t="s">
        <v>110</v>
      </c>
      <c r="K248" s="17" t="s">
        <v>1121</v>
      </c>
    </row>
    <row r="249" spans="1:11">
      <c r="A249" s="11" t="s">
        <v>55</v>
      </c>
      <c r="B249" s="12" t="s">
        <v>90</v>
      </c>
      <c r="C249" s="12" t="s">
        <v>64</v>
      </c>
      <c r="D249" s="12" t="s">
        <v>58</v>
      </c>
      <c r="E249" s="12">
        <v>49</v>
      </c>
      <c r="F249" s="13">
        <v>36983</v>
      </c>
      <c r="G249" s="14">
        <v>129124</v>
      </c>
      <c r="H249" s="15">
        <v>0.12</v>
      </c>
      <c r="I249" s="12" t="s">
        <v>66</v>
      </c>
      <c r="J249" s="12" t="s">
        <v>101</v>
      </c>
      <c r="K249" s="17" t="s">
        <v>1121</v>
      </c>
    </row>
    <row r="250" spans="1:11">
      <c r="A250" s="11" t="s">
        <v>69</v>
      </c>
      <c r="B250" s="12" t="s">
        <v>82</v>
      </c>
      <c r="C250" s="12" t="s">
        <v>57</v>
      </c>
      <c r="D250" s="12" t="s">
        <v>58</v>
      </c>
      <c r="E250" s="12">
        <v>45</v>
      </c>
      <c r="F250" s="13">
        <v>37316</v>
      </c>
      <c r="G250" s="14">
        <v>165181</v>
      </c>
      <c r="H250" s="15">
        <v>0.16</v>
      </c>
      <c r="I250" s="12" t="s">
        <v>60</v>
      </c>
      <c r="J250" s="12" t="s">
        <v>61</v>
      </c>
      <c r="K250" s="17" t="s">
        <v>1121</v>
      </c>
    </row>
    <row r="251" spans="1:11">
      <c r="A251" s="11" t="s">
        <v>104</v>
      </c>
      <c r="B251" s="12" t="s">
        <v>70</v>
      </c>
      <c r="C251" s="12" t="s">
        <v>83</v>
      </c>
      <c r="D251" s="12" t="s">
        <v>65</v>
      </c>
      <c r="E251" s="12">
        <v>50</v>
      </c>
      <c r="F251" s="13">
        <v>38004</v>
      </c>
      <c r="G251" s="14">
        <v>247939</v>
      </c>
      <c r="H251" s="15">
        <v>0.35</v>
      </c>
      <c r="I251" s="12" t="s">
        <v>113</v>
      </c>
      <c r="J251" s="12" t="s">
        <v>117</v>
      </c>
      <c r="K251" s="17" t="s">
        <v>1121</v>
      </c>
    </row>
    <row r="252" spans="1:11">
      <c r="A252" s="11" t="s">
        <v>69</v>
      </c>
      <c r="B252" s="12" t="s">
        <v>98</v>
      </c>
      <c r="C252" s="12" t="s">
        <v>71</v>
      </c>
      <c r="D252" s="12" t="s">
        <v>65</v>
      </c>
      <c r="E252" s="12">
        <v>64</v>
      </c>
      <c r="F252" s="13">
        <v>42972</v>
      </c>
      <c r="G252" s="14">
        <v>169509</v>
      </c>
      <c r="H252" s="15">
        <v>0.18</v>
      </c>
      <c r="I252" s="12" t="s">
        <v>113</v>
      </c>
      <c r="J252" s="12" t="s">
        <v>114</v>
      </c>
      <c r="K252" s="17" t="s">
        <v>1121</v>
      </c>
    </row>
    <row r="253" spans="1:11">
      <c r="A253" s="11" t="s">
        <v>55</v>
      </c>
      <c r="B253" s="12" t="s">
        <v>90</v>
      </c>
      <c r="C253" s="12" t="s">
        <v>64</v>
      </c>
      <c r="D253" s="12" t="s">
        <v>58</v>
      </c>
      <c r="E253" s="12">
        <v>55</v>
      </c>
      <c r="F253" s="13">
        <v>40552</v>
      </c>
      <c r="G253" s="14">
        <v>138521</v>
      </c>
      <c r="H253" s="15">
        <v>0.1</v>
      </c>
      <c r="I253" s="12" t="s">
        <v>60</v>
      </c>
      <c r="J253" s="12" t="s">
        <v>88</v>
      </c>
      <c r="K253" s="17" t="s">
        <v>1121</v>
      </c>
    </row>
    <row r="254" spans="1:11">
      <c r="A254" s="11" t="s">
        <v>125</v>
      </c>
      <c r="B254" s="12" t="s">
        <v>98</v>
      </c>
      <c r="C254" s="12" t="s">
        <v>71</v>
      </c>
      <c r="D254" s="12" t="s">
        <v>58</v>
      </c>
      <c r="E254" s="12">
        <v>45</v>
      </c>
      <c r="F254" s="13">
        <v>41712</v>
      </c>
      <c r="G254" s="14">
        <v>113873</v>
      </c>
      <c r="H254" s="15">
        <v>0.11</v>
      </c>
      <c r="I254" s="12" t="s">
        <v>113</v>
      </c>
      <c r="J254" s="12" t="s">
        <v>117</v>
      </c>
      <c r="K254" s="17" t="s">
        <v>1121</v>
      </c>
    </row>
    <row r="255" spans="1:11">
      <c r="A255" s="11" t="s">
        <v>136</v>
      </c>
      <c r="B255" s="12" t="s">
        <v>56</v>
      </c>
      <c r="C255" s="12" t="s">
        <v>83</v>
      </c>
      <c r="D255" s="12" t="s">
        <v>58</v>
      </c>
      <c r="E255" s="12">
        <v>39</v>
      </c>
      <c r="F255" s="13">
        <v>43229</v>
      </c>
      <c r="G255" s="14">
        <v>73317</v>
      </c>
      <c r="H255" s="15">
        <v>0</v>
      </c>
      <c r="I255" s="12" t="s">
        <v>60</v>
      </c>
      <c r="J255" s="12" t="s">
        <v>88</v>
      </c>
      <c r="K255" s="17" t="s">
        <v>1121</v>
      </c>
    </row>
    <row r="256" spans="1:11">
      <c r="A256" s="11" t="s">
        <v>314</v>
      </c>
      <c r="B256" s="12" t="s">
        <v>56</v>
      </c>
      <c r="C256" s="12" t="s">
        <v>71</v>
      </c>
      <c r="D256" s="12" t="s">
        <v>58</v>
      </c>
      <c r="E256" s="12">
        <v>40</v>
      </c>
      <c r="F256" s="13">
        <v>41451</v>
      </c>
      <c r="G256" s="14">
        <v>69096</v>
      </c>
      <c r="H256" s="15">
        <v>0</v>
      </c>
      <c r="I256" s="12" t="s">
        <v>60</v>
      </c>
      <c r="J256" s="12" t="s">
        <v>61</v>
      </c>
      <c r="K256" s="17" t="s">
        <v>1121</v>
      </c>
    </row>
    <row r="257" spans="1:11">
      <c r="A257" s="11" t="s">
        <v>143</v>
      </c>
      <c r="B257" s="12" t="s">
        <v>94</v>
      </c>
      <c r="C257" s="12" t="s">
        <v>64</v>
      </c>
      <c r="D257" s="12" t="s">
        <v>65</v>
      </c>
      <c r="E257" s="12">
        <v>48</v>
      </c>
      <c r="F257" s="13">
        <v>38454</v>
      </c>
      <c r="G257" s="14">
        <v>87158</v>
      </c>
      <c r="H257" s="15">
        <v>0</v>
      </c>
      <c r="I257" s="12" t="s">
        <v>113</v>
      </c>
      <c r="J257" s="12" t="s">
        <v>114</v>
      </c>
      <c r="K257" s="17" t="s">
        <v>1121</v>
      </c>
    </row>
    <row r="258" spans="1:11">
      <c r="A258" s="11" t="s">
        <v>187</v>
      </c>
      <c r="B258" s="12" t="s">
        <v>98</v>
      </c>
      <c r="C258" s="12" t="s">
        <v>83</v>
      </c>
      <c r="D258" s="12" t="s">
        <v>65</v>
      </c>
      <c r="E258" s="12">
        <v>64</v>
      </c>
      <c r="F258" s="13">
        <v>33875</v>
      </c>
      <c r="G258" s="14">
        <v>70778</v>
      </c>
      <c r="H258" s="15">
        <v>0</v>
      </c>
      <c r="I258" s="12" t="s">
        <v>60</v>
      </c>
      <c r="J258" s="12" t="s">
        <v>91</v>
      </c>
      <c r="K258" s="17" t="s">
        <v>1121</v>
      </c>
    </row>
    <row r="259" spans="1:11">
      <c r="A259" s="11" t="s">
        <v>69</v>
      </c>
      <c r="B259" s="12" t="s">
        <v>94</v>
      </c>
      <c r="C259" s="12" t="s">
        <v>71</v>
      </c>
      <c r="D259" s="12" t="s">
        <v>58</v>
      </c>
      <c r="E259" s="12">
        <v>65</v>
      </c>
      <c r="F259" s="13">
        <v>38130</v>
      </c>
      <c r="G259" s="14">
        <v>153938</v>
      </c>
      <c r="H259" s="15">
        <v>0.2</v>
      </c>
      <c r="I259" s="12" t="s">
        <v>60</v>
      </c>
      <c r="J259" s="12" t="s">
        <v>79</v>
      </c>
      <c r="K259" s="17" t="s">
        <v>1121</v>
      </c>
    </row>
    <row r="260" spans="1:11">
      <c r="A260" s="11" t="s">
        <v>244</v>
      </c>
      <c r="B260" s="12" t="s">
        <v>56</v>
      </c>
      <c r="C260" s="12" t="s">
        <v>57</v>
      </c>
      <c r="D260" s="12" t="s">
        <v>65</v>
      </c>
      <c r="E260" s="12">
        <v>43</v>
      </c>
      <c r="F260" s="13">
        <v>43224</v>
      </c>
      <c r="G260" s="14">
        <v>59888</v>
      </c>
      <c r="H260" s="15">
        <v>0</v>
      </c>
      <c r="I260" s="12" t="s">
        <v>66</v>
      </c>
      <c r="J260" s="12" t="s">
        <v>126</v>
      </c>
      <c r="K260" s="17" t="s">
        <v>1121</v>
      </c>
    </row>
    <row r="261" spans="1:11">
      <c r="A261" s="11" t="s">
        <v>187</v>
      </c>
      <c r="B261" s="12" t="s">
        <v>98</v>
      </c>
      <c r="C261" s="12" t="s">
        <v>83</v>
      </c>
      <c r="D261" s="12" t="s">
        <v>65</v>
      </c>
      <c r="E261" s="12">
        <v>50</v>
      </c>
      <c r="F261" s="13">
        <v>43447</v>
      </c>
      <c r="G261" s="14">
        <v>63098</v>
      </c>
      <c r="H261" s="15">
        <v>0</v>
      </c>
      <c r="I261" s="12" t="s">
        <v>60</v>
      </c>
      <c r="J261" s="12" t="s">
        <v>110</v>
      </c>
      <c r="K261" s="17" t="s">
        <v>1121</v>
      </c>
    </row>
    <row r="262" spans="1:11">
      <c r="A262" s="11" t="s">
        <v>104</v>
      </c>
      <c r="B262" s="12" t="s">
        <v>70</v>
      </c>
      <c r="C262" s="12" t="s">
        <v>83</v>
      </c>
      <c r="D262" s="12" t="s">
        <v>58</v>
      </c>
      <c r="E262" s="12">
        <v>27</v>
      </c>
      <c r="F262" s="13">
        <v>44545</v>
      </c>
      <c r="G262" s="14">
        <v>255369</v>
      </c>
      <c r="H262" s="15">
        <v>0.33</v>
      </c>
      <c r="I262" s="12" t="s">
        <v>113</v>
      </c>
      <c r="J262" s="12" t="s">
        <v>184</v>
      </c>
      <c r="K262" s="17" t="s">
        <v>1121</v>
      </c>
    </row>
    <row r="263" spans="1:11">
      <c r="A263" s="11" t="s">
        <v>55</v>
      </c>
      <c r="B263" s="12" t="s">
        <v>94</v>
      </c>
      <c r="C263" s="12" t="s">
        <v>64</v>
      </c>
      <c r="D263" s="12" t="s">
        <v>58</v>
      </c>
      <c r="E263" s="12">
        <v>55</v>
      </c>
      <c r="F263" s="13">
        <v>38301</v>
      </c>
      <c r="G263" s="14">
        <v>142318</v>
      </c>
      <c r="H263" s="15">
        <v>0.14</v>
      </c>
      <c r="I263" s="12" t="s">
        <v>60</v>
      </c>
      <c r="J263" s="12" t="s">
        <v>73</v>
      </c>
      <c r="K263" s="17" t="s">
        <v>1121</v>
      </c>
    </row>
    <row r="264" spans="1:11">
      <c r="A264" s="11" t="s">
        <v>166</v>
      </c>
      <c r="B264" s="12" t="s">
        <v>94</v>
      </c>
      <c r="C264" s="12" t="s">
        <v>64</v>
      </c>
      <c r="D264" s="12" t="s">
        <v>65</v>
      </c>
      <c r="E264" s="12">
        <v>41</v>
      </c>
      <c r="F264" s="13">
        <v>38219</v>
      </c>
      <c r="G264" s="14">
        <v>49186</v>
      </c>
      <c r="H264" s="15">
        <v>0</v>
      </c>
      <c r="I264" s="12" t="s">
        <v>60</v>
      </c>
      <c r="J264" s="12" t="s">
        <v>91</v>
      </c>
      <c r="K264" s="17">
        <v>39616</v>
      </c>
    </row>
    <row r="265" spans="1:11">
      <c r="A265" s="11" t="s">
        <v>104</v>
      </c>
      <c r="B265" s="12" t="s">
        <v>94</v>
      </c>
      <c r="C265" s="12" t="s">
        <v>57</v>
      </c>
      <c r="D265" s="12" t="s">
        <v>58</v>
      </c>
      <c r="E265" s="12">
        <v>34</v>
      </c>
      <c r="F265" s="13">
        <v>43673</v>
      </c>
      <c r="G265" s="14">
        <v>220937</v>
      </c>
      <c r="H265" s="15">
        <v>0.38</v>
      </c>
      <c r="I265" s="12" t="s">
        <v>60</v>
      </c>
      <c r="J265" s="12" t="s">
        <v>91</v>
      </c>
      <c r="K265" s="17" t="s">
        <v>1121</v>
      </c>
    </row>
    <row r="266" spans="1:11">
      <c r="A266" s="11" t="s">
        <v>69</v>
      </c>
      <c r="B266" s="12" t="s">
        <v>56</v>
      </c>
      <c r="C266" s="12" t="s">
        <v>71</v>
      </c>
      <c r="D266" s="12" t="s">
        <v>58</v>
      </c>
      <c r="E266" s="12">
        <v>47</v>
      </c>
      <c r="F266" s="13">
        <v>41208</v>
      </c>
      <c r="G266" s="14">
        <v>183156</v>
      </c>
      <c r="H266" s="15">
        <v>0.3</v>
      </c>
      <c r="I266" s="12" t="s">
        <v>60</v>
      </c>
      <c r="J266" s="12" t="s">
        <v>61</v>
      </c>
      <c r="K266" s="17" t="s">
        <v>1121</v>
      </c>
    </row>
    <row r="267" spans="1:11">
      <c r="A267" s="11" t="s">
        <v>104</v>
      </c>
      <c r="B267" s="12" t="s">
        <v>56</v>
      </c>
      <c r="C267" s="12" t="s">
        <v>71</v>
      </c>
      <c r="D267" s="12" t="s">
        <v>58</v>
      </c>
      <c r="E267" s="12">
        <v>32</v>
      </c>
      <c r="F267" s="13">
        <v>44034</v>
      </c>
      <c r="G267" s="14">
        <v>192749</v>
      </c>
      <c r="H267" s="15">
        <v>0.31</v>
      </c>
      <c r="I267" s="12" t="s">
        <v>60</v>
      </c>
      <c r="J267" s="12" t="s">
        <v>73</v>
      </c>
      <c r="K267" s="17" t="s">
        <v>1121</v>
      </c>
    </row>
    <row r="268" spans="1:11">
      <c r="A268" s="11" t="s">
        <v>55</v>
      </c>
      <c r="B268" s="12" t="s">
        <v>56</v>
      </c>
      <c r="C268" s="12" t="s">
        <v>64</v>
      </c>
      <c r="D268" s="12" t="s">
        <v>58</v>
      </c>
      <c r="E268" s="12">
        <v>39</v>
      </c>
      <c r="F268" s="13">
        <v>42819</v>
      </c>
      <c r="G268" s="14">
        <v>135325</v>
      </c>
      <c r="H268" s="15">
        <v>0.14</v>
      </c>
      <c r="I268" s="12" t="s">
        <v>60</v>
      </c>
      <c r="J268" s="12" t="s">
        <v>79</v>
      </c>
      <c r="K268" s="17" t="s">
        <v>1121</v>
      </c>
    </row>
    <row r="269" spans="1:11">
      <c r="A269" s="11" t="s">
        <v>78</v>
      </c>
      <c r="B269" s="12" t="s">
        <v>82</v>
      </c>
      <c r="C269" s="12" t="s">
        <v>71</v>
      </c>
      <c r="D269" s="12" t="s">
        <v>58</v>
      </c>
      <c r="E269" s="12">
        <v>26</v>
      </c>
      <c r="F269" s="13">
        <v>43752</v>
      </c>
      <c r="G269" s="14">
        <v>79356</v>
      </c>
      <c r="H269" s="15">
        <v>0</v>
      </c>
      <c r="I269" s="12" t="s">
        <v>60</v>
      </c>
      <c r="J269" s="12" t="s">
        <v>79</v>
      </c>
      <c r="K269" s="17" t="s">
        <v>1121</v>
      </c>
    </row>
    <row r="270" spans="1:11">
      <c r="A270" s="11" t="s">
        <v>216</v>
      </c>
      <c r="B270" s="12" t="s">
        <v>98</v>
      </c>
      <c r="C270" s="12" t="s">
        <v>64</v>
      </c>
      <c r="D270" s="12" t="s">
        <v>65</v>
      </c>
      <c r="E270" s="12">
        <v>40</v>
      </c>
      <c r="F270" s="13">
        <v>38540</v>
      </c>
      <c r="G270" s="14">
        <v>74412</v>
      </c>
      <c r="H270" s="15">
        <v>0</v>
      </c>
      <c r="I270" s="12" t="s">
        <v>60</v>
      </c>
      <c r="J270" s="12" t="s">
        <v>61</v>
      </c>
      <c r="K270" s="17" t="s">
        <v>1121</v>
      </c>
    </row>
    <row r="271" spans="1:11">
      <c r="A271" s="11" t="s">
        <v>75</v>
      </c>
      <c r="B271" s="12" t="s">
        <v>56</v>
      </c>
      <c r="C271" s="12" t="s">
        <v>64</v>
      </c>
      <c r="D271" s="12" t="s">
        <v>58</v>
      </c>
      <c r="E271" s="12">
        <v>32</v>
      </c>
      <c r="F271" s="13">
        <v>43010</v>
      </c>
      <c r="G271" s="14">
        <v>61886</v>
      </c>
      <c r="H271" s="15">
        <v>0.09</v>
      </c>
      <c r="I271" s="12" t="s">
        <v>113</v>
      </c>
      <c r="J271" s="12" t="s">
        <v>117</v>
      </c>
      <c r="K271" s="17" t="s">
        <v>1121</v>
      </c>
    </row>
    <row r="272" spans="1:11">
      <c r="A272" s="11" t="s">
        <v>69</v>
      </c>
      <c r="B272" s="12" t="s">
        <v>90</v>
      </c>
      <c r="C272" s="12" t="s">
        <v>57</v>
      </c>
      <c r="D272" s="12" t="s">
        <v>58</v>
      </c>
      <c r="E272" s="12">
        <v>58</v>
      </c>
      <c r="F272" s="13">
        <v>37755</v>
      </c>
      <c r="G272" s="14">
        <v>173071</v>
      </c>
      <c r="H272" s="15">
        <v>0.29</v>
      </c>
      <c r="I272" s="12" t="s">
        <v>60</v>
      </c>
      <c r="J272" s="12" t="s">
        <v>110</v>
      </c>
      <c r="K272" s="17" t="s">
        <v>1121</v>
      </c>
    </row>
    <row r="273" spans="1:11">
      <c r="A273" s="11" t="s">
        <v>160</v>
      </c>
      <c r="B273" s="12" t="s">
        <v>98</v>
      </c>
      <c r="C273" s="12" t="s">
        <v>57</v>
      </c>
      <c r="D273" s="12" t="s">
        <v>58</v>
      </c>
      <c r="E273" s="12">
        <v>58</v>
      </c>
      <c r="F273" s="13">
        <v>34999</v>
      </c>
      <c r="G273" s="14">
        <v>70189</v>
      </c>
      <c r="H273" s="15">
        <v>0</v>
      </c>
      <c r="I273" s="12" t="s">
        <v>60</v>
      </c>
      <c r="J273" s="12" t="s">
        <v>110</v>
      </c>
      <c r="K273" s="17" t="s">
        <v>1121</v>
      </c>
    </row>
    <row r="274" spans="1:11">
      <c r="A274" s="11" t="s">
        <v>104</v>
      </c>
      <c r="B274" s="12" t="s">
        <v>82</v>
      </c>
      <c r="C274" s="12" t="s">
        <v>57</v>
      </c>
      <c r="D274" s="12" t="s">
        <v>58</v>
      </c>
      <c r="E274" s="12">
        <v>42</v>
      </c>
      <c r="F274" s="13">
        <v>41528</v>
      </c>
      <c r="G274" s="14">
        <v>181452</v>
      </c>
      <c r="H274" s="15">
        <v>0.3</v>
      </c>
      <c r="I274" s="12" t="s">
        <v>60</v>
      </c>
      <c r="J274" s="12" t="s">
        <v>110</v>
      </c>
      <c r="K274" s="17" t="s">
        <v>1121</v>
      </c>
    </row>
    <row r="275" spans="1:11">
      <c r="A275" s="11" t="s">
        <v>154</v>
      </c>
      <c r="B275" s="12" t="s">
        <v>94</v>
      </c>
      <c r="C275" s="12" t="s">
        <v>71</v>
      </c>
      <c r="D275" s="12" t="s">
        <v>65</v>
      </c>
      <c r="E275" s="12">
        <v>26</v>
      </c>
      <c r="F275" s="13">
        <v>44267</v>
      </c>
      <c r="G275" s="14">
        <v>70369</v>
      </c>
      <c r="H275" s="15">
        <v>0</v>
      </c>
      <c r="I275" s="12" t="s">
        <v>60</v>
      </c>
      <c r="J275" s="12" t="s">
        <v>61</v>
      </c>
      <c r="K275" s="17" t="s">
        <v>1121</v>
      </c>
    </row>
    <row r="276" spans="1:11">
      <c r="A276" s="11" t="s">
        <v>78</v>
      </c>
      <c r="B276" s="12" t="s">
        <v>90</v>
      </c>
      <c r="C276" s="12" t="s">
        <v>64</v>
      </c>
      <c r="D276" s="12" t="s">
        <v>65</v>
      </c>
      <c r="E276" s="12">
        <v>38</v>
      </c>
      <c r="F276" s="13">
        <v>39634</v>
      </c>
      <c r="G276" s="14">
        <v>78056</v>
      </c>
      <c r="H276" s="15">
        <v>0</v>
      </c>
      <c r="I276" s="12" t="s">
        <v>113</v>
      </c>
      <c r="J276" s="12" t="s">
        <v>184</v>
      </c>
      <c r="K276" s="17" t="s">
        <v>1121</v>
      </c>
    </row>
    <row r="277" spans="1:11">
      <c r="A277" s="11" t="s">
        <v>69</v>
      </c>
      <c r="B277" s="12" t="s">
        <v>70</v>
      </c>
      <c r="C277" s="12" t="s">
        <v>57</v>
      </c>
      <c r="D277" s="12" t="s">
        <v>65</v>
      </c>
      <c r="E277" s="12">
        <v>64</v>
      </c>
      <c r="F277" s="13">
        <v>35187</v>
      </c>
      <c r="G277" s="14">
        <v>189933</v>
      </c>
      <c r="H277" s="15">
        <v>0.23</v>
      </c>
      <c r="I277" s="12" t="s">
        <v>60</v>
      </c>
      <c r="J277" s="12" t="s">
        <v>88</v>
      </c>
      <c r="K277" s="17" t="s">
        <v>1121</v>
      </c>
    </row>
    <row r="278" spans="1:11">
      <c r="A278" s="11" t="s">
        <v>162</v>
      </c>
      <c r="B278" s="12" t="s">
        <v>98</v>
      </c>
      <c r="C278" s="12" t="s">
        <v>71</v>
      </c>
      <c r="D278" s="12" t="s">
        <v>65</v>
      </c>
      <c r="E278" s="12">
        <v>38</v>
      </c>
      <c r="F278" s="13">
        <v>40360</v>
      </c>
      <c r="G278" s="14">
        <v>78237</v>
      </c>
      <c r="H278" s="15">
        <v>0</v>
      </c>
      <c r="I278" s="12" t="s">
        <v>60</v>
      </c>
      <c r="J278" s="12" t="s">
        <v>79</v>
      </c>
      <c r="K278" s="17" t="s">
        <v>1121</v>
      </c>
    </row>
    <row r="279" spans="1:11">
      <c r="A279" s="11" t="s">
        <v>87</v>
      </c>
      <c r="B279" s="12" t="s">
        <v>90</v>
      </c>
      <c r="C279" s="12" t="s">
        <v>57</v>
      </c>
      <c r="D279" s="12" t="s">
        <v>58</v>
      </c>
      <c r="E279" s="12">
        <v>55</v>
      </c>
      <c r="F279" s="13">
        <v>35242</v>
      </c>
      <c r="G279" s="14">
        <v>48687</v>
      </c>
      <c r="H279" s="15">
        <v>0</v>
      </c>
      <c r="I279" s="12" t="s">
        <v>113</v>
      </c>
      <c r="J279" s="12" t="s">
        <v>117</v>
      </c>
      <c r="K279" s="17" t="s">
        <v>1121</v>
      </c>
    </row>
    <row r="280" spans="1:11">
      <c r="A280" s="11" t="s">
        <v>55</v>
      </c>
      <c r="B280" s="12" t="s">
        <v>105</v>
      </c>
      <c r="C280" s="12" t="s">
        <v>64</v>
      </c>
      <c r="D280" s="12" t="s">
        <v>58</v>
      </c>
      <c r="E280" s="12">
        <v>45</v>
      </c>
      <c r="F280" s="13">
        <v>38218</v>
      </c>
      <c r="G280" s="14">
        <v>121065</v>
      </c>
      <c r="H280" s="15">
        <v>0.15</v>
      </c>
      <c r="I280" s="12" t="s">
        <v>113</v>
      </c>
      <c r="J280" s="12" t="s">
        <v>117</v>
      </c>
      <c r="K280" s="17" t="s">
        <v>1121</v>
      </c>
    </row>
    <row r="281" spans="1:11">
      <c r="A281" s="11" t="s">
        <v>78</v>
      </c>
      <c r="B281" s="12" t="s">
        <v>82</v>
      </c>
      <c r="C281" s="12" t="s">
        <v>83</v>
      </c>
      <c r="D281" s="12" t="s">
        <v>65</v>
      </c>
      <c r="E281" s="12">
        <v>43</v>
      </c>
      <c r="F281" s="13">
        <v>38093</v>
      </c>
      <c r="G281" s="14">
        <v>94246</v>
      </c>
      <c r="H281" s="15">
        <v>0</v>
      </c>
      <c r="I281" s="12" t="s">
        <v>60</v>
      </c>
      <c r="J281" s="12" t="s">
        <v>91</v>
      </c>
      <c r="K281" s="17" t="s">
        <v>1121</v>
      </c>
    </row>
    <row r="282" spans="1:11">
      <c r="A282" s="11" t="s">
        <v>244</v>
      </c>
      <c r="B282" s="12" t="s">
        <v>56</v>
      </c>
      <c r="C282" s="12" t="s">
        <v>64</v>
      </c>
      <c r="D282" s="12" t="s">
        <v>58</v>
      </c>
      <c r="E282" s="12">
        <v>34</v>
      </c>
      <c r="F282" s="13">
        <v>42512</v>
      </c>
      <c r="G282" s="14">
        <v>44614</v>
      </c>
      <c r="H282" s="15">
        <v>0</v>
      </c>
      <c r="I282" s="12" t="s">
        <v>60</v>
      </c>
      <c r="J282" s="12" t="s">
        <v>88</v>
      </c>
      <c r="K282" s="17" t="s">
        <v>1121</v>
      </c>
    </row>
    <row r="283" spans="1:11">
      <c r="A283" s="11" t="s">
        <v>104</v>
      </c>
      <c r="B283" s="12" t="s">
        <v>56</v>
      </c>
      <c r="C283" s="12" t="s">
        <v>57</v>
      </c>
      <c r="D283" s="12" t="s">
        <v>65</v>
      </c>
      <c r="E283" s="12">
        <v>40</v>
      </c>
      <c r="F283" s="13">
        <v>44143</v>
      </c>
      <c r="G283" s="14">
        <v>234469</v>
      </c>
      <c r="H283" s="15">
        <v>0.31</v>
      </c>
      <c r="I283" s="12" t="s">
        <v>66</v>
      </c>
      <c r="J283" s="12" t="s">
        <v>138</v>
      </c>
      <c r="K283" s="17" t="s">
        <v>1121</v>
      </c>
    </row>
    <row r="284" spans="1:11">
      <c r="A284" s="11" t="s">
        <v>162</v>
      </c>
      <c r="B284" s="12" t="s">
        <v>98</v>
      </c>
      <c r="C284" s="12" t="s">
        <v>57</v>
      </c>
      <c r="D284" s="12" t="s">
        <v>65</v>
      </c>
      <c r="E284" s="12">
        <v>52</v>
      </c>
      <c r="F284" s="13">
        <v>44022</v>
      </c>
      <c r="G284" s="14">
        <v>88272</v>
      </c>
      <c r="H284" s="15">
        <v>0</v>
      </c>
      <c r="I284" s="12" t="s">
        <v>113</v>
      </c>
      <c r="J284" s="12" t="s">
        <v>184</v>
      </c>
      <c r="K284" s="17" t="s">
        <v>1121</v>
      </c>
    </row>
    <row r="285" spans="1:11">
      <c r="A285" s="11" t="s">
        <v>132</v>
      </c>
      <c r="B285" s="12" t="s">
        <v>70</v>
      </c>
      <c r="C285" s="12" t="s">
        <v>83</v>
      </c>
      <c r="D285" s="12" t="s">
        <v>65</v>
      </c>
      <c r="E285" s="12">
        <v>52</v>
      </c>
      <c r="F285" s="13">
        <v>42992</v>
      </c>
      <c r="G285" s="14">
        <v>74449</v>
      </c>
      <c r="H285" s="15">
        <v>0</v>
      </c>
      <c r="I285" s="12" t="s">
        <v>66</v>
      </c>
      <c r="J285" s="12" t="s">
        <v>126</v>
      </c>
      <c r="K285" s="17" t="s">
        <v>1121</v>
      </c>
    </row>
    <row r="286" spans="1:11">
      <c r="A286" s="11" t="s">
        <v>104</v>
      </c>
      <c r="B286" s="12" t="s">
        <v>98</v>
      </c>
      <c r="C286" s="12" t="s">
        <v>71</v>
      </c>
      <c r="D286" s="12" t="s">
        <v>65</v>
      </c>
      <c r="E286" s="12">
        <v>47</v>
      </c>
      <c r="F286" s="13">
        <v>41071</v>
      </c>
      <c r="G286" s="14">
        <v>222941</v>
      </c>
      <c r="H286" s="15">
        <v>0.39</v>
      </c>
      <c r="I286" s="12" t="s">
        <v>66</v>
      </c>
      <c r="J286" s="12" t="s">
        <v>126</v>
      </c>
      <c r="K286" s="17" t="s">
        <v>1121</v>
      </c>
    </row>
    <row r="287" spans="1:11">
      <c r="A287" s="11" t="s">
        <v>87</v>
      </c>
      <c r="B287" s="12" t="s">
        <v>105</v>
      </c>
      <c r="C287" s="12" t="s">
        <v>64</v>
      </c>
      <c r="D287" s="12" t="s">
        <v>58</v>
      </c>
      <c r="E287" s="12">
        <v>65</v>
      </c>
      <c r="F287" s="13">
        <v>41543</v>
      </c>
      <c r="G287" s="14">
        <v>50341</v>
      </c>
      <c r="H287" s="15">
        <v>0</v>
      </c>
      <c r="I287" s="12" t="s">
        <v>66</v>
      </c>
      <c r="J287" s="12" t="s">
        <v>126</v>
      </c>
      <c r="K287" s="17" t="s">
        <v>1121</v>
      </c>
    </row>
    <row r="288" spans="1:11">
      <c r="A288" s="11" t="s">
        <v>154</v>
      </c>
      <c r="B288" s="12" t="s">
        <v>94</v>
      </c>
      <c r="C288" s="12" t="s">
        <v>83</v>
      </c>
      <c r="D288" s="12" t="s">
        <v>58</v>
      </c>
      <c r="E288" s="12">
        <v>31</v>
      </c>
      <c r="F288" s="13">
        <v>44297</v>
      </c>
      <c r="G288" s="14">
        <v>72235</v>
      </c>
      <c r="H288" s="15">
        <v>0</v>
      </c>
      <c r="I288" s="12" t="s">
        <v>113</v>
      </c>
      <c r="J288" s="12" t="s">
        <v>114</v>
      </c>
      <c r="K288" s="17" t="s">
        <v>1121</v>
      </c>
    </row>
    <row r="289" spans="1:11">
      <c r="A289" s="11" t="s">
        <v>78</v>
      </c>
      <c r="B289" s="12" t="s">
        <v>90</v>
      </c>
      <c r="C289" s="12" t="s">
        <v>83</v>
      </c>
      <c r="D289" s="12" t="s">
        <v>58</v>
      </c>
      <c r="E289" s="12">
        <v>41</v>
      </c>
      <c r="F289" s="13">
        <v>42533</v>
      </c>
      <c r="G289" s="14">
        <v>70165</v>
      </c>
      <c r="H289" s="15">
        <v>0</v>
      </c>
      <c r="I289" s="12" t="s">
        <v>60</v>
      </c>
      <c r="J289" s="12" t="s">
        <v>110</v>
      </c>
      <c r="K289" s="17" t="s">
        <v>1121</v>
      </c>
    </row>
    <row r="290" spans="1:11">
      <c r="A290" s="11" t="s">
        <v>55</v>
      </c>
      <c r="B290" s="12" t="s">
        <v>105</v>
      </c>
      <c r="C290" s="12" t="s">
        <v>71</v>
      </c>
      <c r="D290" s="12" t="s">
        <v>65</v>
      </c>
      <c r="E290" s="12">
        <v>30</v>
      </c>
      <c r="F290" s="13">
        <v>44030</v>
      </c>
      <c r="G290" s="14">
        <v>148485</v>
      </c>
      <c r="H290" s="15">
        <v>0.15</v>
      </c>
      <c r="I290" s="12" t="s">
        <v>60</v>
      </c>
      <c r="J290" s="12" t="s">
        <v>88</v>
      </c>
      <c r="K290" s="17" t="s">
        <v>1121</v>
      </c>
    </row>
    <row r="291" spans="1:11">
      <c r="A291" s="11" t="s">
        <v>63</v>
      </c>
      <c r="B291" s="12" t="s">
        <v>56</v>
      </c>
      <c r="C291" s="12" t="s">
        <v>64</v>
      </c>
      <c r="D291" s="12" t="s">
        <v>58</v>
      </c>
      <c r="E291" s="12">
        <v>58</v>
      </c>
      <c r="F291" s="13">
        <v>38521</v>
      </c>
      <c r="G291" s="14">
        <v>86089</v>
      </c>
      <c r="H291" s="15">
        <v>0</v>
      </c>
      <c r="I291" s="12" t="s">
        <v>60</v>
      </c>
      <c r="J291" s="12" t="s">
        <v>73</v>
      </c>
      <c r="K291" s="17" t="s">
        <v>1121</v>
      </c>
    </row>
    <row r="292" spans="1:11">
      <c r="A292" s="11" t="s">
        <v>125</v>
      </c>
      <c r="B292" s="12" t="s">
        <v>98</v>
      </c>
      <c r="C292" s="12" t="s">
        <v>57</v>
      </c>
      <c r="D292" s="12" t="s">
        <v>65</v>
      </c>
      <c r="E292" s="12">
        <v>54</v>
      </c>
      <c r="F292" s="13">
        <v>39382</v>
      </c>
      <c r="G292" s="14">
        <v>106313</v>
      </c>
      <c r="H292" s="15">
        <v>0.15</v>
      </c>
      <c r="I292" s="12" t="s">
        <v>60</v>
      </c>
      <c r="J292" s="12" t="s">
        <v>73</v>
      </c>
      <c r="K292" s="17" t="s">
        <v>1121</v>
      </c>
    </row>
    <row r="293" spans="1:11">
      <c r="A293" s="11" t="s">
        <v>87</v>
      </c>
      <c r="B293" s="12" t="s">
        <v>105</v>
      </c>
      <c r="C293" s="12" t="s">
        <v>57</v>
      </c>
      <c r="D293" s="12" t="s">
        <v>58</v>
      </c>
      <c r="E293" s="12">
        <v>40</v>
      </c>
      <c r="F293" s="13">
        <v>44251</v>
      </c>
      <c r="G293" s="14">
        <v>46833</v>
      </c>
      <c r="H293" s="15">
        <v>0</v>
      </c>
      <c r="I293" s="12" t="s">
        <v>66</v>
      </c>
      <c r="J293" s="12" t="s">
        <v>138</v>
      </c>
      <c r="K293" s="17">
        <v>44510</v>
      </c>
    </row>
    <row r="294" spans="1:11">
      <c r="A294" s="11" t="s">
        <v>69</v>
      </c>
      <c r="B294" s="12" t="s">
        <v>70</v>
      </c>
      <c r="C294" s="12" t="s">
        <v>57</v>
      </c>
      <c r="D294" s="12" t="s">
        <v>58</v>
      </c>
      <c r="E294" s="12">
        <v>63</v>
      </c>
      <c r="F294" s="13">
        <v>36826</v>
      </c>
      <c r="G294" s="14">
        <v>155320</v>
      </c>
      <c r="H294" s="15">
        <v>0.17</v>
      </c>
      <c r="I294" s="12" t="s">
        <v>66</v>
      </c>
      <c r="J294" s="12" t="s">
        <v>67</v>
      </c>
      <c r="K294" s="17" t="s">
        <v>1121</v>
      </c>
    </row>
    <row r="295" spans="1:11">
      <c r="A295" s="11" t="s">
        <v>78</v>
      </c>
      <c r="B295" s="12" t="s">
        <v>90</v>
      </c>
      <c r="C295" s="12" t="s">
        <v>64</v>
      </c>
      <c r="D295" s="12" t="s">
        <v>65</v>
      </c>
      <c r="E295" s="12">
        <v>40</v>
      </c>
      <c r="F295" s="13">
        <v>42384</v>
      </c>
      <c r="G295" s="14">
        <v>89984</v>
      </c>
      <c r="H295" s="15">
        <v>0</v>
      </c>
      <c r="I295" s="12" t="s">
        <v>66</v>
      </c>
      <c r="J295" s="12" t="s">
        <v>138</v>
      </c>
      <c r="K295" s="17" t="s">
        <v>1121</v>
      </c>
    </row>
    <row r="296" spans="1:11">
      <c r="A296" s="11" t="s">
        <v>125</v>
      </c>
      <c r="B296" s="12" t="s">
        <v>98</v>
      </c>
      <c r="C296" s="12" t="s">
        <v>71</v>
      </c>
      <c r="D296" s="12" t="s">
        <v>58</v>
      </c>
      <c r="E296" s="12">
        <v>65</v>
      </c>
      <c r="F296" s="13">
        <v>38792</v>
      </c>
      <c r="G296" s="14">
        <v>83756</v>
      </c>
      <c r="H296" s="15">
        <v>0.14</v>
      </c>
      <c r="I296" s="12" t="s">
        <v>66</v>
      </c>
      <c r="J296" s="12" t="s">
        <v>101</v>
      </c>
      <c r="K296" s="17" t="s">
        <v>1121</v>
      </c>
    </row>
    <row r="297" spans="1:11">
      <c r="A297" s="11" t="s">
        <v>69</v>
      </c>
      <c r="B297" s="12" t="s">
        <v>94</v>
      </c>
      <c r="C297" s="12" t="s">
        <v>83</v>
      </c>
      <c r="D297" s="12" t="s">
        <v>58</v>
      </c>
      <c r="E297" s="12">
        <v>57</v>
      </c>
      <c r="F297" s="13">
        <v>42667</v>
      </c>
      <c r="G297" s="14">
        <v>176324</v>
      </c>
      <c r="H297" s="15">
        <v>0.23</v>
      </c>
      <c r="I297" s="12" t="s">
        <v>66</v>
      </c>
      <c r="J297" s="12" t="s">
        <v>101</v>
      </c>
      <c r="K297" s="17" t="s">
        <v>1121</v>
      </c>
    </row>
    <row r="298" spans="1:11">
      <c r="A298" s="11" t="s">
        <v>78</v>
      </c>
      <c r="B298" s="12" t="s">
        <v>90</v>
      </c>
      <c r="C298" s="12" t="s">
        <v>71</v>
      </c>
      <c r="D298" s="12" t="s">
        <v>65</v>
      </c>
      <c r="E298" s="12">
        <v>27</v>
      </c>
      <c r="F298" s="13">
        <v>44482</v>
      </c>
      <c r="G298" s="14">
        <v>74077</v>
      </c>
      <c r="H298" s="15">
        <v>0</v>
      </c>
      <c r="I298" s="12" t="s">
        <v>60</v>
      </c>
      <c r="J298" s="12" t="s">
        <v>61</v>
      </c>
      <c r="K298" s="17" t="s">
        <v>1121</v>
      </c>
    </row>
    <row r="299" spans="1:11">
      <c r="A299" s="11" t="s">
        <v>85</v>
      </c>
      <c r="B299" s="12" t="s">
        <v>94</v>
      </c>
      <c r="C299" s="12" t="s">
        <v>64</v>
      </c>
      <c r="D299" s="12" t="s">
        <v>58</v>
      </c>
      <c r="E299" s="12">
        <v>31</v>
      </c>
      <c r="F299" s="13">
        <v>44214</v>
      </c>
      <c r="G299" s="14">
        <v>104162</v>
      </c>
      <c r="H299" s="15">
        <v>0.07</v>
      </c>
      <c r="I299" s="12" t="s">
        <v>60</v>
      </c>
      <c r="J299" s="12" t="s">
        <v>91</v>
      </c>
      <c r="K299" s="17" t="s">
        <v>1121</v>
      </c>
    </row>
    <row r="300" spans="1:11">
      <c r="A300" s="11" t="s">
        <v>303</v>
      </c>
      <c r="B300" s="12" t="s">
        <v>56</v>
      </c>
      <c r="C300" s="12" t="s">
        <v>83</v>
      </c>
      <c r="D300" s="12" t="s">
        <v>58</v>
      </c>
      <c r="E300" s="12">
        <v>45</v>
      </c>
      <c r="F300" s="13">
        <v>40418</v>
      </c>
      <c r="G300" s="14">
        <v>82162</v>
      </c>
      <c r="H300" s="15">
        <v>0</v>
      </c>
      <c r="I300" s="12" t="s">
        <v>66</v>
      </c>
      <c r="J300" s="12" t="s">
        <v>126</v>
      </c>
      <c r="K300" s="17">
        <v>44107</v>
      </c>
    </row>
    <row r="301" spans="1:11">
      <c r="A301" s="11" t="s">
        <v>81</v>
      </c>
      <c r="B301" s="12" t="s">
        <v>82</v>
      </c>
      <c r="C301" s="12" t="s">
        <v>71</v>
      </c>
      <c r="D301" s="12" t="s">
        <v>58</v>
      </c>
      <c r="E301" s="12">
        <v>47</v>
      </c>
      <c r="F301" s="13">
        <v>42195</v>
      </c>
      <c r="G301" s="14">
        <v>63880</v>
      </c>
      <c r="H301" s="15">
        <v>0</v>
      </c>
      <c r="I301" s="12" t="s">
        <v>66</v>
      </c>
      <c r="J301" s="12" t="s">
        <v>67</v>
      </c>
      <c r="K301" s="17" t="s">
        <v>1121</v>
      </c>
    </row>
    <row r="302" spans="1:11">
      <c r="A302" s="11" t="s">
        <v>187</v>
      </c>
      <c r="B302" s="12" t="s">
        <v>98</v>
      </c>
      <c r="C302" s="12" t="s">
        <v>57</v>
      </c>
      <c r="D302" s="12" t="s">
        <v>58</v>
      </c>
      <c r="E302" s="12">
        <v>55</v>
      </c>
      <c r="F302" s="13">
        <v>41525</v>
      </c>
      <c r="G302" s="14">
        <v>73248</v>
      </c>
      <c r="H302" s="15">
        <v>0</v>
      </c>
      <c r="I302" s="12" t="s">
        <v>60</v>
      </c>
      <c r="J302" s="12" t="s">
        <v>110</v>
      </c>
      <c r="K302" s="17" t="s">
        <v>1121</v>
      </c>
    </row>
    <row r="303" spans="1:11">
      <c r="A303" s="11" t="s">
        <v>78</v>
      </c>
      <c r="B303" s="12" t="s">
        <v>90</v>
      </c>
      <c r="C303" s="12" t="s">
        <v>64</v>
      </c>
      <c r="D303" s="12" t="s">
        <v>65</v>
      </c>
      <c r="E303" s="12">
        <v>51</v>
      </c>
      <c r="F303" s="13">
        <v>44113</v>
      </c>
      <c r="G303" s="14">
        <v>91853</v>
      </c>
      <c r="H303" s="15">
        <v>0</v>
      </c>
      <c r="I303" s="12" t="s">
        <v>60</v>
      </c>
      <c r="J303" s="12" t="s">
        <v>73</v>
      </c>
      <c r="K303" s="17" t="s">
        <v>1121</v>
      </c>
    </row>
    <row r="304" spans="1:11">
      <c r="A304" s="11" t="s">
        <v>69</v>
      </c>
      <c r="B304" s="12" t="s">
        <v>70</v>
      </c>
      <c r="C304" s="12" t="s">
        <v>71</v>
      </c>
      <c r="D304" s="12" t="s">
        <v>65</v>
      </c>
      <c r="E304" s="12">
        <v>25</v>
      </c>
      <c r="F304" s="13">
        <v>43844</v>
      </c>
      <c r="G304" s="14">
        <v>168014</v>
      </c>
      <c r="H304" s="15">
        <v>0.27</v>
      </c>
      <c r="I304" s="12" t="s">
        <v>60</v>
      </c>
      <c r="J304" s="12" t="s">
        <v>73</v>
      </c>
      <c r="K304" s="17">
        <v>44404</v>
      </c>
    </row>
    <row r="305" spans="1:11">
      <c r="A305" s="11" t="s">
        <v>216</v>
      </c>
      <c r="B305" s="12" t="s">
        <v>98</v>
      </c>
      <c r="C305" s="12" t="s">
        <v>83</v>
      </c>
      <c r="D305" s="12" t="s">
        <v>58</v>
      </c>
      <c r="E305" s="12">
        <v>37</v>
      </c>
      <c r="F305" s="13">
        <v>42995</v>
      </c>
      <c r="G305" s="14">
        <v>70770</v>
      </c>
      <c r="H305" s="15">
        <v>0</v>
      </c>
      <c r="I305" s="12" t="s">
        <v>60</v>
      </c>
      <c r="J305" s="12" t="s">
        <v>88</v>
      </c>
      <c r="K305" s="17" t="s">
        <v>1121</v>
      </c>
    </row>
    <row r="306" spans="1:11">
      <c r="A306" s="11" t="s">
        <v>154</v>
      </c>
      <c r="B306" s="12" t="s">
        <v>94</v>
      </c>
      <c r="C306" s="12" t="s">
        <v>83</v>
      </c>
      <c r="D306" s="12" t="s">
        <v>65</v>
      </c>
      <c r="E306" s="12">
        <v>62</v>
      </c>
      <c r="F306" s="13">
        <v>38271</v>
      </c>
      <c r="G306" s="14">
        <v>50825</v>
      </c>
      <c r="H306" s="15">
        <v>0</v>
      </c>
      <c r="I306" s="12" t="s">
        <v>60</v>
      </c>
      <c r="J306" s="12" t="s">
        <v>61</v>
      </c>
      <c r="K306" s="17" t="s">
        <v>1121</v>
      </c>
    </row>
    <row r="307" spans="1:11">
      <c r="A307" s="11" t="s">
        <v>55</v>
      </c>
      <c r="B307" s="12" t="s">
        <v>70</v>
      </c>
      <c r="C307" s="12" t="s">
        <v>57</v>
      </c>
      <c r="D307" s="12" t="s">
        <v>65</v>
      </c>
      <c r="E307" s="12">
        <v>31</v>
      </c>
      <c r="F307" s="13">
        <v>42266</v>
      </c>
      <c r="G307" s="14">
        <v>145846</v>
      </c>
      <c r="H307" s="15">
        <v>0.15</v>
      </c>
      <c r="I307" s="12" t="s">
        <v>113</v>
      </c>
      <c r="J307" s="12" t="s">
        <v>114</v>
      </c>
      <c r="K307" s="17" t="s">
        <v>1121</v>
      </c>
    </row>
    <row r="308" spans="1:11">
      <c r="A308" s="11" t="s">
        <v>55</v>
      </c>
      <c r="B308" s="12" t="s">
        <v>94</v>
      </c>
      <c r="C308" s="12" t="s">
        <v>57</v>
      </c>
      <c r="D308" s="12" t="s">
        <v>58</v>
      </c>
      <c r="E308" s="12">
        <v>64</v>
      </c>
      <c r="F308" s="13">
        <v>37962</v>
      </c>
      <c r="G308" s="14">
        <v>125807</v>
      </c>
      <c r="H308" s="15">
        <v>0.15</v>
      </c>
      <c r="I308" s="12" t="s">
        <v>60</v>
      </c>
      <c r="J308" s="12" t="s">
        <v>73</v>
      </c>
      <c r="K308" s="17" t="s">
        <v>1121</v>
      </c>
    </row>
    <row r="309" spans="1:11">
      <c r="A309" s="11" t="s">
        <v>87</v>
      </c>
      <c r="B309" s="12" t="s">
        <v>82</v>
      </c>
      <c r="C309" s="12" t="s">
        <v>71</v>
      </c>
      <c r="D309" s="12" t="s">
        <v>65</v>
      </c>
      <c r="E309" s="12">
        <v>25</v>
      </c>
      <c r="F309" s="13">
        <v>44405</v>
      </c>
      <c r="G309" s="14">
        <v>46845</v>
      </c>
      <c r="H309" s="15">
        <v>0</v>
      </c>
      <c r="I309" s="12" t="s">
        <v>60</v>
      </c>
      <c r="J309" s="12" t="s">
        <v>88</v>
      </c>
      <c r="K309" s="17" t="s">
        <v>1121</v>
      </c>
    </row>
    <row r="310" spans="1:11">
      <c r="A310" s="11" t="s">
        <v>55</v>
      </c>
      <c r="B310" s="12" t="s">
        <v>105</v>
      </c>
      <c r="C310" s="12" t="s">
        <v>83</v>
      </c>
      <c r="D310" s="12" t="s">
        <v>58</v>
      </c>
      <c r="E310" s="12">
        <v>59</v>
      </c>
      <c r="F310" s="13">
        <v>39689</v>
      </c>
      <c r="G310" s="14">
        <v>157969</v>
      </c>
      <c r="H310" s="15">
        <v>0.1</v>
      </c>
      <c r="I310" s="12" t="s">
        <v>66</v>
      </c>
      <c r="J310" s="12" t="s">
        <v>67</v>
      </c>
      <c r="K310" s="17" t="s">
        <v>1121</v>
      </c>
    </row>
    <row r="311" spans="1:11">
      <c r="A311" s="11" t="s">
        <v>266</v>
      </c>
      <c r="B311" s="12" t="s">
        <v>56</v>
      </c>
      <c r="C311" s="12" t="s">
        <v>83</v>
      </c>
      <c r="D311" s="12" t="s">
        <v>58</v>
      </c>
      <c r="E311" s="12">
        <v>40</v>
      </c>
      <c r="F311" s="13">
        <v>40522</v>
      </c>
      <c r="G311" s="14">
        <v>97807</v>
      </c>
      <c r="H311" s="15">
        <v>0</v>
      </c>
      <c r="I311" s="12" t="s">
        <v>60</v>
      </c>
      <c r="J311" s="12" t="s">
        <v>73</v>
      </c>
      <c r="K311" s="17" t="s">
        <v>1121</v>
      </c>
    </row>
    <row r="312" spans="1:11">
      <c r="A312" s="11" t="s">
        <v>154</v>
      </c>
      <c r="B312" s="12" t="s">
        <v>94</v>
      </c>
      <c r="C312" s="12" t="s">
        <v>64</v>
      </c>
      <c r="D312" s="12" t="s">
        <v>65</v>
      </c>
      <c r="E312" s="12">
        <v>31</v>
      </c>
      <c r="F312" s="13">
        <v>42347</v>
      </c>
      <c r="G312" s="14">
        <v>73854</v>
      </c>
      <c r="H312" s="15">
        <v>0</v>
      </c>
      <c r="I312" s="12" t="s">
        <v>60</v>
      </c>
      <c r="J312" s="12" t="s">
        <v>61</v>
      </c>
      <c r="K312" s="17" t="s">
        <v>1121</v>
      </c>
    </row>
    <row r="313" spans="1:11">
      <c r="A313" s="11" t="s">
        <v>55</v>
      </c>
      <c r="B313" s="12" t="s">
        <v>90</v>
      </c>
      <c r="C313" s="12" t="s">
        <v>64</v>
      </c>
      <c r="D313" s="12" t="s">
        <v>65</v>
      </c>
      <c r="E313" s="12">
        <v>45</v>
      </c>
      <c r="F313" s="13">
        <v>39063</v>
      </c>
      <c r="G313" s="14">
        <v>149537</v>
      </c>
      <c r="H313" s="15">
        <v>0.14</v>
      </c>
      <c r="I313" s="12" t="s">
        <v>60</v>
      </c>
      <c r="J313" s="12" t="s">
        <v>61</v>
      </c>
      <c r="K313" s="17" t="s">
        <v>1121</v>
      </c>
    </row>
    <row r="314" spans="1:11">
      <c r="A314" s="11" t="s">
        <v>55</v>
      </c>
      <c r="B314" s="12" t="s">
        <v>82</v>
      </c>
      <c r="C314" s="12" t="s">
        <v>64</v>
      </c>
      <c r="D314" s="12" t="s">
        <v>58</v>
      </c>
      <c r="E314" s="12">
        <v>49</v>
      </c>
      <c r="F314" s="13">
        <v>41379</v>
      </c>
      <c r="G314" s="14">
        <v>128303</v>
      </c>
      <c r="H314" s="15">
        <v>0.15</v>
      </c>
      <c r="I314" s="12" t="s">
        <v>60</v>
      </c>
      <c r="J314" s="12" t="s">
        <v>79</v>
      </c>
      <c r="K314" s="17" t="s">
        <v>1121</v>
      </c>
    </row>
    <row r="315" spans="1:11">
      <c r="A315" s="11" t="s">
        <v>200</v>
      </c>
      <c r="B315" s="12" t="s">
        <v>56</v>
      </c>
      <c r="C315" s="12" t="s">
        <v>71</v>
      </c>
      <c r="D315" s="12" t="s">
        <v>65</v>
      </c>
      <c r="E315" s="12">
        <v>46</v>
      </c>
      <c r="F315" s="13">
        <v>38513</v>
      </c>
      <c r="G315" s="14">
        <v>67374</v>
      </c>
      <c r="H315" s="15">
        <v>0</v>
      </c>
      <c r="I315" s="12" t="s">
        <v>60</v>
      </c>
      <c r="J315" s="12" t="s">
        <v>91</v>
      </c>
      <c r="K315" s="17" t="s">
        <v>1121</v>
      </c>
    </row>
    <row r="316" spans="1:11">
      <c r="A316" s="11" t="s">
        <v>85</v>
      </c>
      <c r="B316" s="12" t="s">
        <v>94</v>
      </c>
      <c r="C316" s="12" t="s">
        <v>83</v>
      </c>
      <c r="D316" s="12" t="s">
        <v>65</v>
      </c>
      <c r="E316" s="12">
        <v>46</v>
      </c>
      <c r="F316" s="13">
        <v>40810</v>
      </c>
      <c r="G316" s="14">
        <v>102167</v>
      </c>
      <c r="H316" s="15">
        <v>0.06</v>
      </c>
      <c r="I316" s="12" t="s">
        <v>113</v>
      </c>
      <c r="J316" s="12" t="s">
        <v>117</v>
      </c>
      <c r="K316" s="17" t="s">
        <v>1121</v>
      </c>
    </row>
    <row r="317" spans="1:11">
      <c r="A317" s="11" t="s">
        <v>55</v>
      </c>
      <c r="B317" s="12" t="s">
        <v>82</v>
      </c>
      <c r="C317" s="12" t="s">
        <v>64</v>
      </c>
      <c r="D317" s="12" t="s">
        <v>65</v>
      </c>
      <c r="E317" s="12">
        <v>45</v>
      </c>
      <c r="F317" s="13">
        <v>39332</v>
      </c>
      <c r="G317" s="14">
        <v>151027</v>
      </c>
      <c r="H317" s="15">
        <v>0.1</v>
      </c>
      <c r="I317" s="12" t="s">
        <v>66</v>
      </c>
      <c r="J317" s="12" t="s">
        <v>101</v>
      </c>
      <c r="K317" s="17" t="s">
        <v>1121</v>
      </c>
    </row>
    <row r="318" spans="1:11">
      <c r="A318" s="11" t="s">
        <v>85</v>
      </c>
      <c r="B318" s="12" t="s">
        <v>90</v>
      </c>
      <c r="C318" s="12" t="s">
        <v>71</v>
      </c>
      <c r="D318" s="12" t="s">
        <v>65</v>
      </c>
      <c r="E318" s="12">
        <v>40</v>
      </c>
      <c r="F318" s="13">
        <v>43147</v>
      </c>
      <c r="G318" s="14">
        <v>120905</v>
      </c>
      <c r="H318" s="15">
        <v>0.05</v>
      </c>
      <c r="I318" s="12" t="s">
        <v>60</v>
      </c>
      <c r="J318" s="12" t="s">
        <v>61</v>
      </c>
      <c r="K318" s="17" t="s">
        <v>1121</v>
      </c>
    </row>
    <row r="319" spans="1:11">
      <c r="A319" s="11" t="s">
        <v>104</v>
      </c>
      <c r="B319" s="12" t="s">
        <v>70</v>
      </c>
      <c r="C319" s="12" t="s">
        <v>64</v>
      </c>
      <c r="D319" s="12" t="s">
        <v>58</v>
      </c>
      <c r="E319" s="12">
        <v>48</v>
      </c>
      <c r="F319" s="13">
        <v>43253</v>
      </c>
      <c r="G319" s="14">
        <v>231567</v>
      </c>
      <c r="H319" s="15">
        <v>0.36</v>
      </c>
      <c r="I319" s="12" t="s">
        <v>60</v>
      </c>
      <c r="J319" s="12" t="s">
        <v>61</v>
      </c>
      <c r="K319" s="17" t="s">
        <v>1121</v>
      </c>
    </row>
    <row r="320" spans="1:11">
      <c r="A320" s="11" t="s">
        <v>104</v>
      </c>
      <c r="B320" s="12" t="s">
        <v>56</v>
      </c>
      <c r="C320" s="12" t="s">
        <v>57</v>
      </c>
      <c r="D320" s="12" t="s">
        <v>65</v>
      </c>
      <c r="E320" s="12">
        <v>31</v>
      </c>
      <c r="F320" s="13">
        <v>42197</v>
      </c>
      <c r="G320" s="14">
        <v>215388</v>
      </c>
      <c r="H320" s="15">
        <v>0.33</v>
      </c>
      <c r="I320" s="12" t="s">
        <v>60</v>
      </c>
      <c r="J320" s="12" t="s">
        <v>88</v>
      </c>
      <c r="K320" s="17" t="s">
        <v>1121</v>
      </c>
    </row>
    <row r="321" spans="1:11">
      <c r="A321" s="11" t="s">
        <v>55</v>
      </c>
      <c r="B321" s="12" t="s">
        <v>82</v>
      </c>
      <c r="C321" s="12" t="s">
        <v>71</v>
      </c>
      <c r="D321" s="12" t="s">
        <v>58</v>
      </c>
      <c r="E321" s="12">
        <v>30</v>
      </c>
      <c r="F321" s="13">
        <v>42168</v>
      </c>
      <c r="G321" s="14">
        <v>127972</v>
      </c>
      <c r="H321" s="15">
        <v>0.11</v>
      </c>
      <c r="I321" s="12" t="s">
        <v>60</v>
      </c>
      <c r="J321" s="12" t="s">
        <v>61</v>
      </c>
      <c r="K321" s="17" t="s">
        <v>1121</v>
      </c>
    </row>
    <row r="322" spans="1:11">
      <c r="A322" s="11" t="s">
        <v>164</v>
      </c>
      <c r="B322" s="12" t="s">
        <v>98</v>
      </c>
      <c r="C322" s="12" t="s">
        <v>83</v>
      </c>
      <c r="D322" s="12" t="s">
        <v>58</v>
      </c>
      <c r="E322" s="12">
        <v>55</v>
      </c>
      <c r="F322" s="13">
        <v>34915</v>
      </c>
      <c r="G322" s="14">
        <v>80701</v>
      </c>
      <c r="H322" s="15">
        <v>0</v>
      </c>
      <c r="I322" s="12" t="s">
        <v>60</v>
      </c>
      <c r="J322" s="12" t="s">
        <v>73</v>
      </c>
      <c r="K322" s="17">
        <v>38456</v>
      </c>
    </row>
    <row r="323" spans="1:11">
      <c r="A323" s="11" t="s">
        <v>85</v>
      </c>
      <c r="B323" s="12" t="s">
        <v>105</v>
      </c>
      <c r="C323" s="12" t="s">
        <v>83</v>
      </c>
      <c r="D323" s="12" t="s">
        <v>65</v>
      </c>
      <c r="E323" s="12">
        <v>28</v>
      </c>
      <c r="F323" s="13">
        <v>43863</v>
      </c>
      <c r="G323" s="14">
        <v>115417</v>
      </c>
      <c r="H323" s="15">
        <v>0.06</v>
      </c>
      <c r="I323" s="12" t="s">
        <v>66</v>
      </c>
      <c r="J323" s="12" t="s">
        <v>101</v>
      </c>
      <c r="K323" s="17" t="s">
        <v>1121</v>
      </c>
    </row>
    <row r="324" spans="1:11">
      <c r="A324" s="11" t="s">
        <v>122</v>
      </c>
      <c r="B324" s="12" t="s">
        <v>98</v>
      </c>
      <c r="C324" s="12" t="s">
        <v>83</v>
      </c>
      <c r="D324" s="12" t="s">
        <v>58</v>
      </c>
      <c r="E324" s="12">
        <v>45</v>
      </c>
      <c r="F324" s="13">
        <v>43635</v>
      </c>
      <c r="G324" s="14">
        <v>88045</v>
      </c>
      <c r="H324" s="15">
        <v>0</v>
      </c>
      <c r="I324" s="12" t="s">
        <v>60</v>
      </c>
      <c r="J324" s="12" t="s">
        <v>73</v>
      </c>
      <c r="K324" s="17" t="s">
        <v>1121</v>
      </c>
    </row>
    <row r="325" spans="1:11">
      <c r="A325" s="11" t="s">
        <v>75</v>
      </c>
      <c r="B325" s="12" t="s">
        <v>56</v>
      </c>
      <c r="C325" s="12" t="s">
        <v>71</v>
      </c>
      <c r="D325" s="12" t="s">
        <v>58</v>
      </c>
      <c r="E325" s="12">
        <v>45</v>
      </c>
      <c r="F325" s="13">
        <v>43185</v>
      </c>
      <c r="G325" s="14">
        <v>86478</v>
      </c>
      <c r="H325" s="15">
        <v>0.06</v>
      </c>
      <c r="I325" s="12" t="s">
        <v>60</v>
      </c>
      <c r="J325" s="12" t="s">
        <v>91</v>
      </c>
      <c r="K325" s="17" t="s">
        <v>1121</v>
      </c>
    </row>
    <row r="326" spans="1:11">
      <c r="A326" s="11" t="s">
        <v>104</v>
      </c>
      <c r="B326" s="12" t="s">
        <v>98</v>
      </c>
      <c r="C326" s="12" t="s">
        <v>64</v>
      </c>
      <c r="D326" s="12" t="s">
        <v>65</v>
      </c>
      <c r="E326" s="12">
        <v>63</v>
      </c>
      <c r="F326" s="13">
        <v>42387</v>
      </c>
      <c r="G326" s="14">
        <v>180994</v>
      </c>
      <c r="H326" s="15">
        <v>0.39</v>
      </c>
      <c r="I326" s="12" t="s">
        <v>60</v>
      </c>
      <c r="J326" s="12" t="s">
        <v>61</v>
      </c>
      <c r="K326" s="17" t="s">
        <v>1121</v>
      </c>
    </row>
    <row r="327" spans="1:11">
      <c r="A327" s="11" t="s">
        <v>132</v>
      </c>
      <c r="B327" s="12" t="s">
        <v>70</v>
      </c>
      <c r="C327" s="12" t="s">
        <v>57</v>
      </c>
      <c r="D327" s="12" t="s">
        <v>58</v>
      </c>
      <c r="E327" s="12">
        <v>55</v>
      </c>
      <c r="F327" s="13">
        <v>39418</v>
      </c>
      <c r="G327" s="14">
        <v>64494</v>
      </c>
      <c r="H327" s="15">
        <v>0</v>
      </c>
      <c r="I327" s="12" t="s">
        <v>60</v>
      </c>
      <c r="J327" s="12" t="s">
        <v>110</v>
      </c>
      <c r="K327" s="17" t="s">
        <v>1121</v>
      </c>
    </row>
    <row r="328" spans="1:11">
      <c r="A328" s="11" t="s">
        <v>81</v>
      </c>
      <c r="B328" s="12" t="s">
        <v>82</v>
      </c>
      <c r="C328" s="12" t="s">
        <v>64</v>
      </c>
      <c r="D328" s="12" t="s">
        <v>65</v>
      </c>
      <c r="E328" s="12">
        <v>47</v>
      </c>
      <c r="F328" s="13">
        <v>37550</v>
      </c>
      <c r="G328" s="14">
        <v>70122</v>
      </c>
      <c r="H328" s="15">
        <v>0</v>
      </c>
      <c r="I328" s="12" t="s">
        <v>60</v>
      </c>
      <c r="J328" s="12" t="s">
        <v>110</v>
      </c>
      <c r="K328" s="17" t="s">
        <v>1121</v>
      </c>
    </row>
    <row r="329" spans="1:11">
      <c r="A329" s="11" t="s">
        <v>69</v>
      </c>
      <c r="B329" s="12" t="s">
        <v>90</v>
      </c>
      <c r="C329" s="12" t="s">
        <v>64</v>
      </c>
      <c r="D329" s="12" t="s">
        <v>65</v>
      </c>
      <c r="E329" s="12">
        <v>29</v>
      </c>
      <c r="F329" s="13">
        <v>42785</v>
      </c>
      <c r="G329" s="14">
        <v>181854</v>
      </c>
      <c r="H329" s="15">
        <v>0.29</v>
      </c>
      <c r="I329" s="12" t="s">
        <v>60</v>
      </c>
      <c r="J329" s="12" t="s">
        <v>61</v>
      </c>
      <c r="K329" s="17">
        <v>43945</v>
      </c>
    </row>
    <row r="330" spans="1:11">
      <c r="A330" s="11" t="s">
        <v>166</v>
      </c>
      <c r="B330" s="12" t="s">
        <v>94</v>
      </c>
      <c r="C330" s="12" t="s">
        <v>71</v>
      </c>
      <c r="D330" s="12" t="s">
        <v>58</v>
      </c>
      <c r="E330" s="12">
        <v>34</v>
      </c>
      <c r="F330" s="13">
        <v>42664</v>
      </c>
      <c r="G330" s="14">
        <v>52811</v>
      </c>
      <c r="H330" s="15">
        <v>0</v>
      </c>
      <c r="I330" s="12" t="s">
        <v>60</v>
      </c>
      <c r="J330" s="12" t="s">
        <v>88</v>
      </c>
      <c r="K330" s="17" t="s">
        <v>1121</v>
      </c>
    </row>
    <row r="331" spans="1:11">
      <c r="A331" s="11" t="s">
        <v>244</v>
      </c>
      <c r="B331" s="12" t="s">
        <v>56</v>
      </c>
      <c r="C331" s="12" t="s">
        <v>57</v>
      </c>
      <c r="D331" s="12" t="s">
        <v>58</v>
      </c>
      <c r="E331" s="12">
        <v>28</v>
      </c>
      <c r="F331" s="13">
        <v>43763</v>
      </c>
      <c r="G331" s="14">
        <v>50111</v>
      </c>
      <c r="H331" s="15">
        <v>0</v>
      </c>
      <c r="I331" s="12" t="s">
        <v>66</v>
      </c>
      <c r="J331" s="12" t="s">
        <v>138</v>
      </c>
      <c r="K331" s="17" t="s">
        <v>1121</v>
      </c>
    </row>
    <row r="332" spans="1:11">
      <c r="A332" s="11" t="s">
        <v>326</v>
      </c>
      <c r="B332" s="12" t="s">
        <v>56</v>
      </c>
      <c r="C332" s="12" t="s">
        <v>64</v>
      </c>
      <c r="D332" s="12" t="s">
        <v>65</v>
      </c>
      <c r="E332" s="12">
        <v>31</v>
      </c>
      <c r="F332" s="13">
        <v>42497</v>
      </c>
      <c r="G332" s="14">
        <v>71192</v>
      </c>
      <c r="H332" s="15">
        <v>0</v>
      </c>
      <c r="I332" s="12" t="s">
        <v>60</v>
      </c>
      <c r="J332" s="12" t="s">
        <v>91</v>
      </c>
      <c r="K332" s="17" t="s">
        <v>1121</v>
      </c>
    </row>
    <row r="333" spans="1:11">
      <c r="A333" s="11" t="s">
        <v>69</v>
      </c>
      <c r="B333" s="12" t="s">
        <v>82</v>
      </c>
      <c r="C333" s="12" t="s">
        <v>64</v>
      </c>
      <c r="D333" s="12" t="s">
        <v>58</v>
      </c>
      <c r="E333" s="12">
        <v>50</v>
      </c>
      <c r="F333" s="13">
        <v>43452</v>
      </c>
      <c r="G333" s="14">
        <v>155351</v>
      </c>
      <c r="H333" s="15">
        <v>0.2</v>
      </c>
      <c r="I333" s="12" t="s">
        <v>60</v>
      </c>
      <c r="J333" s="12" t="s">
        <v>61</v>
      </c>
      <c r="K333" s="17" t="s">
        <v>1121</v>
      </c>
    </row>
    <row r="334" spans="1:11">
      <c r="A334" s="11" t="s">
        <v>69</v>
      </c>
      <c r="B334" s="12" t="s">
        <v>94</v>
      </c>
      <c r="C334" s="12" t="s">
        <v>71</v>
      </c>
      <c r="D334" s="12" t="s">
        <v>65</v>
      </c>
      <c r="E334" s="12">
        <v>39</v>
      </c>
      <c r="F334" s="13">
        <v>39049</v>
      </c>
      <c r="G334" s="14">
        <v>161690</v>
      </c>
      <c r="H334" s="15">
        <v>0.29</v>
      </c>
      <c r="I334" s="12" t="s">
        <v>66</v>
      </c>
      <c r="J334" s="12" t="s">
        <v>126</v>
      </c>
      <c r="K334" s="17" t="s">
        <v>1121</v>
      </c>
    </row>
    <row r="335" spans="1:11">
      <c r="A335" s="11" t="s">
        <v>216</v>
      </c>
      <c r="B335" s="12" t="s">
        <v>98</v>
      </c>
      <c r="C335" s="12" t="s">
        <v>71</v>
      </c>
      <c r="D335" s="12" t="s">
        <v>58</v>
      </c>
      <c r="E335" s="12">
        <v>35</v>
      </c>
      <c r="F335" s="13">
        <v>42776</v>
      </c>
      <c r="G335" s="14">
        <v>60132</v>
      </c>
      <c r="H335" s="15">
        <v>0</v>
      </c>
      <c r="I335" s="12" t="s">
        <v>66</v>
      </c>
      <c r="J335" s="12" t="s">
        <v>67</v>
      </c>
      <c r="K335" s="17" t="s">
        <v>1121</v>
      </c>
    </row>
    <row r="336" spans="1:11">
      <c r="A336" s="11" t="s">
        <v>200</v>
      </c>
      <c r="B336" s="12" t="s">
        <v>56</v>
      </c>
      <c r="C336" s="12" t="s">
        <v>64</v>
      </c>
      <c r="D336" s="12" t="s">
        <v>65</v>
      </c>
      <c r="E336" s="12">
        <v>54</v>
      </c>
      <c r="F336" s="13">
        <v>34631</v>
      </c>
      <c r="G336" s="14">
        <v>87216</v>
      </c>
      <c r="H336" s="15">
        <v>0</v>
      </c>
      <c r="I336" s="12" t="s">
        <v>60</v>
      </c>
      <c r="J336" s="12" t="s">
        <v>88</v>
      </c>
      <c r="K336" s="17" t="s">
        <v>1121</v>
      </c>
    </row>
    <row r="337" spans="1:11">
      <c r="A337" s="11" t="s">
        <v>244</v>
      </c>
      <c r="B337" s="12" t="s">
        <v>56</v>
      </c>
      <c r="C337" s="12" t="s">
        <v>83</v>
      </c>
      <c r="D337" s="12" t="s">
        <v>65</v>
      </c>
      <c r="E337" s="12">
        <v>47</v>
      </c>
      <c r="F337" s="13">
        <v>43944</v>
      </c>
      <c r="G337" s="14">
        <v>50069</v>
      </c>
      <c r="H337" s="15">
        <v>0</v>
      </c>
      <c r="I337" s="12" t="s">
        <v>60</v>
      </c>
      <c r="J337" s="12" t="s">
        <v>61</v>
      </c>
      <c r="K337" s="17" t="s">
        <v>1121</v>
      </c>
    </row>
    <row r="338" spans="1:11">
      <c r="A338" s="11" t="s">
        <v>69</v>
      </c>
      <c r="B338" s="12" t="s">
        <v>56</v>
      </c>
      <c r="C338" s="12" t="s">
        <v>71</v>
      </c>
      <c r="D338" s="12" t="s">
        <v>58</v>
      </c>
      <c r="E338" s="12">
        <v>26</v>
      </c>
      <c r="F338" s="13">
        <v>44403</v>
      </c>
      <c r="G338" s="14">
        <v>151108</v>
      </c>
      <c r="H338" s="15">
        <v>0.22</v>
      </c>
      <c r="I338" s="12" t="s">
        <v>60</v>
      </c>
      <c r="J338" s="12" t="s">
        <v>79</v>
      </c>
      <c r="K338" s="17" t="s">
        <v>1121</v>
      </c>
    </row>
    <row r="339" spans="1:11">
      <c r="A339" s="11" t="s">
        <v>75</v>
      </c>
      <c r="B339" s="12" t="s">
        <v>56</v>
      </c>
      <c r="C339" s="12" t="s">
        <v>64</v>
      </c>
      <c r="D339" s="12" t="s">
        <v>58</v>
      </c>
      <c r="E339" s="12">
        <v>42</v>
      </c>
      <c r="F339" s="13">
        <v>38640</v>
      </c>
      <c r="G339" s="14">
        <v>67398</v>
      </c>
      <c r="H339" s="15">
        <v>0.07</v>
      </c>
      <c r="I339" s="12" t="s">
        <v>60</v>
      </c>
      <c r="J339" s="12" t="s">
        <v>79</v>
      </c>
      <c r="K339" s="17" t="s">
        <v>1121</v>
      </c>
    </row>
    <row r="340" spans="1:11">
      <c r="A340" s="11" t="s">
        <v>216</v>
      </c>
      <c r="B340" s="12" t="s">
        <v>98</v>
      </c>
      <c r="C340" s="12" t="s">
        <v>57</v>
      </c>
      <c r="D340" s="12" t="s">
        <v>58</v>
      </c>
      <c r="E340" s="12">
        <v>47</v>
      </c>
      <c r="F340" s="13">
        <v>42245</v>
      </c>
      <c r="G340" s="14">
        <v>68488</v>
      </c>
      <c r="H340" s="15">
        <v>0</v>
      </c>
      <c r="I340" s="12" t="s">
        <v>60</v>
      </c>
      <c r="J340" s="12" t="s">
        <v>61</v>
      </c>
      <c r="K340" s="17" t="s">
        <v>1121</v>
      </c>
    </row>
    <row r="341" spans="1:11">
      <c r="A341" s="11" t="s">
        <v>122</v>
      </c>
      <c r="B341" s="12" t="s">
        <v>98</v>
      </c>
      <c r="C341" s="12" t="s">
        <v>64</v>
      </c>
      <c r="D341" s="12" t="s">
        <v>58</v>
      </c>
      <c r="E341" s="12">
        <v>60</v>
      </c>
      <c r="F341" s="13">
        <v>35992</v>
      </c>
      <c r="G341" s="14">
        <v>92932</v>
      </c>
      <c r="H341" s="15">
        <v>0</v>
      </c>
      <c r="I341" s="12" t="s">
        <v>60</v>
      </c>
      <c r="J341" s="12" t="s">
        <v>110</v>
      </c>
      <c r="K341" s="17" t="s">
        <v>1121</v>
      </c>
    </row>
    <row r="342" spans="1:11">
      <c r="A342" s="11" t="s">
        <v>87</v>
      </c>
      <c r="B342" s="12" t="s">
        <v>70</v>
      </c>
      <c r="C342" s="12" t="s">
        <v>83</v>
      </c>
      <c r="D342" s="12" t="s">
        <v>58</v>
      </c>
      <c r="E342" s="12">
        <v>36</v>
      </c>
      <c r="F342" s="13">
        <v>39994</v>
      </c>
      <c r="G342" s="14">
        <v>43363</v>
      </c>
      <c r="H342" s="15">
        <v>0</v>
      </c>
      <c r="I342" s="12" t="s">
        <v>60</v>
      </c>
      <c r="J342" s="12" t="s">
        <v>91</v>
      </c>
      <c r="K342" s="17" t="s">
        <v>1121</v>
      </c>
    </row>
    <row r="343" spans="1:11">
      <c r="A343" s="11" t="s">
        <v>314</v>
      </c>
      <c r="B343" s="12" t="s">
        <v>56</v>
      </c>
      <c r="C343" s="12" t="s">
        <v>71</v>
      </c>
      <c r="D343" s="12" t="s">
        <v>65</v>
      </c>
      <c r="E343" s="12">
        <v>31</v>
      </c>
      <c r="F343" s="13">
        <v>42780</v>
      </c>
      <c r="G343" s="14">
        <v>95963</v>
      </c>
      <c r="H343" s="15">
        <v>0</v>
      </c>
      <c r="I343" s="12" t="s">
        <v>66</v>
      </c>
      <c r="J343" s="12" t="s">
        <v>138</v>
      </c>
      <c r="K343" s="17" t="s">
        <v>1121</v>
      </c>
    </row>
    <row r="344" spans="1:11">
      <c r="A344" s="11" t="s">
        <v>85</v>
      </c>
      <c r="B344" s="12" t="s">
        <v>70</v>
      </c>
      <c r="C344" s="12" t="s">
        <v>71</v>
      </c>
      <c r="D344" s="12" t="s">
        <v>58</v>
      </c>
      <c r="E344" s="12">
        <v>55</v>
      </c>
      <c r="F344" s="13">
        <v>40297</v>
      </c>
      <c r="G344" s="14">
        <v>111038</v>
      </c>
      <c r="H344" s="15">
        <v>0.05</v>
      </c>
      <c r="I344" s="12" t="s">
        <v>113</v>
      </c>
      <c r="J344" s="12" t="s">
        <v>184</v>
      </c>
      <c r="K344" s="17" t="s">
        <v>1121</v>
      </c>
    </row>
    <row r="345" spans="1:11">
      <c r="A345" s="11" t="s">
        <v>104</v>
      </c>
      <c r="B345" s="12" t="s">
        <v>98</v>
      </c>
      <c r="C345" s="12" t="s">
        <v>57</v>
      </c>
      <c r="D345" s="12" t="s">
        <v>58</v>
      </c>
      <c r="E345" s="12">
        <v>51</v>
      </c>
      <c r="F345" s="13">
        <v>35230</v>
      </c>
      <c r="G345" s="14">
        <v>200246</v>
      </c>
      <c r="H345" s="15">
        <v>0.34</v>
      </c>
      <c r="I345" s="12" t="s">
        <v>60</v>
      </c>
      <c r="J345" s="12" t="s">
        <v>110</v>
      </c>
      <c r="K345" s="17" t="s">
        <v>1121</v>
      </c>
    </row>
    <row r="346" spans="1:11">
      <c r="A346" s="11" t="s">
        <v>104</v>
      </c>
      <c r="B346" s="12" t="s">
        <v>56</v>
      </c>
      <c r="C346" s="12" t="s">
        <v>83</v>
      </c>
      <c r="D346" s="12" t="s">
        <v>58</v>
      </c>
      <c r="E346" s="12">
        <v>48</v>
      </c>
      <c r="F346" s="13">
        <v>42053</v>
      </c>
      <c r="G346" s="14">
        <v>194871</v>
      </c>
      <c r="H346" s="15">
        <v>0.35</v>
      </c>
      <c r="I346" s="12" t="s">
        <v>60</v>
      </c>
      <c r="J346" s="12" t="s">
        <v>110</v>
      </c>
      <c r="K346" s="17" t="s">
        <v>1121</v>
      </c>
    </row>
    <row r="347" spans="1:11">
      <c r="A347" s="11" t="s">
        <v>78</v>
      </c>
      <c r="B347" s="12" t="s">
        <v>90</v>
      </c>
      <c r="C347" s="12" t="s">
        <v>57</v>
      </c>
      <c r="D347" s="12" t="s">
        <v>65</v>
      </c>
      <c r="E347" s="12">
        <v>58</v>
      </c>
      <c r="F347" s="13">
        <v>34592</v>
      </c>
      <c r="G347" s="14">
        <v>98769</v>
      </c>
      <c r="H347" s="15">
        <v>0</v>
      </c>
      <c r="I347" s="12" t="s">
        <v>113</v>
      </c>
      <c r="J347" s="12" t="s">
        <v>117</v>
      </c>
      <c r="K347" s="17">
        <v>42646</v>
      </c>
    </row>
    <row r="348" spans="1:11">
      <c r="A348" s="11" t="s">
        <v>81</v>
      </c>
      <c r="B348" s="12" t="s">
        <v>82</v>
      </c>
      <c r="C348" s="12" t="s">
        <v>57</v>
      </c>
      <c r="D348" s="12" t="s">
        <v>58</v>
      </c>
      <c r="E348" s="12">
        <v>29</v>
      </c>
      <c r="F348" s="13">
        <v>43239</v>
      </c>
      <c r="G348" s="14">
        <v>65334</v>
      </c>
      <c r="H348" s="15">
        <v>0</v>
      </c>
      <c r="I348" s="12" t="s">
        <v>113</v>
      </c>
      <c r="J348" s="12" t="s">
        <v>117</v>
      </c>
      <c r="K348" s="17" t="s">
        <v>1121</v>
      </c>
    </row>
    <row r="349" spans="1:11">
      <c r="A349" s="11" t="s">
        <v>63</v>
      </c>
      <c r="B349" s="12" t="s">
        <v>56</v>
      </c>
      <c r="C349" s="12" t="s">
        <v>64</v>
      </c>
      <c r="D349" s="12" t="s">
        <v>58</v>
      </c>
      <c r="E349" s="12">
        <v>25</v>
      </c>
      <c r="F349" s="13">
        <v>44327</v>
      </c>
      <c r="G349" s="14">
        <v>83934</v>
      </c>
      <c r="H349" s="15">
        <v>0</v>
      </c>
      <c r="I349" s="12" t="s">
        <v>60</v>
      </c>
      <c r="J349" s="12" t="s">
        <v>88</v>
      </c>
      <c r="K349" s="17" t="s">
        <v>1121</v>
      </c>
    </row>
    <row r="350" spans="1:11">
      <c r="A350" s="11" t="s">
        <v>69</v>
      </c>
      <c r="B350" s="12" t="s">
        <v>90</v>
      </c>
      <c r="C350" s="12" t="s">
        <v>57</v>
      </c>
      <c r="D350" s="12" t="s">
        <v>65</v>
      </c>
      <c r="E350" s="12">
        <v>36</v>
      </c>
      <c r="F350" s="13">
        <v>42616</v>
      </c>
      <c r="G350" s="14">
        <v>150399</v>
      </c>
      <c r="H350" s="15">
        <v>0.28</v>
      </c>
      <c r="I350" s="12" t="s">
        <v>60</v>
      </c>
      <c r="J350" s="12" t="s">
        <v>73</v>
      </c>
      <c r="K350" s="17" t="s">
        <v>1121</v>
      </c>
    </row>
    <row r="351" spans="1:11">
      <c r="A351" s="11" t="s">
        <v>69</v>
      </c>
      <c r="B351" s="12" t="s">
        <v>94</v>
      </c>
      <c r="C351" s="12" t="s">
        <v>57</v>
      </c>
      <c r="D351" s="12" t="s">
        <v>65</v>
      </c>
      <c r="E351" s="12">
        <v>37</v>
      </c>
      <c r="F351" s="13">
        <v>41048</v>
      </c>
      <c r="G351" s="14">
        <v>160280</v>
      </c>
      <c r="H351" s="15">
        <v>0.19</v>
      </c>
      <c r="I351" s="12" t="s">
        <v>66</v>
      </c>
      <c r="J351" s="12" t="s">
        <v>126</v>
      </c>
      <c r="K351" s="17" t="s">
        <v>1121</v>
      </c>
    </row>
    <row r="352" spans="1:11">
      <c r="A352" s="11" t="s">
        <v>166</v>
      </c>
      <c r="B352" s="12" t="s">
        <v>94</v>
      </c>
      <c r="C352" s="12" t="s">
        <v>71</v>
      </c>
      <c r="D352" s="12" t="s">
        <v>65</v>
      </c>
      <c r="E352" s="12">
        <v>57</v>
      </c>
      <c r="F352" s="13">
        <v>35548</v>
      </c>
      <c r="G352" s="14">
        <v>54051</v>
      </c>
      <c r="H352" s="15">
        <v>0</v>
      </c>
      <c r="I352" s="12" t="s">
        <v>60</v>
      </c>
      <c r="J352" s="12" t="s">
        <v>88</v>
      </c>
      <c r="K352" s="17">
        <v>36079</v>
      </c>
    </row>
    <row r="353" spans="1:11">
      <c r="A353" s="11" t="s">
        <v>69</v>
      </c>
      <c r="B353" s="12" t="s">
        <v>98</v>
      </c>
      <c r="C353" s="12" t="s">
        <v>57</v>
      </c>
      <c r="D353" s="12" t="s">
        <v>58</v>
      </c>
      <c r="E353" s="12">
        <v>59</v>
      </c>
      <c r="F353" s="13">
        <v>37726</v>
      </c>
      <c r="G353" s="14">
        <v>150699</v>
      </c>
      <c r="H353" s="15">
        <v>0.29</v>
      </c>
      <c r="I353" s="12" t="s">
        <v>113</v>
      </c>
      <c r="J353" s="12" t="s">
        <v>184</v>
      </c>
      <c r="K353" s="17" t="s">
        <v>1121</v>
      </c>
    </row>
    <row r="354" spans="1:11">
      <c r="A354" s="11" t="s">
        <v>132</v>
      </c>
      <c r="B354" s="12" t="s">
        <v>105</v>
      </c>
      <c r="C354" s="12" t="s">
        <v>71</v>
      </c>
      <c r="D354" s="12" t="s">
        <v>65</v>
      </c>
      <c r="E354" s="12">
        <v>37</v>
      </c>
      <c r="F354" s="13">
        <v>41363</v>
      </c>
      <c r="G354" s="14">
        <v>69570</v>
      </c>
      <c r="H354" s="15">
        <v>0</v>
      </c>
      <c r="I354" s="12" t="s">
        <v>60</v>
      </c>
      <c r="J354" s="12" t="s">
        <v>88</v>
      </c>
      <c r="K354" s="17" t="s">
        <v>1121</v>
      </c>
    </row>
    <row r="355" spans="1:11">
      <c r="A355" s="11" t="s">
        <v>314</v>
      </c>
      <c r="B355" s="12" t="s">
        <v>56</v>
      </c>
      <c r="C355" s="12" t="s">
        <v>64</v>
      </c>
      <c r="D355" s="12" t="s">
        <v>58</v>
      </c>
      <c r="E355" s="12">
        <v>30</v>
      </c>
      <c r="F355" s="13">
        <v>43553</v>
      </c>
      <c r="G355" s="14">
        <v>86774</v>
      </c>
      <c r="H355" s="15">
        <v>0</v>
      </c>
      <c r="I355" s="12" t="s">
        <v>66</v>
      </c>
      <c r="J355" s="12" t="s">
        <v>138</v>
      </c>
      <c r="K355" s="17" t="s">
        <v>1121</v>
      </c>
    </row>
    <row r="356" spans="1:11">
      <c r="A356" s="11" t="s">
        <v>154</v>
      </c>
      <c r="B356" s="12" t="s">
        <v>94</v>
      </c>
      <c r="C356" s="12" t="s">
        <v>64</v>
      </c>
      <c r="D356" s="12" t="s">
        <v>65</v>
      </c>
      <c r="E356" s="12">
        <v>49</v>
      </c>
      <c r="F356" s="13">
        <v>36979</v>
      </c>
      <c r="G356" s="14">
        <v>57606</v>
      </c>
      <c r="H356" s="15">
        <v>0</v>
      </c>
      <c r="I356" s="12" t="s">
        <v>60</v>
      </c>
      <c r="J356" s="12" t="s">
        <v>88</v>
      </c>
      <c r="K356" s="17" t="s">
        <v>1121</v>
      </c>
    </row>
    <row r="357" spans="1:11">
      <c r="A357" s="11" t="s">
        <v>55</v>
      </c>
      <c r="B357" s="12" t="s">
        <v>70</v>
      </c>
      <c r="C357" s="12" t="s">
        <v>83</v>
      </c>
      <c r="D357" s="12" t="s">
        <v>58</v>
      </c>
      <c r="E357" s="12">
        <v>48</v>
      </c>
      <c r="F357" s="13">
        <v>37144</v>
      </c>
      <c r="G357" s="14">
        <v>125730</v>
      </c>
      <c r="H357" s="15">
        <v>0.11</v>
      </c>
      <c r="I357" s="12" t="s">
        <v>66</v>
      </c>
      <c r="J357" s="12" t="s">
        <v>67</v>
      </c>
      <c r="K357" s="17" t="s">
        <v>1121</v>
      </c>
    </row>
    <row r="358" spans="1:11">
      <c r="A358" s="11" t="s">
        <v>228</v>
      </c>
      <c r="B358" s="12" t="s">
        <v>56</v>
      </c>
      <c r="C358" s="12" t="s">
        <v>57</v>
      </c>
      <c r="D358" s="12" t="s">
        <v>58</v>
      </c>
      <c r="E358" s="12">
        <v>51</v>
      </c>
      <c r="F358" s="13">
        <v>40964</v>
      </c>
      <c r="G358" s="14">
        <v>64170</v>
      </c>
      <c r="H358" s="15">
        <v>0</v>
      </c>
      <c r="I358" s="12" t="s">
        <v>60</v>
      </c>
      <c r="J358" s="12" t="s">
        <v>110</v>
      </c>
      <c r="K358" s="17" t="s">
        <v>1121</v>
      </c>
    </row>
    <row r="359" spans="1:11">
      <c r="A359" s="11" t="s">
        <v>143</v>
      </c>
      <c r="B359" s="12" t="s">
        <v>94</v>
      </c>
      <c r="C359" s="12" t="s">
        <v>71</v>
      </c>
      <c r="D359" s="12" t="s">
        <v>65</v>
      </c>
      <c r="E359" s="12">
        <v>56</v>
      </c>
      <c r="F359" s="13">
        <v>35816</v>
      </c>
      <c r="G359" s="14">
        <v>72303</v>
      </c>
      <c r="H359" s="15">
        <v>0</v>
      </c>
      <c r="I359" s="12" t="s">
        <v>60</v>
      </c>
      <c r="J359" s="12" t="s">
        <v>79</v>
      </c>
      <c r="K359" s="17" t="s">
        <v>1121</v>
      </c>
    </row>
    <row r="360" spans="1:11">
      <c r="A360" s="11" t="s">
        <v>85</v>
      </c>
      <c r="B360" s="12" t="s">
        <v>82</v>
      </c>
      <c r="C360" s="12" t="s">
        <v>57</v>
      </c>
      <c r="D360" s="12" t="s">
        <v>65</v>
      </c>
      <c r="E360" s="12">
        <v>36</v>
      </c>
      <c r="F360" s="13">
        <v>41116</v>
      </c>
      <c r="G360" s="14">
        <v>105891</v>
      </c>
      <c r="H360" s="15">
        <v>0.07</v>
      </c>
      <c r="I360" s="12" t="s">
        <v>60</v>
      </c>
      <c r="J360" s="12" t="s">
        <v>61</v>
      </c>
      <c r="K360" s="17" t="s">
        <v>1121</v>
      </c>
    </row>
    <row r="361" spans="1:11">
      <c r="A361" s="11" t="s">
        <v>104</v>
      </c>
      <c r="B361" s="12" t="s">
        <v>105</v>
      </c>
      <c r="C361" s="12" t="s">
        <v>71</v>
      </c>
      <c r="D361" s="12" t="s">
        <v>65</v>
      </c>
      <c r="E361" s="12">
        <v>38</v>
      </c>
      <c r="F361" s="13">
        <v>44433</v>
      </c>
      <c r="G361" s="14">
        <v>255230</v>
      </c>
      <c r="H361" s="15">
        <v>0.36</v>
      </c>
      <c r="I361" s="12" t="s">
        <v>60</v>
      </c>
      <c r="J361" s="12" t="s">
        <v>91</v>
      </c>
      <c r="K361" s="17" t="s">
        <v>1121</v>
      </c>
    </row>
    <row r="362" spans="1:11">
      <c r="A362" s="11" t="s">
        <v>132</v>
      </c>
      <c r="B362" s="12" t="s">
        <v>82</v>
      </c>
      <c r="C362" s="12" t="s">
        <v>64</v>
      </c>
      <c r="D362" s="12" t="s">
        <v>58</v>
      </c>
      <c r="E362" s="12">
        <v>56</v>
      </c>
      <c r="F362" s="13">
        <v>33770</v>
      </c>
      <c r="G362" s="14">
        <v>59591</v>
      </c>
      <c r="H362" s="15">
        <v>0</v>
      </c>
      <c r="I362" s="12" t="s">
        <v>113</v>
      </c>
      <c r="J362" s="12" t="s">
        <v>184</v>
      </c>
      <c r="K362" s="17" t="s">
        <v>1121</v>
      </c>
    </row>
    <row r="363" spans="1:11">
      <c r="A363" s="11" t="s">
        <v>104</v>
      </c>
      <c r="B363" s="12" t="s">
        <v>94</v>
      </c>
      <c r="C363" s="12" t="s">
        <v>64</v>
      </c>
      <c r="D363" s="12" t="s">
        <v>58</v>
      </c>
      <c r="E363" s="12">
        <v>52</v>
      </c>
      <c r="F363" s="13">
        <v>41113</v>
      </c>
      <c r="G363" s="14">
        <v>187048</v>
      </c>
      <c r="H363" s="15">
        <v>0.32</v>
      </c>
      <c r="I363" s="12" t="s">
        <v>66</v>
      </c>
      <c r="J363" s="12" t="s">
        <v>138</v>
      </c>
      <c r="K363" s="17" t="s">
        <v>1121</v>
      </c>
    </row>
    <row r="364" spans="1:11">
      <c r="A364" s="11" t="s">
        <v>132</v>
      </c>
      <c r="B364" s="12" t="s">
        <v>70</v>
      </c>
      <c r="C364" s="12" t="s">
        <v>71</v>
      </c>
      <c r="D364" s="12" t="s">
        <v>58</v>
      </c>
      <c r="E364" s="12">
        <v>53</v>
      </c>
      <c r="F364" s="13">
        <v>37296</v>
      </c>
      <c r="G364" s="14">
        <v>58605</v>
      </c>
      <c r="H364" s="15">
        <v>0</v>
      </c>
      <c r="I364" s="12" t="s">
        <v>60</v>
      </c>
      <c r="J364" s="12" t="s">
        <v>79</v>
      </c>
      <c r="K364" s="17" t="s">
        <v>1121</v>
      </c>
    </row>
    <row r="365" spans="1:11">
      <c r="A365" s="11" t="s">
        <v>69</v>
      </c>
      <c r="B365" s="12" t="s">
        <v>98</v>
      </c>
      <c r="C365" s="12" t="s">
        <v>83</v>
      </c>
      <c r="D365" s="12" t="s">
        <v>58</v>
      </c>
      <c r="E365" s="12">
        <v>60</v>
      </c>
      <c r="F365" s="13">
        <v>42739</v>
      </c>
      <c r="G365" s="14">
        <v>178502</v>
      </c>
      <c r="H365" s="15">
        <v>0.2</v>
      </c>
      <c r="I365" s="12" t="s">
        <v>60</v>
      </c>
      <c r="J365" s="12" t="s">
        <v>91</v>
      </c>
      <c r="K365" s="17" t="s">
        <v>1121</v>
      </c>
    </row>
    <row r="366" spans="1:11">
      <c r="A366" s="11" t="s">
        <v>85</v>
      </c>
      <c r="B366" s="12" t="s">
        <v>90</v>
      </c>
      <c r="C366" s="12" t="s">
        <v>71</v>
      </c>
      <c r="D366" s="12" t="s">
        <v>65</v>
      </c>
      <c r="E366" s="12">
        <v>63</v>
      </c>
      <c r="F366" s="13">
        <v>42214</v>
      </c>
      <c r="G366" s="14">
        <v>103724</v>
      </c>
      <c r="H366" s="15">
        <v>0.05</v>
      </c>
      <c r="I366" s="12" t="s">
        <v>66</v>
      </c>
      <c r="J366" s="12" t="s">
        <v>101</v>
      </c>
      <c r="K366" s="17" t="s">
        <v>1121</v>
      </c>
    </row>
    <row r="367" spans="1:11">
      <c r="A367" s="11" t="s">
        <v>69</v>
      </c>
      <c r="B367" s="12" t="s">
        <v>98</v>
      </c>
      <c r="C367" s="12" t="s">
        <v>57</v>
      </c>
      <c r="D367" s="12" t="s">
        <v>58</v>
      </c>
      <c r="E367" s="12">
        <v>37</v>
      </c>
      <c r="F367" s="13">
        <v>39528</v>
      </c>
      <c r="G367" s="14">
        <v>156277</v>
      </c>
      <c r="H367" s="15">
        <v>0.22</v>
      </c>
      <c r="I367" s="12" t="s">
        <v>113</v>
      </c>
      <c r="J367" s="12" t="s">
        <v>114</v>
      </c>
      <c r="K367" s="17" t="s">
        <v>1121</v>
      </c>
    </row>
    <row r="368" spans="1:11">
      <c r="A368" s="11" t="s">
        <v>160</v>
      </c>
      <c r="B368" s="12" t="s">
        <v>98</v>
      </c>
      <c r="C368" s="12" t="s">
        <v>57</v>
      </c>
      <c r="D368" s="12" t="s">
        <v>58</v>
      </c>
      <c r="E368" s="12">
        <v>30</v>
      </c>
      <c r="F368" s="13">
        <v>43086</v>
      </c>
      <c r="G368" s="14">
        <v>87744</v>
      </c>
      <c r="H368" s="15">
        <v>0</v>
      </c>
      <c r="I368" s="12" t="s">
        <v>113</v>
      </c>
      <c r="J368" s="12" t="s">
        <v>184</v>
      </c>
      <c r="K368" s="17" t="s">
        <v>1121</v>
      </c>
    </row>
    <row r="369" spans="1:11">
      <c r="A369" s="11" t="s">
        <v>132</v>
      </c>
      <c r="B369" s="12" t="s">
        <v>70</v>
      </c>
      <c r="C369" s="12" t="s">
        <v>64</v>
      </c>
      <c r="D369" s="12" t="s">
        <v>65</v>
      </c>
      <c r="E369" s="12">
        <v>30</v>
      </c>
      <c r="F369" s="13">
        <v>43542</v>
      </c>
      <c r="G369" s="14">
        <v>54714</v>
      </c>
      <c r="H369" s="15">
        <v>0</v>
      </c>
      <c r="I369" s="12" t="s">
        <v>60</v>
      </c>
      <c r="J369" s="12" t="s">
        <v>110</v>
      </c>
      <c r="K369" s="17" t="s">
        <v>1121</v>
      </c>
    </row>
    <row r="370" spans="1:11">
      <c r="A370" s="11" t="s">
        <v>136</v>
      </c>
      <c r="B370" s="12" t="s">
        <v>56</v>
      </c>
      <c r="C370" s="12" t="s">
        <v>83</v>
      </c>
      <c r="D370" s="12" t="s">
        <v>58</v>
      </c>
      <c r="E370" s="12">
        <v>45</v>
      </c>
      <c r="F370" s="13">
        <v>41511</v>
      </c>
      <c r="G370" s="14">
        <v>99169</v>
      </c>
      <c r="H370" s="15">
        <v>0</v>
      </c>
      <c r="I370" s="12" t="s">
        <v>66</v>
      </c>
      <c r="J370" s="12" t="s">
        <v>126</v>
      </c>
      <c r="K370" s="17" t="s">
        <v>1121</v>
      </c>
    </row>
    <row r="371" spans="1:11">
      <c r="A371" s="11" t="s">
        <v>55</v>
      </c>
      <c r="B371" s="12" t="s">
        <v>90</v>
      </c>
      <c r="C371" s="12" t="s">
        <v>57</v>
      </c>
      <c r="D371" s="12" t="s">
        <v>58</v>
      </c>
      <c r="E371" s="12">
        <v>55</v>
      </c>
      <c r="F371" s="13">
        <v>38888</v>
      </c>
      <c r="G371" s="14">
        <v>142628</v>
      </c>
      <c r="H371" s="15">
        <v>0.12</v>
      </c>
      <c r="I371" s="12" t="s">
        <v>66</v>
      </c>
      <c r="J371" s="12" t="s">
        <v>67</v>
      </c>
      <c r="K371" s="17" t="s">
        <v>1121</v>
      </c>
    </row>
    <row r="372" spans="1:11">
      <c r="A372" s="11" t="s">
        <v>78</v>
      </c>
      <c r="B372" s="12" t="s">
        <v>105</v>
      </c>
      <c r="C372" s="12" t="s">
        <v>64</v>
      </c>
      <c r="D372" s="12" t="s">
        <v>58</v>
      </c>
      <c r="E372" s="12">
        <v>33</v>
      </c>
      <c r="F372" s="13">
        <v>41756</v>
      </c>
      <c r="G372" s="14">
        <v>75869</v>
      </c>
      <c r="H372" s="15">
        <v>0</v>
      </c>
      <c r="I372" s="12" t="s">
        <v>113</v>
      </c>
      <c r="J372" s="12" t="s">
        <v>184</v>
      </c>
      <c r="K372" s="17" t="s">
        <v>1121</v>
      </c>
    </row>
    <row r="373" spans="1:11">
      <c r="A373" s="11" t="s">
        <v>200</v>
      </c>
      <c r="B373" s="12" t="s">
        <v>56</v>
      </c>
      <c r="C373" s="12" t="s">
        <v>64</v>
      </c>
      <c r="D373" s="12" t="s">
        <v>58</v>
      </c>
      <c r="E373" s="12">
        <v>65</v>
      </c>
      <c r="F373" s="13">
        <v>43234</v>
      </c>
      <c r="G373" s="14">
        <v>60985</v>
      </c>
      <c r="H373" s="15">
        <v>0</v>
      </c>
      <c r="I373" s="12" t="s">
        <v>60</v>
      </c>
      <c r="J373" s="12" t="s">
        <v>61</v>
      </c>
      <c r="K373" s="17" t="s">
        <v>1121</v>
      </c>
    </row>
    <row r="374" spans="1:11">
      <c r="A374" s="11" t="s">
        <v>55</v>
      </c>
      <c r="B374" s="12" t="s">
        <v>56</v>
      </c>
      <c r="C374" s="12" t="s">
        <v>57</v>
      </c>
      <c r="D374" s="12" t="s">
        <v>58</v>
      </c>
      <c r="E374" s="12">
        <v>60</v>
      </c>
      <c r="F374" s="13">
        <v>40383</v>
      </c>
      <c r="G374" s="14">
        <v>126911</v>
      </c>
      <c r="H374" s="15">
        <v>0.1</v>
      </c>
      <c r="I374" s="12" t="s">
        <v>66</v>
      </c>
      <c r="J374" s="12" t="s">
        <v>101</v>
      </c>
      <c r="K374" s="17" t="s">
        <v>1121</v>
      </c>
    </row>
    <row r="375" spans="1:11">
      <c r="A375" s="11" t="s">
        <v>104</v>
      </c>
      <c r="B375" s="12" t="s">
        <v>82</v>
      </c>
      <c r="C375" s="12" t="s">
        <v>57</v>
      </c>
      <c r="D375" s="12" t="s">
        <v>65</v>
      </c>
      <c r="E375" s="12">
        <v>56</v>
      </c>
      <c r="F375" s="13">
        <v>38042</v>
      </c>
      <c r="G375" s="14">
        <v>216949</v>
      </c>
      <c r="H375" s="15">
        <v>0.32</v>
      </c>
      <c r="I375" s="12" t="s">
        <v>66</v>
      </c>
      <c r="J375" s="12" t="s">
        <v>101</v>
      </c>
      <c r="K375" s="17" t="s">
        <v>1121</v>
      </c>
    </row>
    <row r="376" spans="1:11">
      <c r="A376" s="11" t="s">
        <v>69</v>
      </c>
      <c r="B376" s="12" t="s">
        <v>98</v>
      </c>
      <c r="C376" s="12" t="s">
        <v>64</v>
      </c>
      <c r="D376" s="12" t="s">
        <v>65</v>
      </c>
      <c r="E376" s="12">
        <v>53</v>
      </c>
      <c r="F376" s="13">
        <v>41204</v>
      </c>
      <c r="G376" s="14">
        <v>168510</v>
      </c>
      <c r="H376" s="15">
        <v>0.29</v>
      </c>
      <c r="I376" s="12" t="s">
        <v>60</v>
      </c>
      <c r="J376" s="12" t="s">
        <v>61</v>
      </c>
      <c r="K376" s="17" t="s">
        <v>1121</v>
      </c>
    </row>
    <row r="377" spans="1:11">
      <c r="A377" s="11" t="s">
        <v>160</v>
      </c>
      <c r="B377" s="12" t="s">
        <v>98</v>
      </c>
      <c r="C377" s="12" t="s">
        <v>71</v>
      </c>
      <c r="D377" s="12" t="s">
        <v>58</v>
      </c>
      <c r="E377" s="12">
        <v>36</v>
      </c>
      <c r="F377" s="13">
        <v>42443</v>
      </c>
      <c r="G377" s="14">
        <v>85870</v>
      </c>
      <c r="H377" s="15">
        <v>0</v>
      </c>
      <c r="I377" s="12" t="s">
        <v>113</v>
      </c>
      <c r="J377" s="12" t="s">
        <v>184</v>
      </c>
      <c r="K377" s="17" t="s">
        <v>1121</v>
      </c>
    </row>
    <row r="378" spans="1:11">
      <c r="A378" s="11" t="s">
        <v>78</v>
      </c>
      <c r="B378" s="12" t="s">
        <v>105</v>
      </c>
      <c r="C378" s="12" t="s">
        <v>83</v>
      </c>
      <c r="D378" s="12" t="s">
        <v>58</v>
      </c>
      <c r="E378" s="12">
        <v>46</v>
      </c>
      <c r="F378" s="13">
        <v>37271</v>
      </c>
      <c r="G378" s="14">
        <v>86510</v>
      </c>
      <c r="H378" s="15">
        <v>0</v>
      </c>
      <c r="I378" s="12" t="s">
        <v>66</v>
      </c>
      <c r="J378" s="12" t="s">
        <v>126</v>
      </c>
      <c r="K378" s="17">
        <v>37623</v>
      </c>
    </row>
    <row r="379" spans="1:11">
      <c r="A379" s="11" t="s">
        <v>85</v>
      </c>
      <c r="B379" s="12" t="s">
        <v>82</v>
      </c>
      <c r="C379" s="12" t="s">
        <v>71</v>
      </c>
      <c r="D379" s="12" t="s">
        <v>58</v>
      </c>
      <c r="E379" s="12">
        <v>38</v>
      </c>
      <c r="F379" s="13">
        <v>42999</v>
      </c>
      <c r="G379" s="14">
        <v>119647</v>
      </c>
      <c r="H379" s="15">
        <v>0.09</v>
      </c>
      <c r="I379" s="12" t="s">
        <v>113</v>
      </c>
      <c r="J379" s="12" t="s">
        <v>184</v>
      </c>
      <c r="K379" s="17" t="s">
        <v>1121</v>
      </c>
    </row>
    <row r="380" spans="1:11">
      <c r="A380" s="11" t="s">
        <v>136</v>
      </c>
      <c r="B380" s="12" t="s">
        <v>56</v>
      </c>
      <c r="C380" s="12" t="s">
        <v>57</v>
      </c>
      <c r="D380" s="12" t="s">
        <v>65</v>
      </c>
      <c r="E380" s="12">
        <v>62</v>
      </c>
      <c r="F380" s="13">
        <v>36996</v>
      </c>
      <c r="G380" s="14">
        <v>80921</v>
      </c>
      <c r="H380" s="15">
        <v>0</v>
      </c>
      <c r="I380" s="12" t="s">
        <v>60</v>
      </c>
      <c r="J380" s="12" t="s">
        <v>110</v>
      </c>
      <c r="K380" s="17" t="s">
        <v>1121</v>
      </c>
    </row>
    <row r="381" spans="1:11">
      <c r="A381" s="11" t="s">
        <v>125</v>
      </c>
      <c r="B381" s="12" t="s">
        <v>98</v>
      </c>
      <c r="C381" s="12" t="s">
        <v>57</v>
      </c>
      <c r="D381" s="12" t="s">
        <v>58</v>
      </c>
      <c r="E381" s="12">
        <v>61</v>
      </c>
      <c r="F381" s="13">
        <v>40193</v>
      </c>
      <c r="G381" s="14">
        <v>98110</v>
      </c>
      <c r="H381" s="15">
        <v>0.13</v>
      </c>
      <c r="I381" s="12" t="s">
        <v>60</v>
      </c>
      <c r="J381" s="12" t="s">
        <v>73</v>
      </c>
      <c r="K381" s="17" t="s">
        <v>1121</v>
      </c>
    </row>
    <row r="382" spans="1:11">
      <c r="A382" s="11" t="s">
        <v>200</v>
      </c>
      <c r="B382" s="12" t="s">
        <v>56</v>
      </c>
      <c r="C382" s="12" t="s">
        <v>71</v>
      </c>
      <c r="D382" s="12" t="s">
        <v>58</v>
      </c>
      <c r="E382" s="12">
        <v>59</v>
      </c>
      <c r="F382" s="13">
        <v>43028</v>
      </c>
      <c r="G382" s="14">
        <v>86831</v>
      </c>
      <c r="H382" s="15">
        <v>0</v>
      </c>
      <c r="I382" s="12" t="s">
        <v>60</v>
      </c>
      <c r="J382" s="12" t="s">
        <v>79</v>
      </c>
      <c r="K382" s="17" t="s">
        <v>1121</v>
      </c>
    </row>
    <row r="383" spans="1:11">
      <c r="A383" s="11" t="s">
        <v>63</v>
      </c>
      <c r="B383" s="12" t="s">
        <v>56</v>
      </c>
      <c r="C383" s="12" t="s">
        <v>71</v>
      </c>
      <c r="D383" s="12" t="s">
        <v>58</v>
      </c>
      <c r="E383" s="12">
        <v>49</v>
      </c>
      <c r="F383" s="13">
        <v>40431</v>
      </c>
      <c r="G383" s="14">
        <v>72826</v>
      </c>
      <c r="H383" s="15">
        <v>0</v>
      </c>
      <c r="I383" s="12" t="s">
        <v>66</v>
      </c>
      <c r="J383" s="12" t="s">
        <v>126</v>
      </c>
      <c r="K383" s="17" t="s">
        <v>1121</v>
      </c>
    </row>
    <row r="384" spans="1:11">
      <c r="A384" s="11" t="s">
        <v>69</v>
      </c>
      <c r="B384" s="12" t="s">
        <v>105</v>
      </c>
      <c r="C384" s="12" t="s">
        <v>64</v>
      </c>
      <c r="D384" s="12" t="s">
        <v>58</v>
      </c>
      <c r="E384" s="12">
        <v>64</v>
      </c>
      <c r="F384" s="13">
        <v>40588</v>
      </c>
      <c r="G384" s="14">
        <v>171217</v>
      </c>
      <c r="H384" s="15">
        <v>0.19</v>
      </c>
      <c r="I384" s="12" t="s">
        <v>60</v>
      </c>
      <c r="J384" s="12" t="s">
        <v>61</v>
      </c>
      <c r="K384" s="17" t="s">
        <v>1121</v>
      </c>
    </row>
    <row r="385" spans="1:11">
      <c r="A385" s="11" t="s">
        <v>85</v>
      </c>
      <c r="B385" s="12" t="s">
        <v>56</v>
      </c>
      <c r="C385" s="12" t="s">
        <v>57</v>
      </c>
      <c r="D385" s="12" t="s">
        <v>58</v>
      </c>
      <c r="E385" s="12">
        <v>57</v>
      </c>
      <c r="F385" s="13">
        <v>43948</v>
      </c>
      <c r="G385" s="14">
        <v>103058</v>
      </c>
      <c r="H385" s="15">
        <v>0.07</v>
      </c>
      <c r="I385" s="12" t="s">
        <v>60</v>
      </c>
      <c r="J385" s="12" t="s">
        <v>110</v>
      </c>
      <c r="K385" s="17" t="s">
        <v>1121</v>
      </c>
    </row>
    <row r="386" spans="1:11">
      <c r="A386" s="11" t="s">
        <v>85</v>
      </c>
      <c r="B386" s="12" t="s">
        <v>82</v>
      </c>
      <c r="C386" s="12" t="s">
        <v>71</v>
      </c>
      <c r="D386" s="12" t="s">
        <v>65</v>
      </c>
      <c r="E386" s="12">
        <v>52</v>
      </c>
      <c r="F386" s="13">
        <v>41858</v>
      </c>
      <c r="G386" s="14">
        <v>117062</v>
      </c>
      <c r="H386" s="15">
        <v>0.07</v>
      </c>
      <c r="I386" s="12" t="s">
        <v>60</v>
      </c>
      <c r="J386" s="12" t="s">
        <v>79</v>
      </c>
      <c r="K386" s="17" t="s">
        <v>1121</v>
      </c>
    </row>
    <row r="387" spans="1:11">
      <c r="A387" s="11" t="s">
        <v>55</v>
      </c>
      <c r="B387" s="12" t="s">
        <v>90</v>
      </c>
      <c r="C387" s="12" t="s">
        <v>71</v>
      </c>
      <c r="D387" s="12" t="s">
        <v>65</v>
      </c>
      <c r="E387" s="12">
        <v>40</v>
      </c>
      <c r="F387" s="13">
        <v>43488</v>
      </c>
      <c r="G387" s="14">
        <v>159031</v>
      </c>
      <c r="H387" s="15">
        <v>0.1</v>
      </c>
      <c r="I387" s="12" t="s">
        <v>60</v>
      </c>
      <c r="J387" s="12" t="s">
        <v>88</v>
      </c>
      <c r="K387" s="17" t="s">
        <v>1121</v>
      </c>
    </row>
    <row r="388" spans="1:11">
      <c r="A388" s="11" t="s">
        <v>55</v>
      </c>
      <c r="B388" s="12" t="s">
        <v>56</v>
      </c>
      <c r="C388" s="12" t="s">
        <v>57</v>
      </c>
      <c r="D388" s="12" t="s">
        <v>58</v>
      </c>
      <c r="E388" s="12">
        <v>49</v>
      </c>
      <c r="F388" s="13">
        <v>38000</v>
      </c>
      <c r="G388" s="14">
        <v>125086</v>
      </c>
      <c r="H388" s="15">
        <v>0.1</v>
      </c>
      <c r="I388" s="12" t="s">
        <v>113</v>
      </c>
      <c r="J388" s="12" t="s">
        <v>184</v>
      </c>
      <c r="K388" s="17" t="s">
        <v>1121</v>
      </c>
    </row>
    <row r="389" spans="1:11">
      <c r="A389" s="11" t="s">
        <v>228</v>
      </c>
      <c r="B389" s="12" t="s">
        <v>56</v>
      </c>
      <c r="C389" s="12" t="s">
        <v>71</v>
      </c>
      <c r="D389" s="12" t="s">
        <v>65</v>
      </c>
      <c r="E389" s="12">
        <v>43</v>
      </c>
      <c r="F389" s="13">
        <v>42467</v>
      </c>
      <c r="G389" s="14">
        <v>67976</v>
      </c>
      <c r="H389" s="15">
        <v>0</v>
      </c>
      <c r="I389" s="12" t="s">
        <v>60</v>
      </c>
      <c r="J389" s="12" t="s">
        <v>61</v>
      </c>
      <c r="K389" s="17" t="s">
        <v>1121</v>
      </c>
    </row>
    <row r="390" spans="1:11">
      <c r="A390" s="11" t="s">
        <v>132</v>
      </c>
      <c r="B390" s="12" t="s">
        <v>70</v>
      </c>
      <c r="C390" s="12" t="s">
        <v>71</v>
      </c>
      <c r="D390" s="12" t="s">
        <v>65</v>
      </c>
      <c r="E390" s="12">
        <v>31</v>
      </c>
      <c r="F390" s="13">
        <v>44308</v>
      </c>
      <c r="G390" s="14">
        <v>74215</v>
      </c>
      <c r="H390" s="15">
        <v>0</v>
      </c>
      <c r="I390" s="12" t="s">
        <v>60</v>
      </c>
      <c r="J390" s="12" t="s">
        <v>79</v>
      </c>
      <c r="K390" s="17" t="s">
        <v>1121</v>
      </c>
    </row>
    <row r="391" spans="1:11">
      <c r="A391" s="11" t="s">
        <v>69</v>
      </c>
      <c r="B391" s="12" t="s">
        <v>90</v>
      </c>
      <c r="C391" s="12" t="s">
        <v>64</v>
      </c>
      <c r="D391" s="12" t="s">
        <v>65</v>
      </c>
      <c r="E391" s="12">
        <v>55</v>
      </c>
      <c r="F391" s="13">
        <v>40340</v>
      </c>
      <c r="G391" s="14">
        <v>187389</v>
      </c>
      <c r="H391" s="15">
        <v>0.25</v>
      </c>
      <c r="I391" s="12" t="s">
        <v>66</v>
      </c>
      <c r="J391" s="12" t="s">
        <v>138</v>
      </c>
      <c r="K391" s="17" t="s">
        <v>1121</v>
      </c>
    </row>
    <row r="392" spans="1:11">
      <c r="A392" s="11" t="s">
        <v>55</v>
      </c>
      <c r="B392" s="12" t="s">
        <v>94</v>
      </c>
      <c r="C392" s="12" t="s">
        <v>71</v>
      </c>
      <c r="D392" s="12" t="s">
        <v>58</v>
      </c>
      <c r="E392" s="12">
        <v>41</v>
      </c>
      <c r="F392" s="13">
        <v>39747</v>
      </c>
      <c r="G392" s="14">
        <v>131841</v>
      </c>
      <c r="H392" s="15">
        <v>0.13</v>
      </c>
      <c r="I392" s="12" t="s">
        <v>60</v>
      </c>
      <c r="J392" s="12" t="s">
        <v>110</v>
      </c>
      <c r="K392" s="17" t="s">
        <v>1121</v>
      </c>
    </row>
    <row r="393" spans="1:11">
      <c r="A393" s="11" t="s">
        <v>78</v>
      </c>
      <c r="B393" s="12" t="s">
        <v>90</v>
      </c>
      <c r="C393" s="12" t="s">
        <v>57</v>
      </c>
      <c r="D393" s="12" t="s">
        <v>65</v>
      </c>
      <c r="E393" s="12">
        <v>34</v>
      </c>
      <c r="F393" s="13">
        <v>40750</v>
      </c>
      <c r="G393" s="14">
        <v>97231</v>
      </c>
      <c r="H393" s="15">
        <v>0</v>
      </c>
      <c r="I393" s="12" t="s">
        <v>66</v>
      </c>
      <c r="J393" s="12" t="s">
        <v>126</v>
      </c>
      <c r="K393" s="17" t="s">
        <v>1121</v>
      </c>
    </row>
    <row r="394" spans="1:11">
      <c r="A394" s="11" t="s">
        <v>55</v>
      </c>
      <c r="B394" s="12" t="s">
        <v>70</v>
      </c>
      <c r="C394" s="12" t="s">
        <v>83</v>
      </c>
      <c r="D394" s="12" t="s">
        <v>58</v>
      </c>
      <c r="E394" s="12">
        <v>41</v>
      </c>
      <c r="F394" s="13">
        <v>38060</v>
      </c>
      <c r="G394" s="14">
        <v>155004</v>
      </c>
      <c r="H394" s="15">
        <v>0.12</v>
      </c>
      <c r="I394" s="12" t="s">
        <v>60</v>
      </c>
      <c r="J394" s="12" t="s">
        <v>91</v>
      </c>
      <c r="K394" s="17" t="s">
        <v>1121</v>
      </c>
    </row>
    <row r="395" spans="1:11">
      <c r="A395" s="11" t="s">
        <v>244</v>
      </c>
      <c r="B395" s="12" t="s">
        <v>56</v>
      </c>
      <c r="C395" s="12" t="s">
        <v>64</v>
      </c>
      <c r="D395" s="12" t="s">
        <v>65</v>
      </c>
      <c r="E395" s="12">
        <v>40</v>
      </c>
      <c r="F395" s="13">
        <v>39293</v>
      </c>
      <c r="G395" s="14">
        <v>41859</v>
      </c>
      <c r="H395" s="15">
        <v>0</v>
      </c>
      <c r="I395" s="12" t="s">
        <v>60</v>
      </c>
      <c r="J395" s="12" t="s">
        <v>61</v>
      </c>
      <c r="K395" s="17" t="s">
        <v>1121</v>
      </c>
    </row>
    <row r="396" spans="1:11">
      <c r="A396" s="11" t="s">
        <v>129</v>
      </c>
      <c r="B396" s="12" t="s">
        <v>56</v>
      </c>
      <c r="C396" s="12" t="s">
        <v>64</v>
      </c>
      <c r="D396" s="12" t="s">
        <v>65</v>
      </c>
      <c r="E396" s="12">
        <v>42</v>
      </c>
      <c r="F396" s="13">
        <v>38984</v>
      </c>
      <c r="G396" s="14">
        <v>52733</v>
      </c>
      <c r="H396" s="15">
        <v>0</v>
      </c>
      <c r="I396" s="12" t="s">
        <v>60</v>
      </c>
      <c r="J396" s="12" t="s">
        <v>73</v>
      </c>
      <c r="K396" s="17" t="s">
        <v>1121</v>
      </c>
    </row>
    <row r="397" spans="1:11">
      <c r="A397" s="11" t="s">
        <v>104</v>
      </c>
      <c r="B397" s="12" t="s">
        <v>94</v>
      </c>
      <c r="C397" s="12" t="s">
        <v>83</v>
      </c>
      <c r="D397" s="12" t="s">
        <v>65</v>
      </c>
      <c r="E397" s="12">
        <v>31</v>
      </c>
      <c r="F397" s="13">
        <v>42250</v>
      </c>
      <c r="G397" s="14">
        <v>250953</v>
      </c>
      <c r="H397" s="15">
        <v>0.34</v>
      </c>
      <c r="I397" s="12" t="s">
        <v>60</v>
      </c>
      <c r="J397" s="12" t="s">
        <v>110</v>
      </c>
      <c r="K397" s="17" t="s">
        <v>1121</v>
      </c>
    </row>
    <row r="398" spans="1:11">
      <c r="A398" s="11" t="s">
        <v>69</v>
      </c>
      <c r="B398" s="12" t="s">
        <v>105</v>
      </c>
      <c r="C398" s="12" t="s">
        <v>57</v>
      </c>
      <c r="D398" s="12" t="s">
        <v>65</v>
      </c>
      <c r="E398" s="12">
        <v>49</v>
      </c>
      <c r="F398" s="13">
        <v>36210</v>
      </c>
      <c r="G398" s="14">
        <v>191807</v>
      </c>
      <c r="H398" s="15">
        <v>0.21</v>
      </c>
      <c r="I398" s="12" t="s">
        <v>66</v>
      </c>
      <c r="J398" s="12" t="s">
        <v>67</v>
      </c>
      <c r="K398" s="17" t="s">
        <v>1121</v>
      </c>
    </row>
    <row r="399" spans="1:11">
      <c r="A399" s="11" t="s">
        <v>63</v>
      </c>
      <c r="B399" s="12" t="s">
        <v>56</v>
      </c>
      <c r="C399" s="12" t="s">
        <v>71</v>
      </c>
      <c r="D399" s="12" t="s">
        <v>65</v>
      </c>
      <c r="E399" s="12">
        <v>42</v>
      </c>
      <c r="F399" s="13">
        <v>41813</v>
      </c>
      <c r="G399" s="14">
        <v>64677</v>
      </c>
      <c r="H399" s="15">
        <v>0</v>
      </c>
      <c r="I399" s="12" t="s">
        <v>66</v>
      </c>
      <c r="J399" s="12" t="s">
        <v>67</v>
      </c>
      <c r="K399" s="17" t="s">
        <v>1121</v>
      </c>
    </row>
    <row r="400" spans="1:11">
      <c r="A400" s="11" t="s">
        <v>55</v>
      </c>
      <c r="B400" s="12" t="s">
        <v>56</v>
      </c>
      <c r="C400" s="12" t="s">
        <v>83</v>
      </c>
      <c r="D400" s="12" t="s">
        <v>65</v>
      </c>
      <c r="E400" s="12">
        <v>46</v>
      </c>
      <c r="F400" s="13">
        <v>38244</v>
      </c>
      <c r="G400" s="14">
        <v>130274</v>
      </c>
      <c r="H400" s="15">
        <v>0.11</v>
      </c>
      <c r="I400" s="12" t="s">
        <v>60</v>
      </c>
      <c r="J400" s="12" t="s">
        <v>73</v>
      </c>
      <c r="K400" s="17" t="s">
        <v>1121</v>
      </c>
    </row>
    <row r="401" spans="1:11">
      <c r="A401" s="11" t="s">
        <v>200</v>
      </c>
      <c r="B401" s="12" t="s">
        <v>56</v>
      </c>
      <c r="C401" s="12" t="s">
        <v>57</v>
      </c>
      <c r="D401" s="12" t="s">
        <v>65</v>
      </c>
      <c r="E401" s="12">
        <v>37</v>
      </c>
      <c r="F401" s="13">
        <v>42922</v>
      </c>
      <c r="G401" s="14">
        <v>96331</v>
      </c>
      <c r="H401" s="15">
        <v>0</v>
      </c>
      <c r="I401" s="12" t="s">
        <v>66</v>
      </c>
      <c r="J401" s="12" t="s">
        <v>101</v>
      </c>
      <c r="K401" s="17" t="s">
        <v>1121</v>
      </c>
    </row>
    <row r="402" spans="1:11">
      <c r="A402" s="11" t="s">
        <v>55</v>
      </c>
      <c r="B402" s="12" t="s">
        <v>70</v>
      </c>
      <c r="C402" s="12" t="s">
        <v>57</v>
      </c>
      <c r="D402" s="12" t="s">
        <v>58</v>
      </c>
      <c r="E402" s="12">
        <v>51</v>
      </c>
      <c r="F402" s="13">
        <v>38835</v>
      </c>
      <c r="G402" s="14">
        <v>150758</v>
      </c>
      <c r="H402" s="15">
        <v>0.13</v>
      </c>
      <c r="I402" s="12" t="s">
        <v>60</v>
      </c>
      <c r="J402" s="12" t="s">
        <v>73</v>
      </c>
      <c r="K402" s="17">
        <v>39310</v>
      </c>
    </row>
    <row r="403" spans="1:11">
      <c r="A403" s="11" t="s">
        <v>69</v>
      </c>
      <c r="B403" s="12" t="s">
        <v>98</v>
      </c>
      <c r="C403" s="12" t="s">
        <v>83</v>
      </c>
      <c r="D403" s="12" t="s">
        <v>65</v>
      </c>
      <c r="E403" s="12">
        <v>46</v>
      </c>
      <c r="F403" s="13">
        <v>41839</v>
      </c>
      <c r="G403" s="14">
        <v>173629</v>
      </c>
      <c r="H403" s="15">
        <v>0.21</v>
      </c>
      <c r="I403" s="12" t="s">
        <v>113</v>
      </c>
      <c r="J403" s="12" t="s">
        <v>184</v>
      </c>
      <c r="K403" s="17" t="s">
        <v>1121</v>
      </c>
    </row>
    <row r="404" spans="1:11">
      <c r="A404" s="11" t="s">
        <v>266</v>
      </c>
      <c r="B404" s="12" t="s">
        <v>56</v>
      </c>
      <c r="C404" s="12" t="s">
        <v>83</v>
      </c>
      <c r="D404" s="12" t="s">
        <v>65</v>
      </c>
      <c r="E404" s="12">
        <v>55</v>
      </c>
      <c r="F404" s="13">
        <v>35919</v>
      </c>
      <c r="G404" s="14">
        <v>62174</v>
      </c>
      <c r="H404" s="15">
        <v>0</v>
      </c>
      <c r="I404" s="12" t="s">
        <v>60</v>
      </c>
      <c r="J404" s="12" t="s">
        <v>73</v>
      </c>
      <c r="K404" s="17" t="s">
        <v>1121</v>
      </c>
    </row>
    <row r="405" spans="1:11">
      <c r="A405" s="11" t="s">
        <v>132</v>
      </c>
      <c r="B405" s="12" t="s">
        <v>90</v>
      </c>
      <c r="C405" s="12" t="s">
        <v>64</v>
      </c>
      <c r="D405" s="12" t="s">
        <v>65</v>
      </c>
      <c r="E405" s="12">
        <v>43</v>
      </c>
      <c r="F405" s="13">
        <v>43028</v>
      </c>
      <c r="G405" s="14">
        <v>56555</v>
      </c>
      <c r="H405" s="15">
        <v>0</v>
      </c>
      <c r="I405" s="12" t="s">
        <v>60</v>
      </c>
      <c r="J405" s="12" t="s">
        <v>79</v>
      </c>
      <c r="K405" s="17" t="s">
        <v>1121</v>
      </c>
    </row>
    <row r="406" spans="1:11">
      <c r="A406" s="11" t="s">
        <v>132</v>
      </c>
      <c r="B406" s="12" t="s">
        <v>105</v>
      </c>
      <c r="C406" s="12" t="s">
        <v>64</v>
      </c>
      <c r="D406" s="12" t="s">
        <v>65</v>
      </c>
      <c r="E406" s="12">
        <v>48</v>
      </c>
      <c r="F406" s="13">
        <v>38623</v>
      </c>
      <c r="G406" s="14">
        <v>74655</v>
      </c>
      <c r="H406" s="15">
        <v>0</v>
      </c>
      <c r="I406" s="12" t="s">
        <v>60</v>
      </c>
      <c r="J406" s="12" t="s">
        <v>91</v>
      </c>
      <c r="K406" s="17" t="s">
        <v>1121</v>
      </c>
    </row>
    <row r="407" spans="1:11">
      <c r="A407" s="11" t="s">
        <v>228</v>
      </c>
      <c r="B407" s="12" t="s">
        <v>56</v>
      </c>
      <c r="C407" s="12" t="s">
        <v>83</v>
      </c>
      <c r="D407" s="12" t="s">
        <v>65</v>
      </c>
      <c r="E407" s="12">
        <v>48</v>
      </c>
      <c r="F407" s="13">
        <v>37844</v>
      </c>
      <c r="G407" s="14">
        <v>93017</v>
      </c>
      <c r="H407" s="15">
        <v>0</v>
      </c>
      <c r="I407" s="12" t="s">
        <v>60</v>
      </c>
      <c r="J407" s="12" t="s">
        <v>61</v>
      </c>
      <c r="K407" s="17" t="s">
        <v>1121</v>
      </c>
    </row>
    <row r="408" spans="1:11">
      <c r="A408" s="11" t="s">
        <v>78</v>
      </c>
      <c r="B408" s="12" t="s">
        <v>105</v>
      </c>
      <c r="C408" s="12" t="s">
        <v>64</v>
      </c>
      <c r="D408" s="12" t="s">
        <v>65</v>
      </c>
      <c r="E408" s="12">
        <v>51</v>
      </c>
      <c r="F408" s="13">
        <v>41013</v>
      </c>
      <c r="G408" s="14">
        <v>82300</v>
      </c>
      <c r="H408" s="15">
        <v>0</v>
      </c>
      <c r="I408" s="12" t="s">
        <v>66</v>
      </c>
      <c r="J408" s="12" t="s">
        <v>138</v>
      </c>
      <c r="K408" s="17" t="s">
        <v>1121</v>
      </c>
    </row>
    <row r="409" spans="1:11">
      <c r="A409" s="11" t="s">
        <v>162</v>
      </c>
      <c r="B409" s="12" t="s">
        <v>98</v>
      </c>
      <c r="C409" s="12" t="s">
        <v>57</v>
      </c>
      <c r="D409" s="12" t="s">
        <v>58</v>
      </c>
      <c r="E409" s="12">
        <v>46</v>
      </c>
      <c r="F409" s="13">
        <v>39471</v>
      </c>
      <c r="G409" s="14">
        <v>91621</v>
      </c>
      <c r="H409" s="15">
        <v>0</v>
      </c>
      <c r="I409" s="12" t="s">
        <v>60</v>
      </c>
      <c r="J409" s="12" t="s">
        <v>73</v>
      </c>
      <c r="K409" s="17" t="s">
        <v>1121</v>
      </c>
    </row>
    <row r="410" spans="1:11">
      <c r="A410" s="11" t="s">
        <v>78</v>
      </c>
      <c r="B410" s="12" t="s">
        <v>105</v>
      </c>
      <c r="C410" s="12" t="s">
        <v>57</v>
      </c>
      <c r="D410" s="12" t="s">
        <v>65</v>
      </c>
      <c r="E410" s="12">
        <v>33</v>
      </c>
      <c r="F410" s="13">
        <v>41973</v>
      </c>
      <c r="G410" s="14">
        <v>91280</v>
      </c>
      <c r="H410" s="15">
        <v>0</v>
      </c>
      <c r="I410" s="12" t="s">
        <v>60</v>
      </c>
      <c r="J410" s="12" t="s">
        <v>88</v>
      </c>
      <c r="K410" s="17" t="s">
        <v>1121</v>
      </c>
    </row>
    <row r="411" spans="1:11">
      <c r="A411" s="11" t="s">
        <v>166</v>
      </c>
      <c r="B411" s="12" t="s">
        <v>94</v>
      </c>
      <c r="C411" s="12" t="s">
        <v>64</v>
      </c>
      <c r="D411" s="12" t="s">
        <v>58</v>
      </c>
      <c r="E411" s="12">
        <v>42</v>
      </c>
      <c r="F411" s="13">
        <v>44092</v>
      </c>
      <c r="G411" s="14">
        <v>47071</v>
      </c>
      <c r="H411" s="15">
        <v>0</v>
      </c>
      <c r="I411" s="12" t="s">
        <v>60</v>
      </c>
      <c r="J411" s="12" t="s">
        <v>110</v>
      </c>
      <c r="K411" s="17" t="s">
        <v>1121</v>
      </c>
    </row>
    <row r="412" spans="1:11">
      <c r="A412" s="11" t="s">
        <v>303</v>
      </c>
      <c r="B412" s="12" t="s">
        <v>56</v>
      </c>
      <c r="C412" s="12" t="s">
        <v>64</v>
      </c>
      <c r="D412" s="12" t="s">
        <v>58</v>
      </c>
      <c r="E412" s="12">
        <v>55</v>
      </c>
      <c r="F412" s="13">
        <v>40868</v>
      </c>
      <c r="G412" s="14">
        <v>81218</v>
      </c>
      <c r="H412" s="15">
        <v>0</v>
      </c>
      <c r="I412" s="12" t="s">
        <v>60</v>
      </c>
      <c r="J412" s="12" t="s">
        <v>73</v>
      </c>
      <c r="K412" s="17" t="s">
        <v>1121</v>
      </c>
    </row>
    <row r="413" spans="1:11">
      <c r="A413" s="11" t="s">
        <v>104</v>
      </c>
      <c r="B413" s="12" t="s">
        <v>98</v>
      </c>
      <c r="C413" s="12" t="s">
        <v>64</v>
      </c>
      <c r="D413" s="12" t="s">
        <v>58</v>
      </c>
      <c r="E413" s="12">
        <v>50</v>
      </c>
      <c r="F413" s="13">
        <v>39734</v>
      </c>
      <c r="G413" s="14">
        <v>181801</v>
      </c>
      <c r="H413" s="15">
        <v>0.4</v>
      </c>
      <c r="I413" s="12" t="s">
        <v>66</v>
      </c>
      <c r="J413" s="12" t="s">
        <v>67</v>
      </c>
      <c r="K413" s="17">
        <v>43810</v>
      </c>
    </row>
    <row r="414" spans="1:11">
      <c r="A414" s="11" t="s">
        <v>81</v>
      </c>
      <c r="B414" s="12" t="s">
        <v>82</v>
      </c>
      <c r="C414" s="12" t="s">
        <v>64</v>
      </c>
      <c r="D414" s="12" t="s">
        <v>58</v>
      </c>
      <c r="E414" s="12">
        <v>26</v>
      </c>
      <c r="F414" s="13">
        <v>44521</v>
      </c>
      <c r="G414" s="14">
        <v>63137</v>
      </c>
      <c r="H414" s="15">
        <v>0</v>
      </c>
      <c r="I414" s="12" t="s">
        <v>60</v>
      </c>
      <c r="J414" s="12" t="s">
        <v>73</v>
      </c>
      <c r="K414" s="17" t="s">
        <v>1121</v>
      </c>
    </row>
    <row r="415" spans="1:11">
      <c r="A415" s="11" t="s">
        <v>104</v>
      </c>
      <c r="B415" s="12" t="s">
        <v>98</v>
      </c>
      <c r="C415" s="12" t="s">
        <v>64</v>
      </c>
      <c r="D415" s="12" t="s">
        <v>58</v>
      </c>
      <c r="E415" s="12">
        <v>55</v>
      </c>
      <c r="F415" s="13">
        <v>43345</v>
      </c>
      <c r="G415" s="14">
        <v>221465</v>
      </c>
      <c r="H415" s="15">
        <v>0.34</v>
      </c>
      <c r="I415" s="12" t="s">
        <v>66</v>
      </c>
      <c r="J415" s="12" t="s">
        <v>138</v>
      </c>
      <c r="K415" s="17" t="s">
        <v>1121</v>
      </c>
    </row>
    <row r="416" spans="1:11">
      <c r="A416" s="11" t="s">
        <v>122</v>
      </c>
      <c r="B416" s="12" t="s">
        <v>98</v>
      </c>
      <c r="C416" s="12" t="s">
        <v>57</v>
      </c>
      <c r="D416" s="12" t="s">
        <v>58</v>
      </c>
      <c r="E416" s="12">
        <v>50</v>
      </c>
      <c r="F416" s="13">
        <v>41404</v>
      </c>
      <c r="G416" s="14">
        <v>79388</v>
      </c>
      <c r="H416" s="15">
        <v>0</v>
      </c>
      <c r="I416" s="12" t="s">
        <v>60</v>
      </c>
      <c r="J416" s="12" t="s">
        <v>91</v>
      </c>
      <c r="K416" s="17">
        <v>43681</v>
      </c>
    </row>
    <row r="417" spans="1:11">
      <c r="A417" s="11" t="s">
        <v>266</v>
      </c>
      <c r="B417" s="12" t="s">
        <v>56</v>
      </c>
      <c r="C417" s="12" t="s">
        <v>64</v>
      </c>
      <c r="D417" s="12" t="s">
        <v>58</v>
      </c>
      <c r="E417" s="12">
        <v>28</v>
      </c>
      <c r="F417" s="13">
        <v>43122</v>
      </c>
      <c r="G417" s="14">
        <v>68176</v>
      </c>
      <c r="H417" s="15">
        <v>0</v>
      </c>
      <c r="I417" s="12" t="s">
        <v>60</v>
      </c>
      <c r="J417" s="12" t="s">
        <v>61</v>
      </c>
      <c r="K417" s="17" t="s">
        <v>1121</v>
      </c>
    </row>
    <row r="418" spans="1:11">
      <c r="A418" s="11" t="s">
        <v>55</v>
      </c>
      <c r="B418" s="12" t="s">
        <v>70</v>
      </c>
      <c r="C418" s="12" t="s">
        <v>57</v>
      </c>
      <c r="D418" s="12" t="s">
        <v>58</v>
      </c>
      <c r="E418" s="12">
        <v>39</v>
      </c>
      <c r="F418" s="13">
        <v>43756</v>
      </c>
      <c r="G418" s="14">
        <v>122829</v>
      </c>
      <c r="H418" s="15">
        <v>0.11</v>
      </c>
      <c r="I418" s="12" t="s">
        <v>60</v>
      </c>
      <c r="J418" s="12" t="s">
        <v>73</v>
      </c>
      <c r="K418" s="17" t="s">
        <v>1121</v>
      </c>
    </row>
    <row r="419" spans="1:11">
      <c r="A419" s="11" t="s">
        <v>55</v>
      </c>
      <c r="B419" s="12" t="s">
        <v>105</v>
      </c>
      <c r="C419" s="12" t="s">
        <v>71</v>
      </c>
      <c r="D419" s="12" t="s">
        <v>58</v>
      </c>
      <c r="E419" s="12">
        <v>31</v>
      </c>
      <c r="F419" s="13">
        <v>43695</v>
      </c>
      <c r="G419" s="14">
        <v>126353</v>
      </c>
      <c r="H419" s="15">
        <v>0.12</v>
      </c>
      <c r="I419" s="12" t="s">
        <v>66</v>
      </c>
      <c r="J419" s="12" t="s">
        <v>101</v>
      </c>
      <c r="K419" s="17" t="s">
        <v>1121</v>
      </c>
    </row>
    <row r="420" spans="1:11">
      <c r="A420" s="11" t="s">
        <v>69</v>
      </c>
      <c r="B420" s="12" t="s">
        <v>90</v>
      </c>
      <c r="C420" s="12" t="s">
        <v>71</v>
      </c>
      <c r="D420" s="12" t="s">
        <v>58</v>
      </c>
      <c r="E420" s="12">
        <v>55</v>
      </c>
      <c r="F420" s="13">
        <v>40468</v>
      </c>
      <c r="G420" s="14">
        <v>188727</v>
      </c>
      <c r="H420" s="15">
        <v>0.23</v>
      </c>
      <c r="I420" s="12" t="s">
        <v>66</v>
      </c>
      <c r="J420" s="12" t="s">
        <v>138</v>
      </c>
      <c r="K420" s="17" t="s">
        <v>1121</v>
      </c>
    </row>
    <row r="421" spans="1:11">
      <c r="A421" s="11" t="s">
        <v>78</v>
      </c>
      <c r="B421" s="12" t="s">
        <v>82</v>
      </c>
      <c r="C421" s="12" t="s">
        <v>57</v>
      </c>
      <c r="D421" s="12" t="s">
        <v>65</v>
      </c>
      <c r="E421" s="12">
        <v>52</v>
      </c>
      <c r="F421" s="13">
        <v>34383</v>
      </c>
      <c r="G421" s="14">
        <v>99624</v>
      </c>
      <c r="H421" s="15">
        <v>0</v>
      </c>
      <c r="I421" s="12" t="s">
        <v>60</v>
      </c>
      <c r="J421" s="12" t="s">
        <v>61</v>
      </c>
      <c r="K421" s="17" t="s">
        <v>1121</v>
      </c>
    </row>
    <row r="422" spans="1:11">
      <c r="A422" s="11" t="s">
        <v>85</v>
      </c>
      <c r="B422" s="12" t="s">
        <v>82</v>
      </c>
      <c r="C422" s="12" t="s">
        <v>71</v>
      </c>
      <c r="D422" s="12" t="s">
        <v>58</v>
      </c>
      <c r="E422" s="12">
        <v>55</v>
      </c>
      <c r="F422" s="13">
        <v>41202</v>
      </c>
      <c r="G422" s="14">
        <v>108686</v>
      </c>
      <c r="H422" s="15">
        <v>0.06</v>
      </c>
      <c r="I422" s="12" t="s">
        <v>60</v>
      </c>
      <c r="J422" s="12" t="s">
        <v>110</v>
      </c>
      <c r="K422" s="17" t="s">
        <v>1121</v>
      </c>
    </row>
    <row r="423" spans="1:11">
      <c r="A423" s="11" t="s">
        <v>87</v>
      </c>
      <c r="B423" s="12" t="s">
        <v>90</v>
      </c>
      <c r="C423" s="12" t="s">
        <v>83</v>
      </c>
      <c r="D423" s="12" t="s">
        <v>58</v>
      </c>
      <c r="E423" s="12">
        <v>56</v>
      </c>
      <c r="F423" s="13">
        <v>34802</v>
      </c>
      <c r="G423" s="14">
        <v>50857</v>
      </c>
      <c r="H423" s="15">
        <v>0</v>
      </c>
      <c r="I423" s="12" t="s">
        <v>113</v>
      </c>
      <c r="J423" s="12" t="s">
        <v>114</v>
      </c>
      <c r="K423" s="17" t="s">
        <v>1121</v>
      </c>
    </row>
    <row r="424" spans="1:11">
      <c r="A424" s="11" t="s">
        <v>164</v>
      </c>
      <c r="B424" s="12" t="s">
        <v>98</v>
      </c>
      <c r="C424" s="12" t="s">
        <v>64</v>
      </c>
      <c r="D424" s="12" t="s">
        <v>65</v>
      </c>
      <c r="E424" s="12">
        <v>47</v>
      </c>
      <c r="F424" s="13">
        <v>36893</v>
      </c>
      <c r="G424" s="14">
        <v>120628</v>
      </c>
      <c r="H424" s="15">
        <v>0</v>
      </c>
      <c r="I424" s="12" t="s">
        <v>60</v>
      </c>
      <c r="J424" s="12" t="s">
        <v>73</v>
      </c>
      <c r="K424" s="17" t="s">
        <v>1121</v>
      </c>
    </row>
    <row r="425" spans="1:11">
      <c r="A425" s="11" t="s">
        <v>69</v>
      </c>
      <c r="B425" s="12" t="s">
        <v>82</v>
      </c>
      <c r="C425" s="12" t="s">
        <v>71</v>
      </c>
      <c r="D425" s="12" t="s">
        <v>58</v>
      </c>
      <c r="E425" s="12">
        <v>63</v>
      </c>
      <c r="F425" s="13">
        <v>43996</v>
      </c>
      <c r="G425" s="14">
        <v>181216</v>
      </c>
      <c r="H425" s="15">
        <v>0.27</v>
      </c>
      <c r="I425" s="12" t="s">
        <v>60</v>
      </c>
      <c r="J425" s="12" t="s">
        <v>110</v>
      </c>
      <c r="K425" s="17" t="s">
        <v>1121</v>
      </c>
    </row>
    <row r="426" spans="1:11">
      <c r="A426" s="11" t="s">
        <v>87</v>
      </c>
      <c r="B426" s="12" t="s">
        <v>70</v>
      </c>
      <c r="C426" s="12" t="s">
        <v>83</v>
      </c>
      <c r="D426" s="12" t="s">
        <v>58</v>
      </c>
      <c r="E426" s="12">
        <v>63</v>
      </c>
      <c r="F426" s="13">
        <v>40984</v>
      </c>
      <c r="G426" s="14">
        <v>46081</v>
      </c>
      <c r="H426" s="15">
        <v>0</v>
      </c>
      <c r="I426" s="12" t="s">
        <v>60</v>
      </c>
      <c r="J426" s="12" t="s">
        <v>73</v>
      </c>
      <c r="K426" s="17" t="s">
        <v>1121</v>
      </c>
    </row>
    <row r="427" spans="1:11">
      <c r="A427" s="11" t="s">
        <v>55</v>
      </c>
      <c r="B427" s="12" t="s">
        <v>90</v>
      </c>
      <c r="C427" s="12" t="s">
        <v>83</v>
      </c>
      <c r="D427" s="12" t="s">
        <v>58</v>
      </c>
      <c r="E427" s="12">
        <v>55</v>
      </c>
      <c r="F427" s="13">
        <v>38135</v>
      </c>
      <c r="G427" s="14">
        <v>159885</v>
      </c>
      <c r="H427" s="15">
        <v>0.12</v>
      </c>
      <c r="I427" s="12" t="s">
        <v>60</v>
      </c>
      <c r="J427" s="12" t="s">
        <v>110</v>
      </c>
      <c r="K427" s="17" t="s">
        <v>1121</v>
      </c>
    </row>
    <row r="428" spans="1:11">
      <c r="A428" s="11" t="s">
        <v>69</v>
      </c>
      <c r="B428" s="12" t="s">
        <v>82</v>
      </c>
      <c r="C428" s="12" t="s">
        <v>64</v>
      </c>
      <c r="D428" s="12" t="s">
        <v>58</v>
      </c>
      <c r="E428" s="12">
        <v>55</v>
      </c>
      <c r="F428" s="13">
        <v>35001</v>
      </c>
      <c r="G428" s="14">
        <v>153271</v>
      </c>
      <c r="H428" s="15">
        <v>0.15</v>
      </c>
      <c r="I428" s="12" t="s">
        <v>60</v>
      </c>
      <c r="J428" s="12" t="s">
        <v>91</v>
      </c>
      <c r="K428" s="17" t="s">
        <v>1121</v>
      </c>
    </row>
    <row r="429" spans="1:11">
      <c r="A429" s="11" t="s">
        <v>85</v>
      </c>
      <c r="B429" s="12" t="s">
        <v>94</v>
      </c>
      <c r="C429" s="12" t="s">
        <v>64</v>
      </c>
      <c r="D429" s="12" t="s">
        <v>65</v>
      </c>
      <c r="E429" s="12">
        <v>42</v>
      </c>
      <c r="F429" s="13">
        <v>40159</v>
      </c>
      <c r="G429" s="14">
        <v>114242</v>
      </c>
      <c r="H429" s="15">
        <v>0.08</v>
      </c>
      <c r="I429" s="12" t="s">
        <v>60</v>
      </c>
      <c r="J429" s="12" t="s">
        <v>79</v>
      </c>
      <c r="K429" s="17" t="s">
        <v>1121</v>
      </c>
    </row>
    <row r="430" spans="1:11">
      <c r="A430" s="11" t="s">
        <v>129</v>
      </c>
      <c r="B430" s="12" t="s">
        <v>56</v>
      </c>
      <c r="C430" s="12" t="s">
        <v>71</v>
      </c>
      <c r="D430" s="12" t="s">
        <v>58</v>
      </c>
      <c r="E430" s="12">
        <v>39</v>
      </c>
      <c r="F430" s="13">
        <v>44153</v>
      </c>
      <c r="G430" s="14">
        <v>48415</v>
      </c>
      <c r="H430" s="15">
        <v>0</v>
      </c>
      <c r="I430" s="12" t="s">
        <v>66</v>
      </c>
      <c r="J430" s="12" t="s">
        <v>101</v>
      </c>
      <c r="K430" s="17" t="s">
        <v>1121</v>
      </c>
    </row>
    <row r="431" spans="1:11">
      <c r="A431" s="11" t="s">
        <v>216</v>
      </c>
      <c r="B431" s="12" t="s">
        <v>98</v>
      </c>
      <c r="C431" s="12" t="s">
        <v>64</v>
      </c>
      <c r="D431" s="12" t="s">
        <v>65</v>
      </c>
      <c r="E431" s="12">
        <v>35</v>
      </c>
      <c r="F431" s="13">
        <v>42878</v>
      </c>
      <c r="G431" s="14">
        <v>65566</v>
      </c>
      <c r="H431" s="15">
        <v>0</v>
      </c>
      <c r="I431" s="12" t="s">
        <v>60</v>
      </c>
      <c r="J431" s="12" t="s">
        <v>61</v>
      </c>
      <c r="K431" s="17" t="s">
        <v>1121</v>
      </c>
    </row>
    <row r="432" spans="1:11">
      <c r="A432" s="11" t="s">
        <v>55</v>
      </c>
      <c r="B432" s="12" t="s">
        <v>105</v>
      </c>
      <c r="C432" s="12" t="s">
        <v>57</v>
      </c>
      <c r="D432" s="12" t="s">
        <v>65</v>
      </c>
      <c r="E432" s="12">
        <v>45</v>
      </c>
      <c r="F432" s="13">
        <v>37014</v>
      </c>
      <c r="G432" s="14">
        <v>147752</v>
      </c>
      <c r="H432" s="15">
        <v>0.12</v>
      </c>
      <c r="I432" s="12" t="s">
        <v>66</v>
      </c>
      <c r="J432" s="12" t="s">
        <v>101</v>
      </c>
      <c r="K432" s="17">
        <v>40903</v>
      </c>
    </row>
    <row r="433" spans="1:11">
      <c r="A433" s="11" t="s">
        <v>55</v>
      </c>
      <c r="B433" s="12" t="s">
        <v>105</v>
      </c>
      <c r="C433" s="12" t="s">
        <v>64</v>
      </c>
      <c r="D433" s="12" t="s">
        <v>58</v>
      </c>
      <c r="E433" s="12">
        <v>25</v>
      </c>
      <c r="F433" s="13">
        <v>44453</v>
      </c>
      <c r="G433" s="14">
        <v>136810</v>
      </c>
      <c r="H433" s="15">
        <v>0.14</v>
      </c>
      <c r="I433" s="12" t="s">
        <v>66</v>
      </c>
      <c r="J433" s="12" t="s">
        <v>67</v>
      </c>
      <c r="K433" s="17" t="s">
        <v>1121</v>
      </c>
    </row>
    <row r="434" spans="1:11">
      <c r="A434" s="11" t="s">
        <v>87</v>
      </c>
      <c r="B434" s="12" t="s">
        <v>82</v>
      </c>
      <c r="C434" s="12" t="s">
        <v>83</v>
      </c>
      <c r="D434" s="12" t="s">
        <v>65</v>
      </c>
      <c r="E434" s="12">
        <v>47</v>
      </c>
      <c r="F434" s="13">
        <v>41333</v>
      </c>
      <c r="G434" s="14">
        <v>54635</v>
      </c>
      <c r="H434" s="15">
        <v>0</v>
      </c>
      <c r="I434" s="12" t="s">
        <v>60</v>
      </c>
      <c r="J434" s="12" t="s">
        <v>73</v>
      </c>
      <c r="K434" s="17" t="s">
        <v>1121</v>
      </c>
    </row>
    <row r="435" spans="1:11">
      <c r="A435" s="11" t="s">
        <v>178</v>
      </c>
      <c r="B435" s="12" t="s">
        <v>56</v>
      </c>
      <c r="C435" s="12" t="s">
        <v>83</v>
      </c>
      <c r="D435" s="12" t="s">
        <v>58</v>
      </c>
      <c r="E435" s="12">
        <v>42</v>
      </c>
      <c r="F435" s="13">
        <v>43866</v>
      </c>
      <c r="G435" s="14">
        <v>96636</v>
      </c>
      <c r="H435" s="15">
        <v>0</v>
      </c>
      <c r="I435" s="12" t="s">
        <v>60</v>
      </c>
      <c r="J435" s="12" t="s">
        <v>110</v>
      </c>
      <c r="K435" s="17" t="s">
        <v>1121</v>
      </c>
    </row>
    <row r="436" spans="1:11">
      <c r="A436" s="11" t="s">
        <v>228</v>
      </c>
      <c r="B436" s="12" t="s">
        <v>56</v>
      </c>
      <c r="C436" s="12" t="s">
        <v>64</v>
      </c>
      <c r="D436" s="12" t="s">
        <v>58</v>
      </c>
      <c r="E436" s="12">
        <v>35</v>
      </c>
      <c r="F436" s="13">
        <v>41941</v>
      </c>
      <c r="G436" s="14">
        <v>91592</v>
      </c>
      <c r="H436" s="15">
        <v>0</v>
      </c>
      <c r="I436" s="12" t="s">
        <v>60</v>
      </c>
      <c r="J436" s="12" t="s">
        <v>73</v>
      </c>
      <c r="K436" s="17" t="s">
        <v>1121</v>
      </c>
    </row>
    <row r="437" spans="1:11">
      <c r="A437" s="11" t="s">
        <v>166</v>
      </c>
      <c r="B437" s="12" t="s">
        <v>94</v>
      </c>
      <c r="C437" s="12" t="s">
        <v>57</v>
      </c>
      <c r="D437" s="12" t="s">
        <v>58</v>
      </c>
      <c r="E437" s="12">
        <v>45</v>
      </c>
      <c r="F437" s="13">
        <v>36755</v>
      </c>
      <c r="G437" s="14">
        <v>55563</v>
      </c>
      <c r="H437" s="15">
        <v>0</v>
      </c>
      <c r="I437" s="12" t="s">
        <v>66</v>
      </c>
      <c r="J437" s="12" t="s">
        <v>138</v>
      </c>
      <c r="K437" s="17" t="s">
        <v>1121</v>
      </c>
    </row>
    <row r="438" spans="1:11">
      <c r="A438" s="11" t="s">
        <v>69</v>
      </c>
      <c r="B438" s="12" t="s">
        <v>56</v>
      </c>
      <c r="C438" s="12" t="s">
        <v>57</v>
      </c>
      <c r="D438" s="12" t="s">
        <v>58</v>
      </c>
      <c r="E438" s="12">
        <v>52</v>
      </c>
      <c r="F438" s="13">
        <v>35109</v>
      </c>
      <c r="G438" s="14">
        <v>159724</v>
      </c>
      <c r="H438" s="15">
        <v>0.23</v>
      </c>
      <c r="I438" s="12" t="s">
        <v>66</v>
      </c>
      <c r="J438" s="12" t="s">
        <v>126</v>
      </c>
      <c r="K438" s="17" t="s">
        <v>1121</v>
      </c>
    </row>
    <row r="439" spans="1:11">
      <c r="A439" s="11" t="s">
        <v>104</v>
      </c>
      <c r="B439" s="12" t="s">
        <v>105</v>
      </c>
      <c r="C439" s="12" t="s">
        <v>83</v>
      </c>
      <c r="D439" s="12" t="s">
        <v>65</v>
      </c>
      <c r="E439" s="12">
        <v>57</v>
      </c>
      <c r="F439" s="13">
        <v>42951</v>
      </c>
      <c r="G439" s="14">
        <v>183190</v>
      </c>
      <c r="H439" s="15">
        <v>0.36</v>
      </c>
      <c r="I439" s="12" t="s">
        <v>60</v>
      </c>
      <c r="J439" s="12" t="s">
        <v>73</v>
      </c>
      <c r="K439" s="17" t="s">
        <v>1121</v>
      </c>
    </row>
    <row r="440" spans="1:11">
      <c r="A440" s="11" t="s">
        <v>87</v>
      </c>
      <c r="B440" s="12" t="s">
        <v>90</v>
      </c>
      <c r="C440" s="12" t="s">
        <v>71</v>
      </c>
      <c r="D440" s="12" t="s">
        <v>58</v>
      </c>
      <c r="E440" s="12">
        <v>56</v>
      </c>
      <c r="F440" s="13">
        <v>43824</v>
      </c>
      <c r="G440" s="14">
        <v>54829</v>
      </c>
      <c r="H440" s="15">
        <v>0</v>
      </c>
      <c r="I440" s="12" t="s">
        <v>60</v>
      </c>
      <c r="J440" s="12" t="s">
        <v>79</v>
      </c>
      <c r="K440" s="17" t="s">
        <v>1121</v>
      </c>
    </row>
    <row r="441" spans="1:11">
      <c r="A441" s="11" t="s">
        <v>122</v>
      </c>
      <c r="B441" s="12" t="s">
        <v>98</v>
      </c>
      <c r="C441" s="12" t="s">
        <v>83</v>
      </c>
      <c r="D441" s="12" t="s">
        <v>65</v>
      </c>
      <c r="E441" s="12">
        <v>46</v>
      </c>
      <c r="F441" s="13">
        <v>38464</v>
      </c>
      <c r="G441" s="14">
        <v>96639</v>
      </c>
      <c r="H441" s="15">
        <v>0</v>
      </c>
      <c r="I441" s="12" t="s">
        <v>113</v>
      </c>
      <c r="J441" s="12" t="s">
        <v>117</v>
      </c>
      <c r="K441" s="17" t="s">
        <v>1121</v>
      </c>
    </row>
    <row r="442" spans="1:11">
      <c r="A442" s="11" t="s">
        <v>85</v>
      </c>
      <c r="B442" s="12" t="s">
        <v>105</v>
      </c>
      <c r="C442" s="12" t="s">
        <v>71</v>
      </c>
      <c r="D442" s="12" t="s">
        <v>58</v>
      </c>
      <c r="E442" s="12">
        <v>43</v>
      </c>
      <c r="F442" s="13">
        <v>38879</v>
      </c>
      <c r="G442" s="14">
        <v>117278</v>
      </c>
      <c r="H442" s="15">
        <v>0.09</v>
      </c>
      <c r="I442" s="12" t="s">
        <v>60</v>
      </c>
      <c r="J442" s="12" t="s">
        <v>88</v>
      </c>
      <c r="K442" s="17" t="s">
        <v>1121</v>
      </c>
    </row>
    <row r="443" spans="1:11">
      <c r="A443" s="11" t="s">
        <v>75</v>
      </c>
      <c r="B443" s="12" t="s">
        <v>56</v>
      </c>
      <c r="C443" s="12" t="s">
        <v>71</v>
      </c>
      <c r="D443" s="12" t="s">
        <v>65</v>
      </c>
      <c r="E443" s="12">
        <v>53</v>
      </c>
      <c r="F443" s="13">
        <v>39487</v>
      </c>
      <c r="G443" s="14">
        <v>84193</v>
      </c>
      <c r="H443" s="15">
        <v>0.09</v>
      </c>
      <c r="I443" s="12" t="s">
        <v>66</v>
      </c>
      <c r="J443" s="12" t="s">
        <v>101</v>
      </c>
      <c r="K443" s="17" t="s">
        <v>1121</v>
      </c>
    </row>
    <row r="444" spans="1:11">
      <c r="A444" s="11" t="s">
        <v>326</v>
      </c>
      <c r="B444" s="12" t="s">
        <v>56</v>
      </c>
      <c r="C444" s="12" t="s">
        <v>64</v>
      </c>
      <c r="D444" s="12" t="s">
        <v>58</v>
      </c>
      <c r="E444" s="12">
        <v>47</v>
      </c>
      <c r="F444" s="13">
        <v>43309</v>
      </c>
      <c r="G444" s="14">
        <v>87806</v>
      </c>
      <c r="H444" s="15">
        <v>0</v>
      </c>
      <c r="I444" s="12" t="s">
        <v>60</v>
      </c>
      <c r="J444" s="12" t="s">
        <v>61</v>
      </c>
      <c r="K444" s="17" t="s">
        <v>1121</v>
      </c>
    </row>
    <row r="445" spans="1:11">
      <c r="A445" s="11" t="s">
        <v>187</v>
      </c>
      <c r="B445" s="12" t="s">
        <v>98</v>
      </c>
      <c r="C445" s="12" t="s">
        <v>57</v>
      </c>
      <c r="D445" s="12" t="s">
        <v>65</v>
      </c>
      <c r="E445" s="12">
        <v>62</v>
      </c>
      <c r="F445" s="13">
        <v>40820</v>
      </c>
      <c r="G445" s="14">
        <v>63959</v>
      </c>
      <c r="H445" s="15">
        <v>0</v>
      </c>
      <c r="I445" s="12" t="s">
        <v>60</v>
      </c>
      <c r="J445" s="12" t="s">
        <v>61</v>
      </c>
      <c r="K445" s="17" t="s">
        <v>1121</v>
      </c>
    </row>
    <row r="446" spans="1:11">
      <c r="A446" s="11" t="s">
        <v>104</v>
      </c>
      <c r="B446" s="12" t="s">
        <v>56</v>
      </c>
      <c r="C446" s="12" t="s">
        <v>57</v>
      </c>
      <c r="D446" s="12" t="s">
        <v>65</v>
      </c>
      <c r="E446" s="12">
        <v>35</v>
      </c>
      <c r="F446" s="13">
        <v>42166</v>
      </c>
      <c r="G446" s="14">
        <v>234723</v>
      </c>
      <c r="H446" s="15">
        <v>0.36</v>
      </c>
      <c r="I446" s="12" t="s">
        <v>66</v>
      </c>
      <c r="J446" s="12" t="s">
        <v>101</v>
      </c>
      <c r="K446" s="17" t="s">
        <v>1121</v>
      </c>
    </row>
    <row r="447" spans="1:11">
      <c r="A447" s="11" t="s">
        <v>87</v>
      </c>
      <c r="B447" s="12" t="s">
        <v>90</v>
      </c>
      <c r="C447" s="12" t="s">
        <v>83</v>
      </c>
      <c r="D447" s="12" t="s">
        <v>58</v>
      </c>
      <c r="E447" s="12">
        <v>27</v>
      </c>
      <c r="F447" s="13">
        <v>43701</v>
      </c>
      <c r="G447" s="14">
        <v>50809</v>
      </c>
      <c r="H447" s="15">
        <v>0</v>
      </c>
      <c r="I447" s="12" t="s">
        <v>66</v>
      </c>
      <c r="J447" s="12" t="s">
        <v>67</v>
      </c>
      <c r="K447" s="17" t="s">
        <v>1121</v>
      </c>
    </row>
    <row r="448" spans="1:11">
      <c r="A448" s="11" t="s">
        <v>78</v>
      </c>
      <c r="B448" s="12" t="s">
        <v>70</v>
      </c>
      <c r="C448" s="12" t="s">
        <v>64</v>
      </c>
      <c r="D448" s="12" t="s">
        <v>65</v>
      </c>
      <c r="E448" s="12">
        <v>55</v>
      </c>
      <c r="F448" s="13">
        <v>37456</v>
      </c>
      <c r="G448" s="14">
        <v>77396</v>
      </c>
      <c r="H448" s="15">
        <v>0</v>
      </c>
      <c r="I448" s="12" t="s">
        <v>60</v>
      </c>
      <c r="J448" s="12" t="s">
        <v>88</v>
      </c>
      <c r="K448" s="17" t="s">
        <v>1121</v>
      </c>
    </row>
    <row r="449" spans="1:11">
      <c r="A449" s="11" t="s">
        <v>78</v>
      </c>
      <c r="B449" s="12" t="s">
        <v>70</v>
      </c>
      <c r="C449" s="12" t="s">
        <v>71</v>
      </c>
      <c r="D449" s="12" t="s">
        <v>58</v>
      </c>
      <c r="E449" s="12">
        <v>63</v>
      </c>
      <c r="F449" s="13">
        <v>36525</v>
      </c>
      <c r="G449" s="14">
        <v>89523</v>
      </c>
      <c r="H449" s="15">
        <v>0</v>
      </c>
      <c r="I449" s="12" t="s">
        <v>60</v>
      </c>
      <c r="J449" s="12" t="s">
        <v>79</v>
      </c>
      <c r="K449" s="17" t="s">
        <v>1121</v>
      </c>
    </row>
    <row r="450" spans="1:11">
      <c r="A450" s="11" t="s">
        <v>178</v>
      </c>
      <c r="B450" s="12" t="s">
        <v>56</v>
      </c>
      <c r="C450" s="12" t="s">
        <v>83</v>
      </c>
      <c r="D450" s="12" t="s">
        <v>58</v>
      </c>
      <c r="E450" s="12">
        <v>53</v>
      </c>
      <c r="F450" s="13">
        <v>40744</v>
      </c>
      <c r="G450" s="14">
        <v>86173</v>
      </c>
      <c r="H450" s="15">
        <v>0</v>
      </c>
      <c r="I450" s="12" t="s">
        <v>66</v>
      </c>
      <c r="J450" s="12" t="s">
        <v>67</v>
      </c>
      <c r="K450" s="17" t="s">
        <v>1121</v>
      </c>
    </row>
    <row r="451" spans="1:11">
      <c r="A451" s="11" t="s">
        <v>104</v>
      </c>
      <c r="B451" s="12" t="s">
        <v>82</v>
      </c>
      <c r="C451" s="12" t="s">
        <v>64</v>
      </c>
      <c r="D451" s="12" t="s">
        <v>58</v>
      </c>
      <c r="E451" s="12">
        <v>54</v>
      </c>
      <c r="F451" s="13">
        <v>36757</v>
      </c>
      <c r="G451" s="14">
        <v>222224</v>
      </c>
      <c r="H451" s="15">
        <v>0.38</v>
      </c>
      <c r="I451" s="12" t="s">
        <v>60</v>
      </c>
      <c r="J451" s="12" t="s">
        <v>110</v>
      </c>
      <c r="K451" s="17" t="s">
        <v>1121</v>
      </c>
    </row>
    <row r="452" spans="1:11">
      <c r="A452" s="11" t="s">
        <v>55</v>
      </c>
      <c r="B452" s="12" t="s">
        <v>70</v>
      </c>
      <c r="C452" s="12" t="s">
        <v>57</v>
      </c>
      <c r="D452" s="12" t="s">
        <v>65</v>
      </c>
      <c r="E452" s="12">
        <v>43</v>
      </c>
      <c r="F452" s="13">
        <v>44303</v>
      </c>
      <c r="G452" s="14">
        <v>146140</v>
      </c>
      <c r="H452" s="15">
        <v>0.15</v>
      </c>
      <c r="I452" s="12" t="s">
        <v>60</v>
      </c>
      <c r="J452" s="12" t="s">
        <v>61</v>
      </c>
      <c r="K452" s="17" t="s">
        <v>1121</v>
      </c>
    </row>
    <row r="453" spans="1:11">
      <c r="A453" s="11" t="s">
        <v>125</v>
      </c>
      <c r="B453" s="12" t="s">
        <v>98</v>
      </c>
      <c r="C453" s="12" t="s">
        <v>71</v>
      </c>
      <c r="D453" s="12" t="s">
        <v>58</v>
      </c>
      <c r="E453" s="12">
        <v>64</v>
      </c>
      <c r="F453" s="13">
        <v>34505</v>
      </c>
      <c r="G453" s="14">
        <v>109456</v>
      </c>
      <c r="H453" s="15">
        <v>0.1</v>
      </c>
      <c r="I453" s="12" t="s">
        <v>60</v>
      </c>
      <c r="J453" s="12" t="s">
        <v>73</v>
      </c>
      <c r="K453" s="17" t="s">
        <v>1121</v>
      </c>
    </row>
    <row r="454" spans="1:11">
      <c r="A454" s="11" t="s">
        <v>69</v>
      </c>
      <c r="B454" s="12" t="s">
        <v>70</v>
      </c>
      <c r="C454" s="12" t="s">
        <v>57</v>
      </c>
      <c r="D454" s="12" t="s">
        <v>58</v>
      </c>
      <c r="E454" s="12">
        <v>65</v>
      </c>
      <c r="F454" s="13">
        <v>39728</v>
      </c>
      <c r="G454" s="14">
        <v>170221</v>
      </c>
      <c r="H454" s="15">
        <v>0.15</v>
      </c>
      <c r="I454" s="12" t="s">
        <v>113</v>
      </c>
      <c r="J454" s="12" t="s">
        <v>114</v>
      </c>
      <c r="K454" s="17" t="s">
        <v>1121</v>
      </c>
    </row>
    <row r="455" spans="1:11">
      <c r="A455" s="11" t="s">
        <v>75</v>
      </c>
      <c r="B455" s="12" t="s">
        <v>56</v>
      </c>
      <c r="C455" s="12" t="s">
        <v>57</v>
      </c>
      <c r="D455" s="12" t="s">
        <v>58</v>
      </c>
      <c r="E455" s="12">
        <v>42</v>
      </c>
      <c r="F455" s="13">
        <v>38777</v>
      </c>
      <c r="G455" s="14">
        <v>97433</v>
      </c>
      <c r="H455" s="15">
        <v>0.05</v>
      </c>
      <c r="I455" s="12" t="s">
        <v>60</v>
      </c>
      <c r="J455" s="12" t="s">
        <v>61</v>
      </c>
      <c r="K455" s="17">
        <v>42224</v>
      </c>
    </row>
    <row r="456" spans="1:11">
      <c r="A456" s="11" t="s">
        <v>81</v>
      </c>
      <c r="B456" s="12" t="s">
        <v>82</v>
      </c>
      <c r="C456" s="12" t="s">
        <v>64</v>
      </c>
      <c r="D456" s="12" t="s">
        <v>65</v>
      </c>
      <c r="E456" s="12">
        <v>35</v>
      </c>
      <c r="F456" s="13">
        <v>41516</v>
      </c>
      <c r="G456" s="14">
        <v>59646</v>
      </c>
      <c r="H456" s="15">
        <v>0</v>
      </c>
      <c r="I456" s="12" t="s">
        <v>66</v>
      </c>
      <c r="J456" s="12" t="s">
        <v>101</v>
      </c>
      <c r="K456" s="17" t="s">
        <v>1121</v>
      </c>
    </row>
    <row r="457" spans="1:11">
      <c r="A457" s="11" t="s">
        <v>69</v>
      </c>
      <c r="B457" s="12" t="s">
        <v>98</v>
      </c>
      <c r="C457" s="12" t="s">
        <v>71</v>
      </c>
      <c r="D457" s="12" t="s">
        <v>65</v>
      </c>
      <c r="E457" s="12">
        <v>64</v>
      </c>
      <c r="F457" s="13">
        <v>34940</v>
      </c>
      <c r="G457" s="14">
        <v>158787</v>
      </c>
      <c r="H457" s="15">
        <v>0.18</v>
      </c>
      <c r="I457" s="12" t="s">
        <v>66</v>
      </c>
      <c r="J457" s="12" t="s">
        <v>138</v>
      </c>
      <c r="K457" s="17" t="s">
        <v>1121</v>
      </c>
    </row>
    <row r="458" spans="1:11">
      <c r="A458" s="11" t="s">
        <v>97</v>
      </c>
      <c r="B458" s="12" t="s">
        <v>98</v>
      </c>
      <c r="C458" s="12" t="s">
        <v>57</v>
      </c>
      <c r="D458" s="12" t="s">
        <v>65</v>
      </c>
      <c r="E458" s="12">
        <v>55</v>
      </c>
      <c r="F458" s="13">
        <v>43219</v>
      </c>
      <c r="G458" s="14">
        <v>83378</v>
      </c>
      <c r="H458" s="15">
        <v>0</v>
      </c>
      <c r="I458" s="12" t="s">
        <v>66</v>
      </c>
      <c r="J458" s="12" t="s">
        <v>126</v>
      </c>
      <c r="K458" s="17" t="s">
        <v>1121</v>
      </c>
    </row>
    <row r="459" spans="1:11">
      <c r="A459" s="11" t="s">
        <v>78</v>
      </c>
      <c r="B459" s="12" t="s">
        <v>105</v>
      </c>
      <c r="C459" s="12" t="s">
        <v>83</v>
      </c>
      <c r="D459" s="12" t="s">
        <v>58</v>
      </c>
      <c r="E459" s="12">
        <v>32</v>
      </c>
      <c r="F459" s="13">
        <v>41590</v>
      </c>
      <c r="G459" s="14">
        <v>88895</v>
      </c>
      <c r="H459" s="15">
        <v>0</v>
      </c>
      <c r="I459" s="12" t="s">
        <v>60</v>
      </c>
      <c r="J459" s="12" t="s">
        <v>73</v>
      </c>
      <c r="K459" s="17" t="s">
        <v>1121</v>
      </c>
    </row>
    <row r="460" spans="1:11">
      <c r="A460" s="11" t="s">
        <v>69</v>
      </c>
      <c r="B460" s="12" t="s">
        <v>105</v>
      </c>
      <c r="C460" s="12" t="s">
        <v>83</v>
      </c>
      <c r="D460" s="12" t="s">
        <v>65</v>
      </c>
      <c r="E460" s="12">
        <v>45</v>
      </c>
      <c r="F460" s="13">
        <v>38332</v>
      </c>
      <c r="G460" s="14">
        <v>168846</v>
      </c>
      <c r="H460" s="15">
        <v>0.24</v>
      </c>
      <c r="I460" s="12" t="s">
        <v>66</v>
      </c>
      <c r="J460" s="12" t="s">
        <v>67</v>
      </c>
      <c r="K460" s="17" t="s">
        <v>1121</v>
      </c>
    </row>
    <row r="461" spans="1:11">
      <c r="A461" s="11" t="s">
        <v>166</v>
      </c>
      <c r="B461" s="12" t="s">
        <v>94</v>
      </c>
      <c r="C461" s="12" t="s">
        <v>57</v>
      </c>
      <c r="D461" s="12" t="s">
        <v>65</v>
      </c>
      <c r="E461" s="12">
        <v>35</v>
      </c>
      <c r="F461" s="13">
        <v>40596</v>
      </c>
      <c r="G461" s="14">
        <v>43336</v>
      </c>
      <c r="H461" s="15">
        <v>0</v>
      </c>
      <c r="I461" s="12" t="s">
        <v>60</v>
      </c>
      <c r="J461" s="12" t="s">
        <v>91</v>
      </c>
      <c r="K461" s="17">
        <v>44024</v>
      </c>
    </row>
    <row r="462" spans="1:11">
      <c r="A462" s="11" t="s">
        <v>55</v>
      </c>
      <c r="B462" s="12" t="s">
        <v>94</v>
      </c>
      <c r="C462" s="12" t="s">
        <v>83</v>
      </c>
      <c r="D462" s="12" t="s">
        <v>65</v>
      </c>
      <c r="E462" s="12">
        <v>38</v>
      </c>
      <c r="F462" s="13">
        <v>40083</v>
      </c>
      <c r="G462" s="14">
        <v>127801</v>
      </c>
      <c r="H462" s="15">
        <v>0.15</v>
      </c>
      <c r="I462" s="12" t="s">
        <v>60</v>
      </c>
      <c r="J462" s="12" t="s">
        <v>79</v>
      </c>
      <c r="K462" s="17" t="s">
        <v>1121</v>
      </c>
    </row>
    <row r="463" spans="1:11">
      <c r="A463" s="11" t="s">
        <v>326</v>
      </c>
      <c r="B463" s="12" t="s">
        <v>56</v>
      </c>
      <c r="C463" s="12" t="s">
        <v>83</v>
      </c>
      <c r="D463" s="12" t="s">
        <v>65</v>
      </c>
      <c r="E463" s="12">
        <v>54</v>
      </c>
      <c r="F463" s="13">
        <v>36617</v>
      </c>
      <c r="G463" s="14">
        <v>76352</v>
      </c>
      <c r="H463" s="15">
        <v>0</v>
      </c>
      <c r="I463" s="12" t="s">
        <v>60</v>
      </c>
      <c r="J463" s="12" t="s">
        <v>91</v>
      </c>
      <c r="K463" s="17" t="s">
        <v>1121</v>
      </c>
    </row>
    <row r="464" spans="1:11">
      <c r="A464" s="11" t="s">
        <v>104</v>
      </c>
      <c r="B464" s="12" t="s">
        <v>70</v>
      </c>
      <c r="C464" s="12" t="s">
        <v>83</v>
      </c>
      <c r="D464" s="12" t="s">
        <v>65</v>
      </c>
      <c r="E464" s="12">
        <v>28</v>
      </c>
      <c r="F464" s="13">
        <v>43638</v>
      </c>
      <c r="G464" s="14">
        <v>250767</v>
      </c>
      <c r="H464" s="15">
        <v>0.38</v>
      </c>
      <c r="I464" s="12" t="s">
        <v>60</v>
      </c>
      <c r="J464" s="12" t="s">
        <v>61</v>
      </c>
      <c r="K464" s="17" t="s">
        <v>1121</v>
      </c>
    </row>
    <row r="465" spans="1:11">
      <c r="A465" s="11" t="s">
        <v>104</v>
      </c>
      <c r="B465" s="12" t="s">
        <v>105</v>
      </c>
      <c r="C465" s="12" t="s">
        <v>83</v>
      </c>
      <c r="D465" s="12" t="s">
        <v>65</v>
      </c>
      <c r="E465" s="12">
        <v>26</v>
      </c>
      <c r="F465" s="13">
        <v>44101</v>
      </c>
      <c r="G465" s="14">
        <v>223055</v>
      </c>
      <c r="H465" s="15">
        <v>0.3</v>
      </c>
      <c r="I465" s="12" t="s">
        <v>60</v>
      </c>
      <c r="J465" s="12" t="s">
        <v>110</v>
      </c>
      <c r="K465" s="17" t="s">
        <v>1121</v>
      </c>
    </row>
    <row r="466" spans="1:11">
      <c r="A466" s="11" t="s">
        <v>69</v>
      </c>
      <c r="B466" s="12" t="s">
        <v>98</v>
      </c>
      <c r="C466" s="12" t="s">
        <v>83</v>
      </c>
      <c r="D466" s="12" t="s">
        <v>65</v>
      </c>
      <c r="E466" s="12">
        <v>45</v>
      </c>
      <c r="F466" s="13">
        <v>39185</v>
      </c>
      <c r="G466" s="14">
        <v>189680</v>
      </c>
      <c r="H466" s="15">
        <v>0.23</v>
      </c>
      <c r="I466" s="12" t="s">
        <v>113</v>
      </c>
      <c r="J466" s="12" t="s">
        <v>184</v>
      </c>
      <c r="K466" s="17" t="s">
        <v>1121</v>
      </c>
    </row>
    <row r="467" spans="1:11">
      <c r="A467" s="11" t="s">
        <v>187</v>
      </c>
      <c r="B467" s="12" t="s">
        <v>98</v>
      </c>
      <c r="C467" s="12" t="s">
        <v>64</v>
      </c>
      <c r="D467" s="12" t="s">
        <v>65</v>
      </c>
      <c r="E467" s="12">
        <v>57</v>
      </c>
      <c r="F467" s="13">
        <v>43299</v>
      </c>
      <c r="G467" s="14">
        <v>71167</v>
      </c>
      <c r="H467" s="15">
        <v>0</v>
      </c>
      <c r="I467" s="12" t="s">
        <v>60</v>
      </c>
      <c r="J467" s="12" t="s">
        <v>110</v>
      </c>
      <c r="K467" s="17" t="s">
        <v>1121</v>
      </c>
    </row>
    <row r="468" spans="1:11">
      <c r="A468" s="11" t="s">
        <v>63</v>
      </c>
      <c r="B468" s="12" t="s">
        <v>56</v>
      </c>
      <c r="C468" s="12" t="s">
        <v>71</v>
      </c>
      <c r="D468" s="12" t="s">
        <v>58</v>
      </c>
      <c r="E468" s="12">
        <v>59</v>
      </c>
      <c r="F468" s="13">
        <v>40272</v>
      </c>
      <c r="G468" s="14">
        <v>76027</v>
      </c>
      <c r="H468" s="15">
        <v>0</v>
      </c>
      <c r="I468" s="12" t="s">
        <v>60</v>
      </c>
      <c r="J468" s="12" t="s">
        <v>61</v>
      </c>
      <c r="K468" s="17" t="s">
        <v>1121</v>
      </c>
    </row>
    <row r="469" spans="1:11">
      <c r="A469" s="11" t="s">
        <v>69</v>
      </c>
      <c r="B469" s="12" t="s">
        <v>98</v>
      </c>
      <c r="C469" s="12" t="s">
        <v>83</v>
      </c>
      <c r="D469" s="12" t="s">
        <v>65</v>
      </c>
      <c r="E469" s="12">
        <v>48</v>
      </c>
      <c r="F469" s="13">
        <v>43809</v>
      </c>
      <c r="G469" s="14">
        <v>183113</v>
      </c>
      <c r="H469" s="15">
        <v>0.24</v>
      </c>
      <c r="I469" s="12" t="s">
        <v>113</v>
      </c>
      <c r="J469" s="12" t="s">
        <v>117</v>
      </c>
      <c r="K469" s="17" t="s">
        <v>1121</v>
      </c>
    </row>
    <row r="470" spans="1:11">
      <c r="A470" s="11" t="s">
        <v>132</v>
      </c>
      <c r="B470" s="12" t="s">
        <v>90</v>
      </c>
      <c r="C470" s="12" t="s">
        <v>64</v>
      </c>
      <c r="D470" s="12" t="s">
        <v>65</v>
      </c>
      <c r="E470" s="12">
        <v>30</v>
      </c>
      <c r="F470" s="13">
        <v>44124</v>
      </c>
      <c r="G470" s="14">
        <v>67753</v>
      </c>
      <c r="H470" s="15">
        <v>0</v>
      </c>
      <c r="I470" s="12" t="s">
        <v>60</v>
      </c>
      <c r="J470" s="12" t="s">
        <v>79</v>
      </c>
      <c r="K470" s="17" t="s">
        <v>1121</v>
      </c>
    </row>
    <row r="471" spans="1:11">
      <c r="A471" s="11" t="s">
        <v>75</v>
      </c>
      <c r="B471" s="12" t="s">
        <v>56</v>
      </c>
      <c r="C471" s="12" t="s">
        <v>83</v>
      </c>
      <c r="D471" s="12" t="s">
        <v>65</v>
      </c>
      <c r="E471" s="12">
        <v>31</v>
      </c>
      <c r="F471" s="13">
        <v>42656</v>
      </c>
      <c r="G471" s="14">
        <v>63744</v>
      </c>
      <c r="H471" s="15">
        <v>0.08</v>
      </c>
      <c r="I471" s="12" t="s">
        <v>60</v>
      </c>
      <c r="J471" s="12" t="s">
        <v>91</v>
      </c>
      <c r="K471" s="17" t="s">
        <v>1121</v>
      </c>
    </row>
    <row r="472" spans="1:11">
      <c r="A472" s="11" t="s">
        <v>122</v>
      </c>
      <c r="B472" s="12" t="s">
        <v>98</v>
      </c>
      <c r="C472" s="12" t="s">
        <v>64</v>
      </c>
      <c r="D472" s="12" t="s">
        <v>58</v>
      </c>
      <c r="E472" s="12">
        <v>50</v>
      </c>
      <c r="F472" s="13">
        <v>37446</v>
      </c>
      <c r="G472" s="14">
        <v>92209</v>
      </c>
      <c r="H472" s="15">
        <v>0</v>
      </c>
      <c r="I472" s="12" t="s">
        <v>66</v>
      </c>
      <c r="J472" s="12" t="s">
        <v>101</v>
      </c>
      <c r="K472" s="17" t="s">
        <v>1121</v>
      </c>
    </row>
    <row r="473" spans="1:11">
      <c r="A473" s="11" t="s">
        <v>55</v>
      </c>
      <c r="B473" s="12" t="s">
        <v>82</v>
      </c>
      <c r="C473" s="12" t="s">
        <v>83</v>
      </c>
      <c r="D473" s="12" t="s">
        <v>65</v>
      </c>
      <c r="E473" s="12">
        <v>51</v>
      </c>
      <c r="F473" s="13">
        <v>36770</v>
      </c>
      <c r="G473" s="14">
        <v>157487</v>
      </c>
      <c r="H473" s="15">
        <v>0.12</v>
      </c>
      <c r="I473" s="12" t="s">
        <v>60</v>
      </c>
      <c r="J473" s="12" t="s">
        <v>79</v>
      </c>
      <c r="K473" s="17" t="s">
        <v>1121</v>
      </c>
    </row>
    <row r="474" spans="1:11">
      <c r="A474" s="11" t="s">
        <v>78</v>
      </c>
      <c r="B474" s="12" t="s">
        <v>105</v>
      </c>
      <c r="C474" s="12" t="s">
        <v>57</v>
      </c>
      <c r="D474" s="12" t="s">
        <v>65</v>
      </c>
      <c r="E474" s="12">
        <v>42</v>
      </c>
      <c r="F474" s="13">
        <v>42101</v>
      </c>
      <c r="G474" s="14">
        <v>99697</v>
      </c>
      <c r="H474" s="15">
        <v>0</v>
      </c>
      <c r="I474" s="12" t="s">
        <v>113</v>
      </c>
      <c r="J474" s="12" t="s">
        <v>117</v>
      </c>
      <c r="K474" s="17" t="s">
        <v>1121</v>
      </c>
    </row>
    <row r="475" spans="1:11">
      <c r="A475" s="11" t="s">
        <v>326</v>
      </c>
      <c r="B475" s="12" t="s">
        <v>56</v>
      </c>
      <c r="C475" s="12" t="s">
        <v>57</v>
      </c>
      <c r="D475" s="12" t="s">
        <v>65</v>
      </c>
      <c r="E475" s="12">
        <v>45</v>
      </c>
      <c r="F475" s="13">
        <v>40235</v>
      </c>
      <c r="G475" s="14">
        <v>90770</v>
      </c>
      <c r="H475" s="15">
        <v>0</v>
      </c>
      <c r="I475" s="12" t="s">
        <v>60</v>
      </c>
      <c r="J475" s="12" t="s">
        <v>110</v>
      </c>
      <c r="K475" s="17" t="s">
        <v>1121</v>
      </c>
    </row>
    <row r="476" spans="1:11">
      <c r="A476" s="11" t="s">
        <v>87</v>
      </c>
      <c r="B476" s="12" t="s">
        <v>82</v>
      </c>
      <c r="C476" s="12" t="s">
        <v>71</v>
      </c>
      <c r="D476" s="12" t="s">
        <v>58</v>
      </c>
      <c r="E476" s="12">
        <v>64</v>
      </c>
      <c r="F476" s="13">
        <v>38380</v>
      </c>
      <c r="G476" s="14">
        <v>55369</v>
      </c>
      <c r="H476" s="15">
        <v>0</v>
      </c>
      <c r="I476" s="12" t="s">
        <v>60</v>
      </c>
      <c r="J476" s="12" t="s">
        <v>79</v>
      </c>
      <c r="K476" s="17" t="s">
        <v>1121</v>
      </c>
    </row>
    <row r="477" spans="1:11">
      <c r="A477" s="11" t="s">
        <v>160</v>
      </c>
      <c r="B477" s="12" t="s">
        <v>98</v>
      </c>
      <c r="C477" s="12" t="s">
        <v>71</v>
      </c>
      <c r="D477" s="12" t="s">
        <v>58</v>
      </c>
      <c r="E477" s="12">
        <v>59</v>
      </c>
      <c r="F477" s="13">
        <v>41898</v>
      </c>
      <c r="G477" s="14">
        <v>69578</v>
      </c>
      <c r="H477" s="15">
        <v>0</v>
      </c>
      <c r="I477" s="12" t="s">
        <v>113</v>
      </c>
      <c r="J477" s="12" t="s">
        <v>117</v>
      </c>
      <c r="K477" s="17" t="s">
        <v>1121</v>
      </c>
    </row>
    <row r="478" spans="1:11">
      <c r="A478" s="11" t="s">
        <v>69</v>
      </c>
      <c r="B478" s="12" t="s">
        <v>90</v>
      </c>
      <c r="C478" s="12" t="s">
        <v>71</v>
      </c>
      <c r="D478" s="12" t="s">
        <v>65</v>
      </c>
      <c r="E478" s="12">
        <v>41</v>
      </c>
      <c r="F478" s="13">
        <v>41429</v>
      </c>
      <c r="G478" s="14">
        <v>167526</v>
      </c>
      <c r="H478" s="15">
        <v>0.26</v>
      </c>
      <c r="I478" s="12" t="s">
        <v>60</v>
      </c>
      <c r="J478" s="12" t="s">
        <v>88</v>
      </c>
      <c r="K478" s="17" t="s">
        <v>1121</v>
      </c>
    </row>
    <row r="479" spans="1:11">
      <c r="A479" s="11" t="s">
        <v>160</v>
      </c>
      <c r="B479" s="12" t="s">
        <v>98</v>
      </c>
      <c r="C479" s="12" t="s">
        <v>71</v>
      </c>
      <c r="D479" s="12" t="s">
        <v>58</v>
      </c>
      <c r="E479" s="12">
        <v>42</v>
      </c>
      <c r="F479" s="13">
        <v>44232</v>
      </c>
      <c r="G479" s="14">
        <v>65507</v>
      </c>
      <c r="H479" s="15">
        <v>0</v>
      </c>
      <c r="I479" s="12" t="s">
        <v>113</v>
      </c>
      <c r="J479" s="12" t="s">
        <v>114</v>
      </c>
      <c r="K479" s="17" t="s">
        <v>1121</v>
      </c>
    </row>
    <row r="480" spans="1:11">
      <c r="A480" s="11" t="s">
        <v>85</v>
      </c>
      <c r="B480" s="12" t="s">
        <v>70</v>
      </c>
      <c r="C480" s="12" t="s">
        <v>57</v>
      </c>
      <c r="D480" s="12" t="s">
        <v>65</v>
      </c>
      <c r="E480" s="12">
        <v>54</v>
      </c>
      <c r="F480" s="13">
        <v>35913</v>
      </c>
      <c r="G480" s="14">
        <v>108268</v>
      </c>
      <c r="H480" s="15">
        <v>0.09</v>
      </c>
      <c r="I480" s="12" t="s">
        <v>113</v>
      </c>
      <c r="J480" s="12" t="s">
        <v>184</v>
      </c>
      <c r="K480" s="17">
        <v>38122</v>
      </c>
    </row>
    <row r="481" spans="1:11">
      <c r="A481" s="11" t="s">
        <v>63</v>
      </c>
      <c r="B481" s="12" t="s">
        <v>56</v>
      </c>
      <c r="C481" s="12" t="s">
        <v>57</v>
      </c>
      <c r="D481" s="12" t="s">
        <v>65</v>
      </c>
      <c r="E481" s="12">
        <v>37</v>
      </c>
      <c r="F481" s="13">
        <v>42405</v>
      </c>
      <c r="G481" s="14">
        <v>80055</v>
      </c>
      <c r="H481" s="15">
        <v>0</v>
      </c>
      <c r="I481" s="12" t="s">
        <v>66</v>
      </c>
      <c r="J481" s="12" t="s">
        <v>126</v>
      </c>
      <c r="K481" s="17" t="s">
        <v>1121</v>
      </c>
    </row>
    <row r="482" spans="1:11">
      <c r="A482" s="11" t="s">
        <v>78</v>
      </c>
      <c r="B482" s="12" t="s">
        <v>82</v>
      </c>
      <c r="C482" s="12" t="s">
        <v>57</v>
      </c>
      <c r="D482" s="12" t="s">
        <v>65</v>
      </c>
      <c r="E482" s="12">
        <v>58</v>
      </c>
      <c r="F482" s="13">
        <v>39930</v>
      </c>
      <c r="G482" s="14">
        <v>76802</v>
      </c>
      <c r="H482" s="15">
        <v>0</v>
      </c>
      <c r="I482" s="12" t="s">
        <v>113</v>
      </c>
      <c r="J482" s="12" t="s">
        <v>114</v>
      </c>
      <c r="K482" s="17" t="s">
        <v>1121</v>
      </c>
    </row>
    <row r="483" spans="1:11">
      <c r="A483" s="11" t="s">
        <v>104</v>
      </c>
      <c r="B483" s="12" t="s">
        <v>82</v>
      </c>
      <c r="C483" s="12" t="s">
        <v>71</v>
      </c>
      <c r="D483" s="12" t="s">
        <v>65</v>
      </c>
      <c r="E483" s="12">
        <v>47</v>
      </c>
      <c r="F483" s="13">
        <v>42696</v>
      </c>
      <c r="G483" s="14">
        <v>253249</v>
      </c>
      <c r="H483" s="15">
        <v>0.31</v>
      </c>
      <c r="I483" s="12" t="s">
        <v>60</v>
      </c>
      <c r="J483" s="12" t="s">
        <v>91</v>
      </c>
      <c r="K483" s="17" t="s">
        <v>1121</v>
      </c>
    </row>
    <row r="484" spans="1:11">
      <c r="A484" s="11" t="s">
        <v>143</v>
      </c>
      <c r="B484" s="12" t="s">
        <v>94</v>
      </c>
      <c r="C484" s="12" t="s">
        <v>57</v>
      </c>
      <c r="D484" s="12" t="s">
        <v>58</v>
      </c>
      <c r="E484" s="12">
        <v>60</v>
      </c>
      <c r="F484" s="13">
        <v>38667</v>
      </c>
      <c r="G484" s="14">
        <v>78388</v>
      </c>
      <c r="H484" s="15">
        <v>0</v>
      </c>
      <c r="I484" s="12" t="s">
        <v>66</v>
      </c>
      <c r="J484" s="12" t="s">
        <v>67</v>
      </c>
      <c r="K484" s="17" t="s">
        <v>1121</v>
      </c>
    </row>
    <row r="485" spans="1:11">
      <c r="A485" s="11" t="s">
        <v>104</v>
      </c>
      <c r="B485" s="12" t="s">
        <v>56</v>
      </c>
      <c r="C485" s="12" t="s">
        <v>83</v>
      </c>
      <c r="D485" s="12" t="s">
        <v>65</v>
      </c>
      <c r="E485" s="12">
        <v>38</v>
      </c>
      <c r="F485" s="13">
        <v>42543</v>
      </c>
      <c r="G485" s="14">
        <v>249870</v>
      </c>
      <c r="H485" s="15">
        <v>0.34</v>
      </c>
      <c r="I485" s="12" t="s">
        <v>60</v>
      </c>
      <c r="J485" s="12" t="s">
        <v>73</v>
      </c>
      <c r="K485" s="17" t="s">
        <v>1121</v>
      </c>
    </row>
    <row r="486" spans="1:11">
      <c r="A486" s="11" t="s">
        <v>55</v>
      </c>
      <c r="B486" s="12" t="s">
        <v>105</v>
      </c>
      <c r="C486" s="12" t="s">
        <v>64</v>
      </c>
      <c r="D486" s="12" t="s">
        <v>65</v>
      </c>
      <c r="E486" s="12">
        <v>63</v>
      </c>
      <c r="F486" s="13">
        <v>42064</v>
      </c>
      <c r="G486" s="14">
        <v>148321</v>
      </c>
      <c r="H486" s="15">
        <v>0.15</v>
      </c>
      <c r="I486" s="12" t="s">
        <v>66</v>
      </c>
      <c r="J486" s="12" t="s">
        <v>126</v>
      </c>
      <c r="K486" s="17" t="s">
        <v>1121</v>
      </c>
    </row>
    <row r="487" spans="1:11">
      <c r="A487" s="11" t="s">
        <v>314</v>
      </c>
      <c r="B487" s="12" t="s">
        <v>56</v>
      </c>
      <c r="C487" s="12" t="s">
        <v>83</v>
      </c>
      <c r="D487" s="12" t="s">
        <v>58</v>
      </c>
      <c r="E487" s="12">
        <v>60</v>
      </c>
      <c r="F487" s="13">
        <v>38027</v>
      </c>
      <c r="G487" s="14">
        <v>90258</v>
      </c>
      <c r="H487" s="15">
        <v>0</v>
      </c>
      <c r="I487" s="12" t="s">
        <v>66</v>
      </c>
      <c r="J487" s="12" t="s">
        <v>67</v>
      </c>
      <c r="K487" s="17" t="s">
        <v>1121</v>
      </c>
    </row>
    <row r="488" spans="1:11">
      <c r="A488" s="11" t="s">
        <v>228</v>
      </c>
      <c r="B488" s="12" t="s">
        <v>56</v>
      </c>
      <c r="C488" s="12" t="s">
        <v>64</v>
      </c>
      <c r="D488" s="12" t="s">
        <v>58</v>
      </c>
      <c r="E488" s="12">
        <v>42</v>
      </c>
      <c r="F488" s="13">
        <v>40593</v>
      </c>
      <c r="G488" s="14">
        <v>72486</v>
      </c>
      <c r="H488" s="15">
        <v>0</v>
      </c>
      <c r="I488" s="12" t="s">
        <v>60</v>
      </c>
      <c r="J488" s="12" t="s">
        <v>61</v>
      </c>
      <c r="K488" s="17" t="s">
        <v>1121</v>
      </c>
    </row>
    <row r="489" spans="1:11">
      <c r="A489" s="11" t="s">
        <v>78</v>
      </c>
      <c r="B489" s="12" t="s">
        <v>70</v>
      </c>
      <c r="C489" s="12" t="s">
        <v>83</v>
      </c>
      <c r="D489" s="12" t="s">
        <v>65</v>
      </c>
      <c r="E489" s="12">
        <v>34</v>
      </c>
      <c r="F489" s="13">
        <v>41886</v>
      </c>
      <c r="G489" s="14">
        <v>95499</v>
      </c>
      <c r="H489" s="15">
        <v>0</v>
      </c>
      <c r="I489" s="12" t="s">
        <v>113</v>
      </c>
      <c r="J489" s="12" t="s">
        <v>184</v>
      </c>
      <c r="K489" s="17">
        <v>42958</v>
      </c>
    </row>
    <row r="490" spans="1:11">
      <c r="A490" s="11" t="s">
        <v>78</v>
      </c>
      <c r="B490" s="12" t="s">
        <v>90</v>
      </c>
      <c r="C490" s="12" t="s">
        <v>57</v>
      </c>
      <c r="D490" s="12" t="s">
        <v>58</v>
      </c>
      <c r="E490" s="12">
        <v>53</v>
      </c>
      <c r="F490" s="13">
        <v>38344</v>
      </c>
      <c r="G490" s="14">
        <v>90212</v>
      </c>
      <c r="H490" s="15">
        <v>0</v>
      </c>
      <c r="I490" s="12" t="s">
        <v>113</v>
      </c>
      <c r="J490" s="12" t="s">
        <v>184</v>
      </c>
      <c r="K490" s="17" t="s">
        <v>1121</v>
      </c>
    </row>
    <row r="491" spans="1:11">
      <c r="A491" s="11" t="s">
        <v>104</v>
      </c>
      <c r="B491" s="12" t="s">
        <v>105</v>
      </c>
      <c r="C491" s="12" t="s">
        <v>57</v>
      </c>
      <c r="D491" s="12" t="s">
        <v>65</v>
      </c>
      <c r="E491" s="12">
        <v>39</v>
      </c>
      <c r="F491" s="13">
        <v>43804</v>
      </c>
      <c r="G491" s="14">
        <v>254057</v>
      </c>
      <c r="H491" s="15">
        <v>0.39</v>
      </c>
      <c r="I491" s="12" t="s">
        <v>66</v>
      </c>
      <c r="J491" s="12" t="s">
        <v>101</v>
      </c>
      <c r="K491" s="17" t="s">
        <v>1121</v>
      </c>
    </row>
    <row r="492" spans="1:11">
      <c r="A492" s="11" t="s">
        <v>166</v>
      </c>
      <c r="B492" s="12" t="s">
        <v>94</v>
      </c>
      <c r="C492" s="12" t="s">
        <v>64</v>
      </c>
      <c r="D492" s="12" t="s">
        <v>58</v>
      </c>
      <c r="E492" s="12">
        <v>58</v>
      </c>
      <c r="F492" s="13">
        <v>40463</v>
      </c>
      <c r="G492" s="14">
        <v>43001</v>
      </c>
      <c r="H492" s="15">
        <v>0</v>
      </c>
      <c r="I492" s="12" t="s">
        <v>60</v>
      </c>
      <c r="J492" s="12" t="s">
        <v>91</v>
      </c>
      <c r="K492" s="17" t="s">
        <v>1121</v>
      </c>
    </row>
    <row r="493" spans="1:11">
      <c r="A493" s="11" t="s">
        <v>75</v>
      </c>
      <c r="B493" s="12" t="s">
        <v>56</v>
      </c>
      <c r="C493" s="12" t="s">
        <v>64</v>
      </c>
      <c r="D493" s="12" t="s">
        <v>65</v>
      </c>
      <c r="E493" s="12">
        <v>60</v>
      </c>
      <c r="F493" s="13">
        <v>36010</v>
      </c>
      <c r="G493" s="14">
        <v>85120</v>
      </c>
      <c r="H493" s="15">
        <v>0.09</v>
      </c>
      <c r="I493" s="12" t="s">
        <v>60</v>
      </c>
      <c r="J493" s="12" t="s">
        <v>61</v>
      </c>
      <c r="K493" s="17" t="s">
        <v>1121</v>
      </c>
    </row>
    <row r="494" spans="1:11">
      <c r="A494" s="11" t="s">
        <v>166</v>
      </c>
      <c r="B494" s="12" t="s">
        <v>94</v>
      </c>
      <c r="C494" s="12" t="s">
        <v>64</v>
      </c>
      <c r="D494" s="12" t="s">
        <v>65</v>
      </c>
      <c r="E494" s="12">
        <v>34</v>
      </c>
      <c r="F494" s="13">
        <v>42219</v>
      </c>
      <c r="G494" s="14">
        <v>52200</v>
      </c>
      <c r="H494" s="15">
        <v>0</v>
      </c>
      <c r="I494" s="12" t="s">
        <v>60</v>
      </c>
      <c r="J494" s="12" t="s">
        <v>110</v>
      </c>
      <c r="K494" s="17" t="s">
        <v>1121</v>
      </c>
    </row>
    <row r="495" spans="1:11">
      <c r="A495" s="11" t="s">
        <v>55</v>
      </c>
      <c r="B495" s="12" t="s">
        <v>94</v>
      </c>
      <c r="C495" s="12" t="s">
        <v>83</v>
      </c>
      <c r="D495" s="12" t="s">
        <v>58</v>
      </c>
      <c r="E495" s="12">
        <v>60</v>
      </c>
      <c r="F495" s="13">
        <v>39739</v>
      </c>
      <c r="G495" s="14">
        <v>150855</v>
      </c>
      <c r="H495" s="15">
        <v>0.11</v>
      </c>
      <c r="I495" s="12" t="s">
        <v>60</v>
      </c>
      <c r="J495" s="12" t="s">
        <v>79</v>
      </c>
      <c r="K495" s="17" t="s">
        <v>1121</v>
      </c>
    </row>
    <row r="496" spans="1:11">
      <c r="A496" s="11" t="s">
        <v>136</v>
      </c>
      <c r="B496" s="12" t="s">
        <v>56</v>
      </c>
      <c r="C496" s="12" t="s">
        <v>64</v>
      </c>
      <c r="D496" s="12" t="s">
        <v>58</v>
      </c>
      <c r="E496" s="12">
        <v>53</v>
      </c>
      <c r="F496" s="13">
        <v>38188</v>
      </c>
      <c r="G496" s="14">
        <v>65702</v>
      </c>
      <c r="H496" s="15">
        <v>0</v>
      </c>
      <c r="I496" s="12" t="s">
        <v>60</v>
      </c>
      <c r="J496" s="12" t="s">
        <v>110</v>
      </c>
      <c r="K496" s="17" t="s">
        <v>1121</v>
      </c>
    </row>
    <row r="497" spans="1:11">
      <c r="A497" s="11" t="s">
        <v>69</v>
      </c>
      <c r="B497" s="12" t="s">
        <v>70</v>
      </c>
      <c r="C497" s="12" t="s">
        <v>83</v>
      </c>
      <c r="D497" s="12" t="s">
        <v>65</v>
      </c>
      <c r="E497" s="12">
        <v>58</v>
      </c>
      <c r="F497" s="13">
        <v>39367</v>
      </c>
      <c r="G497" s="14">
        <v>162038</v>
      </c>
      <c r="H497" s="15">
        <v>0.24</v>
      </c>
      <c r="I497" s="12" t="s">
        <v>66</v>
      </c>
      <c r="J497" s="12" t="s">
        <v>67</v>
      </c>
      <c r="K497" s="17" t="s">
        <v>1121</v>
      </c>
    </row>
    <row r="498" spans="1:11">
      <c r="A498" s="11" t="s">
        <v>55</v>
      </c>
      <c r="B498" s="12" t="s">
        <v>105</v>
      </c>
      <c r="C498" s="12" t="s">
        <v>57</v>
      </c>
      <c r="D498" s="12" t="s">
        <v>58</v>
      </c>
      <c r="E498" s="12">
        <v>25</v>
      </c>
      <c r="F498" s="13">
        <v>43930</v>
      </c>
      <c r="G498" s="14">
        <v>157057</v>
      </c>
      <c r="H498" s="15">
        <v>0.1</v>
      </c>
      <c r="I498" s="12" t="s">
        <v>60</v>
      </c>
      <c r="J498" s="12" t="s">
        <v>110</v>
      </c>
      <c r="K498" s="17" t="s">
        <v>1121</v>
      </c>
    </row>
    <row r="499" spans="1:11">
      <c r="A499" s="11" t="s">
        <v>85</v>
      </c>
      <c r="B499" s="12" t="s">
        <v>56</v>
      </c>
      <c r="C499" s="12" t="s">
        <v>57</v>
      </c>
      <c r="D499" s="12" t="s">
        <v>65</v>
      </c>
      <c r="E499" s="12">
        <v>46</v>
      </c>
      <c r="F499" s="13">
        <v>44419</v>
      </c>
      <c r="G499" s="14">
        <v>127559</v>
      </c>
      <c r="H499" s="15">
        <v>0.1</v>
      </c>
      <c r="I499" s="12" t="s">
        <v>60</v>
      </c>
      <c r="J499" s="12" t="s">
        <v>91</v>
      </c>
      <c r="K499" s="17" t="s">
        <v>1121</v>
      </c>
    </row>
    <row r="500" spans="1:11">
      <c r="A500" s="11" t="s">
        <v>160</v>
      </c>
      <c r="B500" s="12" t="s">
        <v>98</v>
      </c>
      <c r="C500" s="12" t="s">
        <v>83</v>
      </c>
      <c r="D500" s="12" t="s">
        <v>58</v>
      </c>
      <c r="E500" s="12">
        <v>39</v>
      </c>
      <c r="F500" s="13">
        <v>43536</v>
      </c>
      <c r="G500" s="14">
        <v>62644</v>
      </c>
      <c r="H500" s="15">
        <v>0</v>
      </c>
      <c r="I500" s="12" t="s">
        <v>60</v>
      </c>
      <c r="J500" s="12" t="s">
        <v>61</v>
      </c>
      <c r="K500" s="17" t="s">
        <v>1121</v>
      </c>
    </row>
    <row r="501" spans="1:11">
      <c r="A501" s="11" t="s">
        <v>200</v>
      </c>
      <c r="B501" s="12" t="s">
        <v>56</v>
      </c>
      <c r="C501" s="12" t="s">
        <v>64</v>
      </c>
      <c r="D501" s="12" t="s">
        <v>65</v>
      </c>
      <c r="E501" s="12">
        <v>50</v>
      </c>
      <c r="F501" s="13">
        <v>36956</v>
      </c>
      <c r="G501" s="14">
        <v>73907</v>
      </c>
      <c r="H501" s="15">
        <v>0</v>
      </c>
      <c r="I501" s="12" t="s">
        <v>66</v>
      </c>
      <c r="J501" s="12" t="s">
        <v>101</v>
      </c>
      <c r="K501" s="17" t="s">
        <v>1121</v>
      </c>
    </row>
    <row r="502" spans="1:11">
      <c r="A502" s="11" t="s">
        <v>78</v>
      </c>
      <c r="B502" s="12" t="s">
        <v>90</v>
      </c>
      <c r="C502" s="12" t="s">
        <v>64</v>
      </c>
      <c r="D502" s="12" t="s">
        <v>58</v>
      </c>
      <c r="E502" s="12">
        <v>56</v>
      </c>
      <c r="F502" s="13">
        <v>43169</v>
      </c>
      <c r="G502" s="14">
        <v>90040</v>
      </c>
      <c r="H502" s="15">
        <v>0</v>
      </c>
      <c r="I502" s="12" t="s">
        <v>60</v>
      </c>
      <c r="J502" s="12" t="s">
        <v>73</v>
      </c>
      <c r="K502" s="17" t="s">
        <v>1121</v>
      </c>
    </row>
    <row r="503" spans="1:11">
      <c r="A503" s="11" t="s">
        <v>216</v>
      </c>
      <c r="B503" s="12" t="s">
        <v>98</v>
      </c>
      <c r="C503" s="12" t="s">
        <v>64</v>
      </c>
      <c r="D503" s="12" t="s">
        <v>58</v>
      </c>
      <c r="E503" s="12">
        <v>30</v>
      </c>
      <c r="F503" s="13">
        <v>42516</v>
      </c>
      <c r="G503" s="14">
        <v>91134</v>
      </c>
      <c r="H503" s="15">
        <v>0</v>
      </c>
      <c r="I503" s="12" t="s">
        <v>113</v>
      </c>
      <c r="J503" s="12" t="s">
        <v>184</v>
      </c>
      <c r="K503" s="17" t="s">
        <v>1121</v>
      </c>
    </row>
    <row r="504" spans="1:11">
      <c r="A504" s="11" t="s">
        <v>104</v>
      </c>
      <c r="B504" s="12" t="s">
        <v>94</v>
      </c>
      <c r="C504" s="12" t="s">
        <v>71</v>
      </c>
      <c r="D504" s="12" t="s">
        <v>58</v>
      </c>
      <c r="E504" s="12">
        <v>45</v>
      </c>
      <c r="F504" s="13">
        <v>44461</v>
      </c>
      <c r="G504" s="14">
        <v>201396</v>
      </c>
      <c r="H504" s="15">
        <v>0.32</v>
      </c>
      <c r="I504" s="12" t="s">
        <v>60</v>
      </c>
      <c r="J504" s="12" t="s">
        <v>88</v>
      </c>
      <c r="K504" s="17" t="s">
        <v>1121</v>
      </c>
    </row>
    <row r="505" spans="1:11">
      <c r="A505" s="11" t="s">
        <v>87</v>
      </c>
      <c r="B505" s="12" t="s">
        <v>90</v>
      </c>
      <c r="C505" s="12" t="s">
        <v>83</v>
      </c>
      <c r="D505" s="12" t="s">
        <v>58</v>
      </c>
      <c r="E505" s="12">
        <v>55</v>
      </c>
      <c r="F505" s="13">
        <v>40899</v>
      </c>
      <c r="G505" s="14">
        <v>54733</v>
      </c>
      <c r="H505" s="15">
        <v>0</v>
      </c>
      <c r="I505" s="12" t="s">
        <v>66</v>
      </c>
      <c r="J505" s="12" t="s">
        <v>67</v>
      </c>
      <c r="K505" s="17" t="s">
        <v>1121</v>
      </c>
    </row>
    <row r="506" spans="1:11">
      <c r="A506" s="11" t="s">
        <v>228</v>
      </c>
      <c r="B506" s="12" t="s">
        <v>56</v>
      </c>
      <c r="C506" s="12" t="s">
        <v>83</v>
      </c>
      <c r="D506" s="12" t="s">
        <v>65</v>
      </c>
      <c r="E506" s="12">
        <v>28</v>
      </c>
      <c r="F506" s="13">
        <v>43633</v>
      </c>
      <c r="G506" s="14">
        <v>65341</v>
      </c>
      <c r="H506" s="15">
        <v>0</v>
      </c>
      <c r="I506" s="12" t="s">
        <v>60</v>
      </c>
      <c r="J506" s="12" t="s">
        <v>88</v>
      </c>
      <c r="K506" s="17">
        <v>44662</v>
      </c>
    </row>
    <row r="507" spans="1:11">
      <c r="A507" s="11" t="s">
        <v>55</v>
      </c>
      <c r="B507" s="12" t="s">
        <v>70</v>
      </c>
      <c r="C507" s="12" t="s">
        <v>83</v>
      </c>
      <c r="D507" s="12" t="s">
        <v>58</v>
      </c>
      <c r="E507" s="12">
        <v>59</v>
      </c>
      <c r="F507" s="13">
        <v>43400</v>
      </c>
      <c r="G507" s="14">
        <v>139208</v>
      </c>
      <c r="H507" s="15">
        <v>0.11</v>
      </c>
      <c r="I507" s="12" t="s">
        <v>60</v>
      </c>
      <c r="J507" s="12" t="s">
        <v>91</v>
      </c>
      <c r="K507" s="17" t="s">
        <v>1121</v>
      </c>
    </row>
    <row r="508" spans="1:11">
      <c r="A508" s="11" t="s">
        <v>78</v>
      </c>
      <c r="B508" s="12" t="s">
        <v>82</v>
      </c>
      <c r="C508" s="12" t="s">
        <v>71</v>
      </c>
      <c r="D508" s="12" t="s">
        <v>65</v>
      </c>
      <c r="E508" s="12">
        <v>63</v>
      </c>
      <c r="F508" s="13">
        <v>43171</v>
      </c>
      <c r="G508" s="14">
        <v>73200</v>
      </c>
      <c r="H508" s="15">
        <v>0</v>
      </c>
      <c r="I508" s="12" t="s">
        <v>66</v>
      </c>
      <c r="J508" s="12" t="s">
        <v>101</v>
      </c>
      <c r="K508" s="17" t="s">
        <v>1121</v>
      </c>
    </row>
    <row r="509" spans="1:11">
      <c r="A509" s="11" t="s">
        <v>85</v>
      </c>
      <c r="B509" s="12" t="s">
        <v>90</v>
      </c>
      <c r="C509" s="12" t="s">
        <v>71</v>
      </c>
      <c r="D509" s="12" t="s">
        <v>58</v>
      </c>
      <c r="E509" s="12">
        <v>46</v>
      </c>
      <c r="F509" s="13">
        <v>40292</v>
      </c>
      <c r="G509" s="14">
        <v>102636</v>
      </c>
      <c r="H509" s="15">
        <v>0.06</v>
      </c>
      <c r="I509" s="12" t="s">
        <v>60</v>
      </c>
      <c r="J509" s="12" t="s">
        <v>61</v>
      </c>
      <c r="K509" s="17" t="s">
        <v>1121</v>
      </c>
    </row>
    <row r="510" spans="1:11">
      <c r="A510" s="11" t="s">
        <v>225</v>
      </c>
      <c r="B510" s="12" t="s">
        <v>82</v>
      </c>
      <c r="C510" s="12" t="s">
        <v>71</v>
      </c>
      <c r="D510" s="12" t="s">
        <v>58</v>
      </c>
      <c r="E510" s="12">
        <v>26</v>
      </c>
      <c r="F510" s="13">
        <v>44236</v>
      </c>
      <c r="G510" s="14">
        <v>87427</v>
      </c>
      <c r="H510" s="15">
        <v>0</v>
      </c>
      <c r="I510" s="12" t="s">
        <v>113</v>
      </c>
      <c r="J510" s="12" t="s">
        <v>184</v>
      </c>
      <c r="K510" s="17" t="s">
        <v>1121</v>
      </c>
    </row>
    <row r="511" spans="1:11">
      <c r="A511" s="11" t="s">
        <v>129</v>
      </c>
      <c r="B511" s="12" t="s">
        <v>56</v>
      </c>
      <c r="C511" s="12" t="s">
        <v>57</v>
      </c>
      <c r="D511" s="12" t="s">
        <v>65</v>
      </c>
      <c r="E511" s="12">
        <v>45</v>
      </c>
      <c r="F511" s="13">
        <v>43248</v>
      </c>
      <c r="G511" s="14">
        <v>49219</v>
      </c>
      <c r="H511" s="15">
        <v>0</v>
      </c>
      <c r="I511" s="12" t="s">
        <v>60</v>
      </c>
      <c r="J511" s="12" t="s">
        <v>110</v>
      </c>
      <c r="K511" s="17" t="s">
        <v>1121</v>
      </c>
    </row>
    <row r="512" spans="1:11">
      <c r="A512" s="11" t="s">
        <v>85</v>
      </c>
      <c r="B512" s="12" t="s">
        <v>70</v>
      </c>
      <c r="C512" s="12" t="s">
        <v>64</v>
      </c>
      <c r="D512" s="12" t="s">
        <v>65</v>
      </c>
      <c r="E512" s="12">
        <v>50</v>
      </c>
      <c r="F512" s="13">
        <v>43239</v>
      </c>
      <c r="G512" s="14">
        <v>106437</v>
      </c>
      <c r="H512" s="15">
        <v>0.07</v>
      </c>
      <c r="I512" s="12" t="s">
        <v>66</v>
      </c>
      <c r="J512" s="12" t="s">
        <v>67</v>
      </c>
      <c r="K512" s="17" t="s">
        <v>1121</v>
      </c>
    </row>
    <row r="513" spans="1:11">
      <c r="A513" s="11" t="s">
        <v>132</v>
      </c>
      <c r="B513" s="12" t="s">
        <v>70</v>
      </c>
      <c r="C513" s="12" t="s">
        <v>64</v>
      </c>
      <c r="D513" s="12" t="s">
        <v>65</v>
      </c>
      <c r="E513" s="12">
        <v>46</v>
      </c>
      <c r="F513" s="13">
        <v>42129</v>
      </c>
      <c r="G513" s="14">
        <v>64364</v>
      </c>
      <c r="H513" s="15">
        <v>0</v>
      </c>
      <c r="I513" s="12" t="s">
        <v>113</v>
      </c>
      <c r="J513" s="12" t="s">
        <v>184</v>
      </c>
      <c r="K513" s="17" t="s">
        <v>1121</v>
      </c>
    </row>
    <row r="514" spans="1:11">
      <c r="A514" s="11" t="s">
        <v>69</v>
      </c>
      <c r="B514" s="12" t="s">
        <v>94</v>
      </c>
      <c r="C514" s="12" t="s">
        <v>64</v>
      </c>
      <c r="D514" s="12" t="s">
        <v>65</v>
      </c>
      <c r="E514" s="12">
        <v>50</v>
      </c>
      <c r="F514" s="13">
        <v>44486</v>
      </c>
      <c r="G514" s="14">
        <v>172180</v>
      </c>
      <c r="H514" s="15">
        <v>0.3</v>
      </c>
      <c r="I514" s="12" t="s">
        <v>60</v>
      </c>
      <c r="J514" s="12" t="s">
        <v>110</v>
      </c>
      <c r="K514" s="17" t="s">
        <v>1121</v>
      </c>
    </row>
    <row r="515" spans="1:11">
      <c r="A515" s="11" t="s">
        <v>78</v>
      </c>
      <c r="B515" s="12" t="s">
        <v>82</v>
      </c>
      <c r="C515" s="12" t="s">
        <v>64</v>
      </c>
      <c r="D515" s="12" t="s">
        <v>58</v>
      </c>
      <c r="E515" s="12">
        <v>33</v>
      </c>
      <c r="F515" s="13">
        <v>41043</v>
      </c>
      <c r="G515" s="14">
        <v>88343</v>
      </c>
      <c r="H515" s="15">
        <v>0</v>
      </c>
      <c r="I515" s="12" t="s">
        <v>113</v>
      </c>
      <c r="J515" s="12" t="s">
        <v>117</v>
      </c>
      <c r="K515" s="17" t="s">
        <v>1121</v>
      </c>
    </row>
    <row r="516" spans="1:11">
      <c r="A516" s="11" t="s">
        <v>266</v>
      </c>
      <c r="B516" s="12" t="s">
        <v>56</v>
      </c>
      <c r="C516" s="12" t="s">
        <v>71</v>
      </c>
      <c r="D516" s="12" t="s">
        <v>65</v>
      </c>
      <c r="E516" s="12">
        <v>57</v>
      </c>
      <c r="F516" s="13">
        <v>41830</v>
      </c>
      <c r="G516" s="14">
        <v>66649</v>
      </c>
      <c r="H516" s="15">
        <v>0</v>
      </c>
      <c r="I516" s="12" t="s">
        <v>113</v>
      </c>
      <c r="J516" s="12" t="s">
        <v>117</v>
      </c>
      <c r="K516" s="17" t="s">
        <v>1121</v>
      </c>
    </row>
    <row r="517" spans="1:11">
      <c r="A517" s="11" t="s">
        <v>85</v>
      </c>
      <c r="B517" s="12" t="s">
        <v>70</v>
      </c>
      <c r="C517" s="12" t="s">
        <v>83</v>
      </c>
      <c r="D517" s="12" t="s">
        <v>58</v>
      </c>
      <c r="E517" s="12">
        <v>48</v>
      </c>
      <c r="F517" s="13">
        <v>36272</v>
      </c>
      <c r="G517" s="14">
        <v>102847</v>
      </c>
      <c r="H517" s="15">
        <v>0.05</v>
      </c>
      <c r="I517" s="12" t="s">
        <v>60</v>
      </c>
      <c r="J517" s="12" t="s">
        <v>73</v>
      </c>
      <c r="K517" s="17" t="s">
        <v>1121</v>
      </c>
    </row>
    <row r="518" spans="1:11">
      <c r="A518" s="11" t="s">
        <v>55</v>
      </c>
      <c r="B518" s="12" t="s">
        <v>70</v>
      </c>
      <c r="C518" s="12" t="s">
        <v>64</v>
      </c>
      <c r="D518" s="12" t="s">
        <v>65</v>
      </c>
      <c r="E518" s="12">
        <v>46</v>
      </c>
      <c r="F518" s="13">
        <v>40378</v>
      </c>
      <c r="G518" s="14">
        <v>134881</v>
      </c>
      <c r="H518" s="15">
        <v>0.15</v>
      </c>
      <c r="I518" s="12" t="s">
        <v>113</v>
      </c>
      <c r="J518" s="12" t="s">
        <v>114</v>
      </c>
      <c r="K518" s="17" t="s">
        <v>1121</v>
      </c>
    </row>
    <row r="519" spans="1:11">
      <c r="A519" s="11" t="s">
        <v>132</v>
      </c>
      <c r="B519" s="12" t="s">
        <v>105</v>
      </c>
      <c r="C519" s="12" t="s">
        <v>64</v>
      </c>
      <c r="D519" s="12" t="s">
        <v>65</v>
      </c>
      <c r="E519" s="12">
        <v>52</v>
      </c>
      <c r="F519" s="13">
        <v>36303</v>
      </c>
      <c r="G519" s="14">
        <v>68807</v>
      </c>
      <c r="H519" s="15">
        <v>0</v>
      </c>
      <c r="I519" s="12" t="s">
        <v>66</v>
      </c>
      <c r="J519" s="12" t="s">
        <v>138</v>
      </c>
      <c r="K519" s="17">
        <v>42338</v>
      </c>
    </row>
    <row r="520" spans="1:11">
      <c r="A520" s="11" t="s">
        <v>104</v>
      </c>
      <c r="B520" s="12" t="s">
        <v>56</v>
      </c>
      <c r="C520" s="12" t="s">
        <v>64</v>
      </c>
      <c r="D520" s="12" t="s">
        <v>65</v>
      </c>
      <c r="E520" s="12">
        <v>56</v>
      </c>
      <c r="F520" s="13">
        <v>38866</v>
      </c>
      <c r="G520" s="14">
        <v>228822</v>
      </c>
      <c r="H520" s="15">
        <v>0.36</v>
      </c>
      <c r="I520" s="12" t="s">
        <v>60</v>
      </c>
      <c r="J520" s="12" t="s">
        <v>88</v>
      </c>
      <c r="K520" s="17" t="s">
        <v>1121</v>
      </c>
    </row>
    <row r="521" spans="1:11">
      <c r="A521" s="11" t="s">
        <v>87</v>
      </c>
      <c r="B521" s="12" t="s">
        <v>105</v>
      </c>
      <c r="C521" s="12" t="s">
        <v>64</v>
      </c>
      <c r="D521" s="12" t="s">
        <v>65</v>
      </c>
      <c r="E521" s="12">
        <v>28</v>
      </c>
      <c r="F521" s="13">
        <v>44395</v>
      </c>
      <c r="G521" s="14">
        <v>43391</v>
      </c>
      <c r="H521" s="15">
        <v>0</v>
      </c>
      <c r="I521" s="12" t="s">
        <v>60</v>
      </c>
      <c r="J521" s="12" t="s">
        <v>110</v>
      </c>
      <c r="K521" s="17" t="s">
        <v>1121</v>
      </c>
    </row>
    <row r="522" spans="1:11">
      <c r="A522" s="11" t="s">
        <v>122</v>
      </c>
      <c r="B522" s="12" t="s">
        <v>98</v>
      </c>
      <c r="C522" s="12" t="s">
        <v>71</v>
      </c>
      <c r="D522" s="12" t="s">
        <v>65</v>
      </c>
      <c r="E522" s="12">
        <v>29</v>
      </c>
      <c r="F522" s="13">
        <v>44515</v>
      </c>
      <c r="G522" s="14">
        <v>91782</v>
      </c>
      <c r="H522" s="15">
        <v>0</v>
      </c>
      <c r="I522" s="12" t="s">
        <v>66</v>
      </c>
      <c r="J522" s="12" t="s">
        <v>67</v>
      </c>
      <c r="K522" s="17" t="s">
        <v>1121</v>
      </c>
    </row>
    <row r="523" spans="1:11">
      <c r="A523" s="11" t="s">
        <v>104</v>
      </c>
      <c r="B523" s="12" t="s">
        <v>105</v>
      </c>
      <c r="C523" s="12" t="s">
        <v>83</v>
      </c>
      <c r="D523" s="12" t="s">
        <v>58</v>
      </c>
      <c r="E523" s="12">
        <v>45</v>
      </c>
      <c r="F523" s="13">
        <v>42428</v>
      </c>
      <c r="G523" s="14">
        <v>211637</v>
      </c>
      <c r="H523" s="15">
        <v>0.31</v>
      </c>
      <c r="I523" s="12" t="s">
        <v>60</v>
      </c>
      <c r="J523" s="12" t="s">
        <v>73</v>
      </c>
      <c r="K523" s="17" t="s">
        <v>1121</v>
      </c>
    </row>
    <row r="524" spans="1:11">
      <c r="A524" s="11" t="s">
        <v>75</v>
      </c>
      <c r="B524" s="12" t="s">
        <v>56</v>
      </c>
      <c r="C524" s="12" t="s">
        <v>64</v>
      </c>
      <c r="D524" s="12" t="s">
        <v>65</v>
      </c>
      <c r="E524" s="12">
        <v>28</v>
      </c>
      <c r="F524" s="13">
        <v>44051</v>
      </c>
      <c r="G524" s="14">
        <v>73255</v>
      </c>
      <c r="H524" s="15">
        <v>0.09</v>
      </c>
      <c r="I524" s="12" t="s">
        <v>60</v>
      </c>
      <c r="J524" s="12" t="s">
        <v>79</v>
      </c>
      <c r="K524" s="17" t="s">
        <v>1121</v>
      </c>
    </row>
    <row r="525" spans="1:11">
      <c r="A525" s="11" t="s">
        <v>85</v>
      </c>
      <c r="B525" s="12" t="s">
        <v>82</v>
      </c>
      <c r="C525" s="12" t="s">
        <v>83</v>
      </c>
      <c r="D525" s="12" t="s">
        <v>65</v>
      </c>
      <c r="E525" s="12">
        <v>28</v>
      </c>
      <c r="F525" s="13">
        <v>44204</v>
      </c>
      <c r="G525" s="14">
        <v>108826</v>
      </c>
      <c r="H525" s="15">
        <v>0.1</v>
      </c>
      <c r="I525" s="12" t="s">
        <v>60</v>
      </c>
      <c r="J525" s="12" t="s">
        <v>88</v>
      </c>
      <c r="K525" s="17" t="s">
        <v>1121</v>
      </c>
    </row>
    <row r="526" spans="1:11">
      <c r="A526" s="11" t="s">
        <v>266</v>
      </c>
      <c r="B526" s="12" t="s">
        <v>56</v>
      </c>
      <c r="C526" s="12" t="s">
        <v>71</v>
      </c>
      <c r="D526" s="12" t="s">
        <v>65</v>
      </c>
      <c r="E526" s="12">
        <v>34</v>
      </c>
      <c r="F526" s="13">
        <v>42514</v>
      </c>
      <c r="G526" s="14">
        <v>94352</v>
      </c>
      <c r="H526" s="15">
        <v>0</v>
      </c>
      <c r="I526" s="12" t="s">
        <v>60</v>
      </c>
      <c r="J526" s="12" t="s">
        <v>88</v>
      </c>
      <c r="K526" s="17" t="s">
        <v>1121</v>
      </c>
    </row>
    <row r="527" spans="1:11">
      <c r="A527" s="11" t="s">
        <v>303</v>
      </c>
      <c r="B527" s="12" t="s">
        <v>56</v>
      </c>
      <c r="C527" s="12" t="s">
        <v>57</v>
      </c>
      <c r="D527" s="12" t="s">
        <v>58</v>
      </c>
      <c r="E527" s="12">
        <v>55</v>
      </c>
      <c r="F527" s="13">
        <v>34576</v>
      </c>
      <c r="G527" s="14">
        <v>73955</v>
      </c>
      <c r="H527" s="15">
        <v>0</v>
      </c>
      <c r="I527" s="12" t="s">
        <v>60</v>
      </c>
      <c r="J527" s="12" t="s">
        <v>79</v>
      </c>
      <c r="K527" s="17" t="s">
        <v>1121</v>
      </c>
    </row>
    <row r="528" spans="1:11">
      <c r="A528" s="11" t="s">
        <v>85</v>
      </c>
      <c r="B528" s="12" t="s">
        <v>94</v>
      </c>
      <c r="C528" s="12" t="s">
        <v>64</v>
      </c>
      <c r="D528" s="12" t="s">
        <v>65</v>
      </c>
      <c r="E528" s="12">
        <v>34</v>
      </c>
      <c r="F528" s="13">
        <v>41499</v>
      </c>
      <c r="G528" s="14">
        <v>113909</v>
      </c>
      <c r="H528" s="15">
        <v>0.06</v>
      </c>
      <c r="I528" s="12" t="s">
        <v>113</v>
      </c>
      <c r="J528" s="12" t="s">
        <v>117</v>
      </c>
      <c r="K528" s="17" t="s">
        <v>1121</v>
      </c>
    </row>
    <row r="529" spans="1:11">
      <c r="A529" s="11" t="s">
        <v>326</v>
      </c>
      <c r="B529" s="12" t="s">
        <v>56</v>
      </c>
      <c r="C529" s="12" t="s">
        <v>64</v>
      </c>
      <c r="D529" s="12" t="s">
        <v>65</v>
      </c>
      <c r="E529" s="12">
        <v>27</v>
      </c>
      <c r="F529" s="13">
        <v>44189</v>
      </c>
      <c r="G529" s="14">
        <v>92321</v>
      </c>
      <c r="H529" s="15">
        <v>0</v>
      </c>
      <c r="I529" s="12" t="s">
        <v>60</v>
      </c>
      <c r="J529" s="12" t="s">
        <v>73</v>
      </c>
      <c r="K529" s="17" t="s">
        <v>1121</v>
      </c>
    </row>
    <row r="530" spans="1:11">
      <c r="A530" s="11" t="s">
        <v>75</v>
      </c>
      <c r="B530" s="12" t="s">
        <v>56</v>
      </c>
      <c r="C530" s="12" t="s">
        <v>57</v>
      </c>
      <c r="D530" s="12" t="s">
        <v>65</v>
      </c>
      <c r="E530" s="12">
        <v>52</v>
      </c>
      <c r="F530" s="13">
        <v>41417</v>
      </c>
      <c r="G530" s="14">
        <v>99557</v>
      </c>
      <c r="H530" s="15">
        <v>0.09</v>
      </c>
      <c r="I530" s="12" t="s">
        <v>60</v>
      </c>
      <c r="J530" s="12" t="s">
        <v>61</v>
      </c>
      <c r="K530" s="17" t="s">
        <v>1121</v>
      </c>
    </row>
    <row r="531" spans="1:11">
      <c r="A531" s="11" t="s">
        <v>162</v>
      </c>
      <c r="B531" s="12" t="s">
        <v>98</v>
      </c>
      <c r="C531" s="12" t="s">
        <v>71</v>
      </c>
      <c r="D531" s="12" t="s">
        <v>58</v>
      </c>
      <c r="E531" s="12">
        <v>28</v>
      </c>
      <c r="F531" s="13">
        <v>43418</v>
      </c>
      <c r="G531" s="14">
        <v>115854</v>
      </c>
      <c r="H531" s="15">
        <v>0</v>
      </c>
      <c r="I531" s="12" t="s">
        <v>60</v>
      </c>
      <c r="J531" s="12" t="s">
        <v>79</v>
      </c>
      <c r="K531" s="17" t="s">
        <v>1121</v>
      </c>
    </row>
    <row r="532" spans="1:11">
      <c r="A532" s="11" t="s">
        <v>303</v>
      </c>
      <c r="B532" s="12" t="s">
        <v>56</v>
      </c>
      <c r="C532" s="12" t="s">
        <v>64</v>
      </c>
      <c r="D532" s="12" t="s">
        <v>58</v>
      </c>
      <c r="E532" s="12">
        <v>44</v>
      </c>
      <c r="F532" s="13">
        <v>40603</v>
      </c>
      <c r="G532" s="14">
        <v>82462</v>
      </c>
      <c r="H532" s="15">
        <v>0</v>
      </c>
      <c r="I532" s="12" t="s">
        <v>60</v>
      </c>
      <c r="J532" s="12" t="s">
        <v>91</v>
      </c>
      <c r="K532" s="17" t="s">
        <v>1121</v>
      </c>
    </row>
    <row r="533" spans="1:11">
      <c r="A533" s="11" t="s">
        <v>104</v>
      </c>
      <c r="B533" s="12" t="s">
        <v>56</v>
      </c>
      <c r="C533" s="12" t="s">
        <v>57</v>
      </c>
      <c r="D533" s="12" t="s">
        <v>58</v>
      </c>
      <c r="E533" s="12">
        <v>53</v>
      </c>
      <c r="F533" s="13">
        <v>40856</v>
      </c>
      <c r="G533" s="14">
        <v>198473</v>
      </c>
      <c r="H533" s="15">
        <v>0.32</v>
      </c>
      <c r="I533" s="12" t="s">
        <v>60</v>
      </c>
      <c r="J533" s="12" t="s">
        <v>88</v>
      </c>
      <c r="K533" s="17" t="s">
        <v>1121</v>
      </c>
    </row>
    <row r="534" spans="1:11">
      <c r="A534" s="11" t="s">
        <v>55</v>
      </c>
      <c r="B534" s="12" t="s">
        <v>70</v>
      </c>
      <c r="C534" s="12" t="s">
        <v>83</v>
      </c>
      <c r="D534" s="12" t="s">
        <v>58</v>
      </c>
      <c r="E534" s="12">
        <v>43</v>
      </c>
      <c r="F534" s="13">
        <v>39005</v>
      </c>
      <c r="G534" s="14">
        <v>153492</v>
      </c>
      <c r="H534" s="15">
        <v>0.11</v>
      </c>
      <c r="I534" s="12" t="s">
        <v>60</v>
      </c>
      <c r="J534" s="12" t="s">
        <v>73</v>
      </c>
      <c r="K534" s="17" t="s">
        <v>1121</v>
      </c>
    </row>
    <row r="535" spans="1:11">
      <c r="A535" s="11" t="s">
        <v>104</v>
      </c>
      <c r="B535" s="12" t="s">
        <v>94</v>
      </c>
      <c r="C535" s="12" t="s">
        <v>83</v>
      </c>
      <c r="D535" s="12" t="s">
        <v>58</v>
      </c>
      <c r="E535" s="12">
        <v>28</v>
      </c>
      <c r="F535" s="13">
        <v>43121</v>
      </c>
      <c r="G535" s="14">
        <v>208210</v>
      </c>
      <c r="H535" s="15">
        <v>0.3</v>
      </c>
      <c r="I535" s="12" t="s">
        <v>60</v>
      </c>
      <c r="J535" s="12" t="s">
        <v>61</v>
      </c>
      <c r="K535" s="17" t="s">
        <v>1121</v>
      </c>
    </row>
    <row r="536" spans="1:11">
      <c r="A536" s="11" t="s">
        <v>78</v>
      </c>
      <c r="B536" s="12" t="s">
        <v>105</v>
      </c>
      <c r="C536" s="12" t="s">
        <v>83</v>
      </c>
      <c r="D536" s="12" t="s">
        <v>65</v>
      </c>
      <c r="E536" s="12">
        <v>33</v>
      </c>
      <c r="F536" s="13">
        <v>42325</v>
      </c>
      <c r="G536" s="14">
        <v>91632</v>
      </c>
      <c r="H536" s="15">
        <v>0</v>
      </c>
      <c r="I536" s="12" t="s">
        <v>60</v>
      </c>
      <c r="J536" s="12" t="s">
        <v>79</v>
      </c>
      <c r="K536" s="17" t="s">
        <v>1121</v>
      </c>
    </row>
    <row r="537" spans="1:11">
      <c r="A537" s="11" t="s">
        <v>154</v>
      </c>
      <c r="B537" s="12" t="s">
        <v>94</v>
      </c>
      <c r="C537" s="12" t="s">
        <v>83</v>
      </c>
      <c r="D537" s="12" t="s">
        <v>65</v>
      </c>
      <c r="E537" s="12">
        <v>31</v>
      </c>
      <c r="F537" s="13">
        <v>43002</v>
      </c>
      <c r="G537" s="14">
        <v>71755</v>
      </c>
      <c r="H537" s="15">
        <v>0</v>
      </c>
      <c r="I537" s="12" t="s">
        <v>66</v>
      </c>
      <c r="J537" s="12" t="s">
        <v>67</v>
      </c>
      <c r="K537" s="17" t="s">
        <v>1121</v>
      </c>
    </row>
    <row r="538" spans="1:11">
      <c r="A538" s="11" t="s">
        <v>85</v>
      </c>
      <c r="B538" s="12" t="s">
        <v>90</v>
      </c>
      <c r="C538" s="12" t="s">
        <v>83</v>
      </c>
      <c r="D538" s="12" t="s">
        <v>58</v>
      </c>
      <c r="E538" s="12">
        <v>52</v>
      </c>
      <c r="F538" s="13">
        <v>44519</v>
      </c>
      <c r="G538" s="14">
        <v>111006</v>
      </c>
      <c r="H538" s="15">
        <v>0.08</v>
      </c>
      <c r="I538" s="12" t="s">
        <v>66</v>
      </c>
      <c r="J538" s="12" t="s">
        <v>67</v>
      </c>
      <c r="K538" s="17" t="s">
        <v>1121</v>
      </c>
    </row>
    <row r="539" spans="1:11">
      <c r="A539" s="11" t="s">
        <v>178</v>
      </c>
      <c r="B539" s="12" t="s">
        <v>56</v>
      </c>
      <c r="C539" s="12" t="s">
        <v>83</v>
      </c>
      <c r="D539" s="12" t="s">
        <v>65</v>
      </c>
      <c r="E539" s="12">
        <v>55</v>
      </c>
      <c r="F539" s="13">
        <v>34692</v>
      </c>
      <c r="G539" s="14">
        <v>99774</v>
      </c>
      <c r="H539" s="15">
        <v>0</v>
      </c>
      <c r="I539" s="12" t="s">
        <v>60</v>
      </c>
      <c r="J539" s="12" t="s">
        <v>91</v>
      </c>
      <c r="K539" s="17" t="s">
        <v>1121</v>
      </c>
    </row>
    <row r="540" spans="1:11">
      <c r="A540" s="11" t="s">
        <v>69</v>
      </c>
      <c r="B540" s="12" t="s">
        <v>56</v>
      </c>
      <c r="C540" s="12" t="s">
        <v>57</v>
      </c>
      <c r="D540" s="12" t="s">
        <v>65</v>
      </c>
      <c r="E540" s="12">
        <v>55</v>
      </c>
      <c r="F540" s="13">
        <v>39154</v>
      </c>
      <c r="G540" s="14">
        <v>184648</v>
      </c>
      <c r="H540" s="15">
        <v>0.24</v>
      </c>
      <c r="I540" s="12" t="s">
        <v>66</v>
      </c>
      <c r="J540" s="12" t="s">
        <v>101</v>
      </c>
      <c r="K540" s="17" t="s">
        <v>1121</v>
      </c>
    </row>
    <row r="541" spans="1:11">
      <c r="A541" s="11" t="s">
        <v>104</v>
      </c>
      <c r="B541" s="12" t="s">
        <v>56</v>
      </c>
      <c r="C541" s="12" t="s">
        <v>64</v>
      </c>
      <c r="D541" s="12" t="s">
        <v>65</v>
      </c>
      <c r="E541" s="12">
        <v>51</v>
      </c>
      <c r="F541" s="13">
        <v>37091</v>
      </c>
      <c r="G541" s="14">
        <v>247874</v>
      </c>
      <c r="H541" s="15">
        <v>0.33</v>
      </c>
      <c r="I541" s="12" t="s">
        <v>113</v>
      </c>
      <c r="J541" s="12" t="s">
        <v>114</v>
      </c>
      <c r="K541" s="17" t="s">
        <v>1121</v>
      </c>
    </row>
    <row r="542" spans="1:11">
      <c r="A542" s="11" t="s">
        <v>216</v>
      </c>
      <c r="B542" s="12" t="s">
        <v>98</v>
      </c>
      <c r="C542" s="12" t="s">
        <v>64</v>
      </c>
      <c r="D542" s="12" t="s">
        <v>65</v>
      </c>
      <c r="E542" s="12">
        <v>60</v>
      </c>
      <c r="F542" s="13">
        <v>39944</v>
      </c>
      <c r="G542" s="14">
        <v>62239</v>
      </c>
      <c r="H542" s="15">
        <v>0</v>
      </c>
      <c r="I542" s="12" t="s">
        <v>66</v>
      </c>
      <c r="J542" s="12" t="s">
        <v>126</v>
      </c>
      <c r="K542" s="17" t="s">
        <v>1121</v>
      </c>
    </row>
    <row r="543" spans="1:11">
      <c r="A543" s="11" t="s">
        <v>85</v>
      </c>
      <c r="B543" s="12" t="s">
        <v>90</v>
      </c>
      <c r="C543" s="12" t="s">
        <v>71</v>
      </c>
      <c r="D543" s="12" t="s">
        <v>58</v>
      </c>
      <c r="E543" s="12">
        <v>31</v>
      </c>
      <c r="F543" s="13">
        <v>41919</v>
      </c>
      <c r="G543" s="14">
        <v>114911</v>
      </c>
      <c r="H543" s="15">
        <v>0.07</v>
      </c>
      <c r="I543" s="12" t="s">
        <v>60</v>
      </c>
      <c r="J543" s="12" t="s">
        <v>73</v>
      </c>
      <c r="K543" s="17" t="s">
        <v>1121</v>
      </c>
    </row>
    <row r="544" spans="1:11">
      <c r="A544" s="11" t="s">
        <v>125</v>
      </c>
      <c r="B544" s="12" t="s">
        <v>98</v>
      </c>
      <c r="C544" s="12" t="s">
        <v>83</v>
      </c>
      <c r="D544" s="12" t="s">
        <v>65</v>
      </c>
      <c r="E544" s="12">
        <v>45</v>
      </c>
      <c r="F544" s="13">
        <v>43217</v>
      </c>
      <c r="G544" s="14">
        <v>115490</v>
      </c>
      <c r="H544" s="15">
        <v>0.12</v>
      </c>
      <c r="I544" s="12" t="s">
        <v>60</v>
      </c>
      <c r="J544" s="12" t="s">
        <v>73</v>
      </c>
      <c r="K544" s="17" t="s">
        <v>1121</v>
      </c>
    </row>
    <row r="545" spans="1:11">
      <c r="A545" s="11" t="s">
        <v>85</v>
      </c>
      <c r="B545" s="12" t="s">
        <v>90</v>
      </c>
      <c r="C545" s="12" t="s">
        <v>71</v>
      </c>
      <c r="D545" s="12" t="s">
        <v>65</v>
      </c>
      <c r="E545" s="12">
        <v>34</v>
      </c>
      <c r="F545" s="13">
        <v>40952</v>
      </c>
      <c r="G545" s="14">
        <v>118708</v>
      </c>
      <c r="H545" s="15">
        <v>0.07</v>
      </c>
      <c r="I545" s="12" t="s">
        <v>66</v>
      </c>
      <c r="J545" s="12" t="s">
        <v>101</v>
      </c>
      <c r="K545" s="17" t="s">
        <v>1121</v>
      </c>
    </row>
    <row r="546" spans="1:11">
      <c r="A546" s="11" t="s">
        <v>69</v>
      </c>
      <c r="B546" s="12" t="s">
        <v>90</v>
      </c>
      <c r="C546" s="12" t="s">
        <v>71</v>
      </c>
      <c r="D546" s="12" t="s">
        <v>58</v>
      </c>
      <c r="E546" s="12">
        <v>29</v>
      </c>
      <c r="F546" s="13">
        <v>42914</v>
      </c>
      <c r="G546" s="14">
        <v>197649</v>
      </c>
      <c r="H546" s="15">
        <v>0.2</v>
      </c>
      <c r="I546" s="12" t="s">
        <v>60</v>
      </c>
      <c r="J546" s="12" t="s">
        <v>110</v>
      </c>
      <c r="K546" s="17" t="s">
        <v>1121</v>
      </c>
    </row>
    <row r="547" spans="1:11">
      <c r="A547" s="11" t="s">
        <v>78</v>
      </c>
      <c r="B547" s="12" t="s">
        <v>90</v>
      </c>
      <c r="C547" s="12" t="s">
        <v>71</v>
      </c>
      <c r="D547" s="12" t="s">
        <v>58</v>
      </c>
      <c r="E547" s="12">
        <v>45</v>
      </c>
      <c r="F547" s="13">
        <v>43999</v>
      </c>
      <c r="G547" s="14">
        <v>89841</v>
      </c>
      <c r="H547" s="15">
        <v>0</v>
      </c>
      <c r="I547" s="12" t="s">
        <v>66</v>
      </c>
      <c r="J547" s="12" t="s">
        <v>126</v>
      </c>
      <c r="K547" s="17" t="s">
        <v>1121</v>
      </c>
    </row>
    <row r="548" spans="1:11">
      <c r="A548" s="11" t="s">
        <v>132</v>
      </c>
      <c r="B548" s="12" t="s">
        <v>70</v>
      </c>
      <c r="C548" s="12" t="s">
        <v>71</v>
      </c>
      <c r="D548" s="12" t="s">
        <v>58</v>
      </c>
      <c r="E548" s="12">
        <v>52</v>
      </c>
      <c r="F548" s="13">
        <v>43819</v>
      </c>
      <c r="G548" s="14">
        <v>61026</v>
      </c>
      <c r="H548" s="15">
        <v>0</v>
      </c>
      <c r="I548" s="12" t="s">
        <v>60</v>
      </c>
      <c r="J548" s="12" t="s">
        <v>79</v>
      </c>
      <c r="K548" s="17" t="s">
        <v>1121</v>
      </c>
    </row>
    <row r="549" spans="1:11">
      <c r="A549" s="11" t="s">
        <v>97</v>
      </c>
      <c r="B549" s="12" t="s">
        <v>98</v>
      </c>
      <c r="C549" s="12" t="s">
        <v>71</v>
      </c>
      <c r="D549" s="12" t="s">
        <v>58</v>
      </c>
      <c r="E549" s="12">
        <v>48</v>
      </c>
      <c r="F549" s="13">
        <v>41907</v>
      </c>
      <c r="G549" s="14">
        <v>96693</v>
      </c>
      <c r="H549" s="15">
        <v>0</v>
      </c>
      <c r="I549" s="12" t="s">
        <v>60</v>
      </c>
      <c r="J549" s="12" t="s">
        <v>73</v>
      </c>
      <c r="K549" s="17" t="s">
        <v>1121</v>
      </c>
    </row>
    <row r="550" spans="1:11">
      <c r="A550" s="11" t="s">
        <v>187</v>
      </c>
      <c r="B550" s="12" t="s">
        <v>98</v>
      </c>
      <c r="C550" s="12" t="s">
        <v>71</v>
      </c>
      <c r="D550" s="12" t="s">
        <v>58</v>
      </c>
      <c r="E550" s="12">
        <v>48</v>
      </c>
      <c r="F550" s="13">
        <v>39991</v>
      </c>
      <c r="G550" s="14">
        <v>82907</v>
      </c>
      <c r="H550" s="15">
        <v>0</v>
      </c>
      <c r="I550" s="12" t="s">
        <v>60</v>
      </c>
      <c r="J550" s="12" t="s">
        <v>61</v>
      </c>
      <c r="K550" s="17" t="s">
        <v>1121</v>
      </c>
    </row>
    <row r="551" spans="1:11">
      <c r="A551" s="11" t="s">
        <v>104</v>
      </c>
      <c r="B551" s="12" t="s">
        <v>105</v>
      </c>
      <c r="C551" s="12" t="s">
        <v>83</v>
      </c>
      <c r="D551" s="12" t="s">
        <v>65</v>
      </c>
      <c r="E551" s="12">
        <v>41</v>
      </c>
      <c r="F551" s="13">
        <v>41916</v>
      </c>
      <c r="G551" s="14">
        <v>257194</v>
      </c>
      <c r="H551" s="15">
        <v>0.35</v>
      </c>
      <c r="I551" s="12" t="s">
        <v>66</v>
      </c>
      <c r="J551" s="12" t="s">
        <v>67</v>
      </c>
      <c r="K551" s="17" t="s">
        <v>1121</v>
      </c>
    </row>
    <row r="552" spans="1:11">
      <c r="A552" s="11" t="s">
        <v>122</v>
      </c>
      <c r="B552" s="12" t="s">
        <v>98</v>
      </c>
      <c r="C552" s="12" t="s">
        <v>57</v>
      </c>
      <c r="D552" s="12" t="s">
        <v>65</v>
      </c>
      <c r="E552" s="12">
        <v>41</v>
      </c>
      <c r="F552" s="13">
        <v>40929</v>
      </c>
      <c r="G552" s="14">
        <v>94658</v>
      </c>
      <c r="H552" s="15">
        <v>0</v>
      </c>
      <c r="I552" s="12" t="s">
        <v>60</v>
      </c>
      <c r="J552" s="12" t="s">
        <v>88</v>
      </c>
      <c r="K552" s="17" t="s">
        <v>1121</v>
      </c>
    </row>
    <row r="553" spans="1:11">
      <c r="A553" s="11" t="s">
        <v>122</v>
      </c>
      <c r="B553" s="12" t="s">
        <v>98</v>
      </c>
      <c r="C553" s="12" t="s">
        <v>57</v>
      </c>
      <c r="D553" s="12" t="s">
        <v>65</v>
      </c>
      <c r="E553" s="12">
        <v>55</v>
      </c>
      <c r="F553" s="13">
        <v>40663</v>
      </c>
      <c r="G553" s="14">
        <v>89419</v>
      </c>
      <c r="H553" s="15">
        <v>0</v>
      </c>
      <c r="I553" s="12" t="s">
        <v>66</v>
      </c>
      <c r="J553" s="12" t="s">
        <v>101</v>
      </c>
      <c r="K553" s="17" t="s">
        <v>1121</v>
      </c>
    </row>
    <row r="554" spans="1:11">
      <c r="A554" s="11" t="s">
        <v>154</v>
      </c>
      <c r="B554" s="12" t="s">
        <v>94</v>
      </c>
      <c r="C554" s="12" t="s">
        <v>64</v>
      </c>
      <c r="D554" s="12" t="s">
        <v>65</v>
      </c>
      <c r="E554" s="12">
        <v>45</v>
      </c>
      <c r="F554" s="13">
        <v>42357</v>
      </c>
      <c r="G554" s="14">
        <v>51983</v>
      </c>
      <c r="H554" s="15">
        <v>0</v>
      </c>
      <c r="I554" s="12" t="s">
        <v>60</v>
      </c>
      <c r="J554" s="12" t="s">
        <v>110</v>
      </c>
      <c r="K554" s="17" t="s">
        <v>1121</v>
      </c>
    </row>
    <row r="555" spans="1:11">
      <c r="A555" s="11" t="s">
        <v>69</v>
      </c>
      <c r="B555" s="12" t="s">
        <v>70</v>
      </c>
      <c r="C555" s="12" t="s">
        <v>83</v>
      </c>
      <c r="D555" s="12" t="s">
        <v>58</v>
      </c>
      <c r="E555" s="12">
        <v>53</v>
      </c>
      <c r="F555" s="13">
        <v>37304</v>
      </c>
      <c r="G555" s="14">
        <v>179494</v>
      </c>
      <c r="H555" s="15">
        <v>0.2</v>
      </c>
      <c r="I555" s="12" t="s">
        <v>66</v>
      </c>
      <c r="J555" s="12" t="s">
        <v>67</v>
      </c>
      <c r="K555" s="17" t="s">
        <v>1121</v>
      </c>
    </row>
    <row r="556" spans="1:11">
      <c r="A556" s="11" t="s">
        <v>303</v>
      </c>
      <c r="B556" s="12" t="s">
        <v>56</v>
      </c>
      <c r="C556" s="12" t="s">
        <v>83</v>
      </c>
      <c r="D556" s="12" t="s">
        <v>65</v>
      </c>
      <c r="E556" s="12">
        <v>49</v>
      </c>
      <c r="F556" s="13">
        <v>42545</v>
      </c>
      <c r="G556" s="14">
        <v>68426</v>
      </c>
      <c r="H556" s="15">
        <v>0</v>
      </c>
      <c r="I556" s="12" t="s">
        <v>113</v>
      </c>
      <c r="J556" s="12" t="s">
        <v>117</v>
      </c>
      <c r="K556" s="17" t="s">
        <v>1121</v>
      </c>
    </row>
    <row r="557" spans="1:11">
      <c r="A557" s="11" t="s">
        <v>55</v>
      </c>
      <c r="B557" s="12" t="s">
        <v>70</v>
      </c>
      <c r="C557" s="12" t="s">
        <v>83</v>
      </c>
      <c r="D557" s="12" t="s">
        <v>58</v>
      </c>
      <c r="E557" s="12">
        <v>55</v>
      </c>
      <c r="F557" s="13">
        <v>42772</v>
      </c>
      <c r="G557" s="14">
        <v>144986</v>
      </c>
      <c r="H557" s="15">
        <v>0.12</v>
      </c>
      <c r="I557" s="12" t="s">
        <v>60</v>
      </c>
      <c r="J557" s="12" t="s">
        <v>79</v>
      </c>
      <c r="K557" s="17" t="s">
        <v>1121</v>
      </c>
    </row>
    <row r="558" spans="1:11">
      <c r="A558" s="11" t="s">
        <v>81</v>
      </c>
      <c r="B558" s="12" t="s">
        <v>82</v>
      </c>
      <c r="C558" s="12" t="s">
        <v>71</v>
      </c>
      <c r="D558" s="12" t="s">
        <v>58</v>
      </c>
      <c r="E558" s="12">
        <v>45</v>
      </c>
      <c r="F558" s="13">
        <v>36754</v>
      </c>
      <c r="G558" s="14">
        <v>60113</v>
      </c>
      <c r="H558" s="15">
        <v>0</v>
      </c>
      <c r="I558" s="12" t="s">
        <v>60</v>
      </c>
      <c r="J558" s="12" t="s">
        <v>73</v>
      </c>
      <c r="K558" s="17" t="s">
        <v>1121</v>
      </c>
    </row>
    <row r="559" spans="1:11">
      <c r="A559" s="11" t="s">
        <v>154</v>
      </c>
      <c r="B559" s="12" t="s">
        <v>94</v>
      </c>
      <c r="C559" s="12" t="s">
        <v>57</v>
      </c>
      <c r="D559" s="12" t="s">
        <v>58</v>
      </c>
      <c r="E559" s="12">
        <v>52</v>
      </c>
      <c r="F559" s="13">
        <v>44304</v>
      </c>
      <c r="G559" s="14">
        <v>50548</v>
      </c>
      <c r="H559" s="15">
        <v>0</v>
      </c>
      <c r="I559" s="12" t="s">
        <v>113</v>
      </c>
      <c r="J559" s="12" t="s">
        <v>184</v>
      </c>
      <c r="K559" s="17" t="s">
        <v>1121</v>
      </c>
    </row>
    <row r="560" spans="1:11">
      <c r="A560" s="11" t="s">
        <v>132</v>
      </c>
      <c r="B560" s="12" t="s">
        <v>105</v>
      </c>
      <c r="C560" s="12" t="s">
        <v>64</v>
      </c>
      <c r="D560" s="12" t="s">
        <v>58</v>
      </c>
      <c r="E560" s="12">
        <v>33</v>
      </c>
      <c r="F560" s="13">
        <v>43904</v>
      </c>
      <c r="G560" s="14">
        <v>68846</v>
      </c>
      <c r="H560" s="15">
        <v>0</v>
      </c>
      <c r="I560" s="12" t="s">
        <v>60</v>
      </c>
      <c r="J560" s="12" t="s">
        <v>73</v>
      </c>
      <c r="K560" s="17" t="s">
        <v>1121</v>
      </c>
    </row>
    <row r="561" spans="1:11">
      <c r="A561" s="11" t="s">
        <v>266</v>
      </c>
      <c r="B561" s="12" t="s">
        <v>56</v>
      </c>
      <c r="C561" s="12" t="s">
        <v>83</v>
      </c>
      <c r="D561" s="12" t="s">
        <v>58</v>
      </c>
      <c r="E561" s="12">
        <v>59</v>
      </c>
      <c r="F561" s="13">
        <v>41717</v>
      </c>
      <c r="G561" s="14">
        <v>90901</v>
      </c>
      <c r="H561" s="15">
        <v>0</v>
      </c>
      <c r="I561" s="12" t="s">
        <v>60</v>
      </c>
      <c r="J561" s="12" t="s">
        <v>61</v>
      </c>
      <c r="K561" s="17" t="s">
        <v>1121</v>
      </c>
    </row>
    <row r="562" spans="1:11">
      <c r="A562" s="11" t="s">
        <v>85</v>
      </c>
      <c r="B562" s="12" t="s">
        <v>90</v>
      </c>
      <c r="C562" s="12" t="s">
        <v>83</v>
      </c>
      <c r="D562" s="12" t="s">
        <v>58</v>
      </c>
      <c r="E562" s="12">
        <v>50</v>
      </c>
      <c r="F562" s="13">
        <v>41155</v>
      </c>
      <c r="G562" s="14">
        <v>102033</v>
      </c>
      <c r="H562" s="15">
        <v>0.08</v>
      </c>
      <c r="I562" s="12" t="s">
        <v>60</v>
      </c>
      <c r="J562" s="12" t="s">
        <v>91</v>
      </c>
      <c r="K562" s="17" t="s">
        <v>1121</v>
      </c>
    </row>
    <row r="563" spans="1:11">
      <c r="A563" s="11" t="s">
        <v>69</v>
      </c>
      <c r="B563" s="12" t="s">
        <v>82</v>
      </c>
      <c r="C563" s="12" t="s">
        <v>64</v>
      </c>
      <c r="D563" s="12" t="s">
        <v>58</v>
      </c>
      <c r="E563" s="12">
        <v>61</v>
      </c>
      <c r="F563" s="13">
        <v>44219</v>
      </c>
      <c r="G563" s="14">
        <v>151783</v>
      </c>
      <c r="H563" s="15">
        <v>0.26</v>
      </c>
      <c r="I563" s="12" t="s">
        <v>60</v>
      </c>
      <c r="J563" s="12" t="s">
        <v>61</v>
      </c>
      <c r="K563" s="17" t="s">
        <v>1121</v>
      </c>
    </row>
    <row r="564" spans="1:11">
      <c r="A564" s="11" t="s">
        <v>69</v>
      </c>
      <c r="B564" s="12" t="s">
        <v>98</v>
      </c>
      <c r="C564" s="12" t="s">
        <v>83</v>
      </c>
      <c r="D564" s="12" t="s">
        <v>58</v>
      </c>
      <c r="E564" s="12">
        <v>27</v>
      </c>
      <c r="F564" s="13">
        <v>43441</v>
      </c>
      <c r="G564" s="14">
        <v>170164</v>
      </c>
      <c r="H564" s="15">
        <v>0.17</v>
      </c>
      <c r="I564" s="12" t="s">
        <v>60</v>
      </c>
      <c r="J564" s="12" t="s">
        <v>91</v>
      </c>
      <c r="K564" s="17" t="s">
        <v>1121</v>
      </c>
    </row>
    <row r="565" spans="1:11">
      <c r="A565" s="11" t="s">
        <v>55</v>
      </c>
      <c r="B565" s="12" t="s">
        <v>105</v>
      </c>
      <c r="C565" s="12" t="s">
        <v>71</v>
      </c>
      <c r="D565" s="12" t="s">
        <v>58</v>
      </c>
      <c r="E565" s="12">
        <v>35</v>
      </c>
      <c r="F565" s="13">
        <v>41690</v>
      </c>
      <c r="G565" s="14">
        <v>155905</v>
      </c>
      <c r="H565" s="15">
        <v>0.14</v>
      </c>
      <c r="I565" s="12" t="s">
        <v>60</v>
      </c>
      <c r="J565" s="12" t="s">
        <v>79</v>
      </c>
      <c r="K565" s="17" t="s">
        <v>1121</v>
      </c>
    </row>
    <row r="566" spans="1:11">
      <c r="A566" s="11" t="s">
        <v>87</v>
      </c>
      <c r="B566" s="12" t="s">
        <v>82</v>
      </c>
      <c r="C566" s="12" t="s">
        <v>83</v>
      </c>
      <c r="D566" s="12" t="s">
        <v>65</v>
      </c>
      <c r="E566" s="12">
        <v>40</v>
      </c>
      <c r="F566" s="13">
        <v>42721</v>
      </c>
      <c r="G566" s="14">
        <v>50733</v>
      </c>
      <c r="H566" s="15">
        <v>0</v>
      </c>
      <c r="I566" s="12" t="s">
        <v>60</v>
      </c>
      <c r="J566" s="12" t="s">
        <v>88</v>
      </c>
      <c r="K566" s="17" t="s">
        <v>1121</v>
      </c>
    </row>
    <row r="567" spans="1:11">
      <c r="A567" s="11" t="s">
        <v>143</v>
      </c>
      <c r="B567" s="12" t="s">
        <v>94</v>
      </c>
      <c r="C567" s="12" t="s">
        <v>83</v>
      </c>
      <c r="D567" s="12" t="s">
        <v>58</v>
      </c>
      <c r="E567" s="12">
        <v>30</v>
      </c>
      <c r="F567" s="13">
        <v>42761</v>
      </c>
      <c r="G567" s="14">
        <v>88663</v>
      </c>
      <c r="H567" s="15">
        <v>0</v>
      </c>
      <c r="I567" s="12" t="s">
        <v>60</v>
      </c>
      <c r="J567" s="12" t="s">
        <v>79</v>
      </c>
      <c r="K567" s="17" t="s">
        <v>1121</v>
      </c>
    </row>
    <row r="568" spans="1:11">
      <c r="A568" s="11" t="s">
        <v>160</v>
      </c>
      <c r="B568" s="12" t="s">
        <v>98</v>
      </c>
      <c r="C568" s="12" t="s">
        <v>64</v>
      </c>
      <c r="D568" s="12" t="s">
        <v>65</v>
      </c>
      <c r="E568" s="12">
        <v>60</v>
      </c>
      <c r="F568" s="13">
        <v>33890</v>
      </c>
      <c r="G568" s="14">
        <v>88213</v>
      </c>
      <c r="H568" s="15">
        <v>0</v>
      </c>
      <c r="I568" s="12" t="s">
        <v>66</v>
      </c>
      <c r="J568" s="12" t="s">
        <v>67</v>
      </c>
      <c r="K568" s="17" t="s">
        <v>1121</v>
      </c>
    </row>
    <row r="569" spans="1:11">
      <c r="A569" s="11" t="s">
        <v>132</v>
      </c>
      <c r="B569" s="12" t="s">
        <v>82</v>
      </c>
      <c r="C569" s="12" t="s">
        <v>71</v>
      </c>
      <c r="D569" s="12" t="s">
        <v>65</v>
      </c>
      <c r="E569" s="12">
        <v>55</v>
      </c>
      <c r="F569" s="13">
        <v>44410</v>
      </c>
      <c r="G569" s="14">
        <v>67130</v>
      </c>
      <c r="H569" s="15">
        <v>0</v>
      </c>
      <c r="I569" s="12" t="s">
        <v>60</v>
      </c>
      <c r="J569" s="12" t="s">
        <v>88</v>
      </c>
      <c r="K569" s="17" t="s">
        <v>1121</v>
      </c>
    </row>
    <row r="570" spans="1:11">
      <c r="A570" s="11" t="s">
        <v>78</v>
      </c>
      <c r="B570" s="12" t="s">
        <v>70</v>
      </c>
      <c r="C570" s="12" t="s">
        <v>71</v>
      </c>
      <c r="D570" s="12" t="s">
        <v>58</v>
      </c>
      <c r="E570" s="12">
        <v>33</v>
      </c>
      <c r="F570" s="13">
        <v>42285</v>
      </c>
      <c r="G570" s="14">
        <v>94876</v>
      </c>
      <c r="H570" s="15">
        <v>0</v>
      </c>
      <c r="I570" s="12" t="s">
        <v>60</v>
      </c>
      <c r="J570" s="12" t="s">
        <v>88</v>
      </c>
      <c r="K570" s="17" t="s">
        <v>1121</v>
      </c>
    </row>
    <row r="571" spans="1:11">
      <c r="A571" s="11" t="s">
        <v>216</v>
      </c>
      <c r="B571" s="12" t="s">
        <v>98</v>
      </c>
      <c r="C571" s="12" t="s">
        <v>71</v>
      </c>
      <c r="D571" s="12" t="s">
        <v>65</v>
      </c>
      <c r="E571" s="12">
        <v>62</v>
      </c>
      <c r="F571" s="13">
        <v>34616</v>
      </c>
      <c r="G571" s="14">
        <v>98230</v>
      </c>
      <c r="H571" s="15">
        <v>0</v>
      </c>
      <c r="I571" s="12" t="s">
        <v>60</v>
      </c>
      <c r="J571" s="12" t="s">
        <v>88</v>
      </c>
      <c r="K571" s="17" t="s">
        <v>1121</v>
      </c>
    </row>
    <row r="572" spans="1:11">
      <c r="A572" s="11" t="s">
        <v>187</v>
      </c>
      <c r="B572" s="12" t="s">
        <v>98</v>
      </c>
      <c r="C572" s="12" t="s">
        <v>57</v>
      </c>
      <c r="D572" s="12" t="s">
        <v>58</v>
      </c>
      <c r="E572" s="12">
        <v>36</v>
      </c>
      <c r="F572" s="13">
        <v>43448</v>
      </c>
      <c r="G572" s="14">
        <v>96757</v>
      </c>
      <c r="H572" s="15">
        <v>0</v>
      </c>
      <c r="I572" s="12" t="s">
        <v>60</v>
      </c>
      <c r="J572" s="12" t="s">
        <v>110</v>
      </c>
      <c r="K572" s="17" t="s">
        <v>1121</v>
      </c>
    </row>
    <row r="573" spans="1:11">
      <c r="A573" s="11" t="s">
        <v>132</v>
      </c>
      <c r="B573" s="12" t="s">
        <v>105</v>
      </c>
      <c r="C573" s="12" t="s">
        <v>64</v>
      </c>
      <c r="D573" s="12" t="s">
        <v>65</v>
      </c>
      <c r="E573" s="12">
        <v>35</v>
      </c>
      <c r="F573" s="13">
        <v>44015</v>
      </c>
      <c r="G573" s="14">
        <v>51513</v>
      </c>
      <c r="H573" s="15">
        <v>0</v>
      </c>
      <c r="I573" s="12" t="s">
        <v>60</v>
      </c>
      <c r="J573" s="12" t="s">
        <v>110</v>
      </c>
      <c r="K573" s="17" t="s">
        <v>1121</v>
      </c>
    </row>
    <row r="574" spans="1:11">
      <c r="A574" s="11" t="s">
        <v>104</v>
      </c>
      <c r="B574" s="12" t="s">
        <v>105</v>
      </c>
      <c r="C574" s="12" t="s">
        <v>83</v>
      </c>
      <c r="D574" s="12" t="s">
        <v>65</v>
      </c>
      <c r="E574" s="12">
        <v>60</v>
      </c>
      <c r="F574" s="13">
        <v>39109</v>
      </c>
      <c r="G574" s="14">
        <v>234311</v>
      </c>
      <c r="H574" s="15">
        <v>0.37</v>
      </c>
      <c r="I574" s="12" t="s">
        <v>60</v>
      </c>
      <c r="J574" s="12" t="s">
        <v>88</v>
      </c>
      <c r="K574" s="17" t="s">
        <v>1121</v>
      </c>
    </row>
    <row r="575" spans="1:11">
      <c r="A575" s="11" t="s">
        <v>55</v>
      </c>
      <c r="B575" s="12" t="s">
        <v>94</v>
      </c>
      <c r="C575" s="12" t="s">
        <v>71</v>
      </c>
      <c r="D575" s="12" t="s">
        <v>58</v>
      </c>
      <c r="E575" s="12">
        <v>45</v>
      </c>
      <c r="F575" s="13">
        <v>40685</v>
      </c>
      <c r="G575" s="14">
        <v>152353</v>
      </c>
      <c r="H575" s="15">
        <v>0.14</v>
      </c>
      <c r="I575" s="12" t="s">
        <v>60</v>
      </c>
      <c r="J575" s="12" t="s">
        <v>61</v>
      </c>
      <c r="K575" s="17" t="s">
        <v>1121</v>
      </c>
    </row>
    <row r="576" spans="1:11">
      <c r="A576" s="11" t="s">
        <v>55</v>
      </c>
      <c r="B576" s="12" t="s">
        <v>90</v>
      </c>
      <c r="C576" s="12" t="s">
        <v>71</v>
      </c>
      <c r="D576" s="12" t="s">
        <v>58</v>
      </c>
      <c r="E576" s="12">
        <v>48</v>
      </c>
      <c r="F576" s="13">
        <v>40389</v>
      </c>
      <c r="G576" s="14">
        <v>124774</v>
      </c>
      <c r="H576" s="15">
        <v>0.12</v>
      </c>
      <c r="I576" s="12" t="s">
        <v>60</v>
      </c>
      <c r="J576" s="12" t="s">
        <v>79</v>
      </c>
      <c r="K576" s="17" t="s">
        <v>1121</v>
      </c>
    </row>
    <row r="577" spans="1:11">
      <c r="A577" s="11" t="s">
        <v>69</v>
      </c>
      <c r="B577" s="12" t="s">
        <v>105</v>
      </c>
      <c r="C577" s="12" t="s">
        <v>83</v>
      </c>
      <c r="D577" s="12" t="s">
        <v>58</v>
      </c>
      <c r="E577" s="12">
        <v>36</v>
      </c>
      <c r="F577" s="13">
        <v>40434</v>
      </c>
      <c r="G577" s="14">
        <v>157070</v>
      </c>
      <c r="H577" s="15">
        <v>0.28</v>
      </c>
      <c r="I577" s="12" t="s">
        <v>66</v>
      </c>
      <c r="J577" s="12" t="s">
        <v>67</v>
      </c>
      <c r="K577" s="17" t="s">
        <v>1121</v>
      </c>
    </row>
    <row r="578" spans="1:11">
      <c r="A578" s="11" t="s">
        <v>55</v>
      </c>
      <c r="B578" s="12" t="s">
        <v>70</v>
      </c>
      <c r="C578" s="12" t="s">
        <v>71</v>
      </c>
      <c r="D578" s="12" t="s">
        <v>65</v>
      </c>
      <c r="E578" s="12">
        <v>44</v>
      </c>
      <c r="F578" s="13">
        <v>43685</v>
      </c>
      <c r="G578" s="14">
        <v>130133</v>
      </c>
      <c r="H578" s="15">
        <v>0.15</v>
      </c>
      <c r="I578" s="12" t="s">
        <v>60</v>
      </c>
      <c r="J578" s="12" t="s">
        <v>91</v>
      </c>
      <c r="K578" s="17">
        <v>44699</v>
      </c>
    </row>
    <row r="579" spans="1:11">
      <c r="A579" s="11" t="s">
        <v>85</v>
      </c>
      <c r="B579" s="12" t="s">
        <v>105</v>
      </c>
      <c r="C579" s="12" t="s">
        <v>64</v>
      </c>
      <c r="D579" s="12" t="s">
        <v>58</v>
      </c>
      <c r="E579" s="12">
        <v>64</v>
      </c>
      <c r="F579" s="13">
        <v>43729</v>
      </c>
      <c r="G579" s="14">
        <v>108780</v>
      </c>
      <c r="H579" s="15">
        <v>0.06</v>
      </c>
      <c r="I579" s="12" t="s">
        <v>66</v>
      </c>
      <c r="J579" s="12" t="s">
        <v>101</v>
      </c>
      <c r="K579" s="17" t="s">
        <v>1121</v>
      </c>
    </row>
    <row r="580" spans="1:11">
      <c r="A580" s="11" t="s">
        <v>69</v>
      </c>
      <c r="B580" s="12" t="s">
        <v>98</v>
      </c>
      <c r="C580" s="12" t="s">
        <v>71</v>
      </c>
      <c r="D580" s="12" t="s">
        <v>58</v>
      </c>
      <c r="E580" s="12">
        <v>46</v>
      </c>
      <c r="F580" s="13">
        <v>44125</v>
      </c>
      <c r="G580" s="14">
        <v>151853</v>
      </c>
      <c r="H580" s="15">
        <v>0.16</v>
      </c>
      <c r="I580" s="12" t="s">
        <v>66</v>
      </c>
      <c r="J580" s="12" t="s">
        <v>138</v>
      </c>
      <c r="K580" s="17" t="s">
        <v>1121</v>
      </c>
    </row>
    <row r="581" spans="1:11">
      <c r="A581" s="11" t="s">
        <v>81</v>
      </c>
      <c r="B581" s="12" t="s">
        <v>82</v>
      </c>
      <c r="C581" s="12" t="s">
        <v>64</v>
      </c>
      <c r="D581" s="12" t="s">
        <v>58</v>
      </c>
      <c r="E581" s="12">
        <v>62</v>
      </c>
      <c r="F581" s="13">
        <v>38977</v>
      </c>
      <c r="G581" s="14">
        <v>64669</v>
      </c>
      <c r="H581" s="15">
        <v>0</v>
      </c>
      <c r="I581" s="12" t="s">
        <v>66</v>
      </c>
      <c r="J581" s="12" t="s">
        <v>67</v>
      </c>
      <c r="K581" s="17" t="s">
        <v>1121</v>
      </c>
    </row>
    <row r="582" spans="1:11">
      <c r="A582" s="11" t="s">
        <v>132</v>
      </c>
      <c r="B582" s="12" t="s">
        <v>105</v>
      </c>
      <c r="C582" s="12" t="s">
        <v>57</v>
      </c>
      <c r="D582" s="12" t="s">
        <v>65</v>
      </c>
      <c r="E582" s="12">
        <v>61</v>
      </c>
      <c r="F582" s="13">
        <v>39568</v>
      </c>
      <c r="G582" s="14">
        <v>69352</v>
      </c>
      <c r="H582" s="15">
        <v>0</v>
      </c>
      <c r="I582" s="12" t="s">
        <v>113</v>
      </c>
      <c r="J582" s="12" t="s">
        <v>117</v>
      </c>
      <c r="K582" s="17" t="s">
        <v>1121</v>
      </c>
    </row>
    <row r="583" spans="1:11">
      <c r="A583" s="11" t="s">
        <v>132</v>
      </c>
      <c r="B583" s="12" t="s">
        <v>105</v>
      </c>
      <c r="C583" s="12" t="s">
        <v>57</v>
      </c>
      <c r="D583" s="12" t="s">
        <v>65</v>
      </c>
      <c r="E583" s="12">
        <v>65</v>
      </c>
      <c r="F583" s="13">
        <v>37181</v>
      </c>
      <c r="G583" s="14">
        <v>74631</v>
      </c>
      <c r="H583" s="15">
        <v>0</v>
      </c>
      <c r="I583" s="12" t="s">
        <v>66</v>
      </c>
      <c r="J583" s="12" t="s">
        <v>67</v>
      </c>
      <c r="K583" s="17" t="s">
        <v>1121</v>
      </c>
    </row>
    <row r="584" spans="1:11">
      <c r="A584" s="11" t="s">
        <v>122</v>
      </c>
      <c r="B584" s="12" t="s">
        <v>98</v>
      </c>
      <c r="C584" s="12" t="s">
        <v>71</v>
      </c>
      <c r="D584" s="12" t="s">
        <v>65</v>
      </c>
      <c r="E584" s="12">
        <v>54</v>
      </c>
      <c r="F584" s="13">
        <v>41028</v>
      </c>
      <c r="G584" s="14">
        <v>96441</v>
      </c>
      <c r="H584" s="15">
        <v>0</v>
      </c>
      <c r="I584" s="12" t="s">
        <v>113</v>
      </c>
      <c r="J584" s="12" t="s">
        <v>184</v>
      </c>
      <c r="K584" s="17" t="s">
        <v>1121</v>
      </c>
    </row>
    <row r="585" spans="1:11">
      <c r="A585" s="11" t="s">
        <v>125</v>
      </c>
      <c r="B585" s="12" t="s">
        <v>98</v>
      </c>
      <c r="C585" s="12" t="s">
        <v>71</v>
      </c>
      <c r="D585" s="12" t="s">
        <v>65</v>
      </c>
      <c r="E585" s="12">
        <v>46</v>
      </c>
      <c r="F585" s="13">
        <v>40836</v>
      </c>
      <c r="G585" s="14">
        <v>114250</v>
      </c>
      <c r="H585" s="15">
        <v>0.14</v>
      </c>
      <c r="I585" s="12" t="s">
        <v>66</v>
      </c>
      <c r="J585" s="12" t="s">
        <v>138</v>
      </c>
      <c r="K585" s="17" t="s">
        <v>1121</v>
      </c>
    </row>
    <row r="586" spans="1:11">
      <c r="A586" s="11" t="s">
        <v>75</v>
      </c>
      <c r="B586" s="12" t="s">
        <v>56</v>
      </c>
      <c r="C586" s="12" t="s">
        <v>83</v>
      </c>
      <c r="D586" s="12" t="s">
        <v>65</v>
      </c>
      <c r="E586" s="12">
        <v>36</v>
      </c>
      <c r="F586" s="13">
        <v>44192</v>
      </c>
      <c r="G586" s="14">
        <v>70165</v>
      </c>
      <c r="H586" s="15">
        <v>0.07</v>
      </c>
      <c r="I586" s="12" t="s">
        <v>113</v>
      </c>
      <c r="J586" s="12" t="s">
        <v>114</v>
      </c>
      <c r="K586" s="17" t="s">
        <v>1121</v>
      </c>
    </row>
    <row r="587" spans="1:11">
      <c r="A587" s="11" t="s">
        <v>85</v>
      </c>
      <c r="B587" s="12" t="s">
        <v>56</v>
      </c>
      <c r="C587" s="12" t="s">
        <v>83</v>
      </c>
      <c r="D587" s="12" t="s">
        <v>65</v>
      </c>
      <c r="E587" s="12">
        <v>60</v>
      </c>
      <c r="F587" s="13">
        <v>36554</v>
      </c>
      <c r="G587" s="14">
        <v>109059</v>
      </c>
      <c r="H587" s="15">
        <v>0.07</v>
      </c>
      <c r="I587" s="12" t="s">
        <v>66</v>
      </c>
      <c r="J587" s="12" t="s">
        <v>138</v>
      </c>
      <c r="K587" s="17" t="s">
        <v>1121</v>
      </c>
    </row>
    <row r="588" spans="1:11">
      <c r="A588" s="11" t="s">
        <v>164</v>
      </c>
      <c r="B588" s="12" t="s">
        <v>98</v>
      </c>
      <c r="C588" s="12" t="s">
        <v>57</v>
      </c>
      <c r="D588" s="12" t="s">
        <v>58</v>
      </c>
      <c r="E588" s="12">
        <v>30</v>
      </c>
      <c r="F588" s="13">
        <v>42322</v>
      </c>
      <c r="G588" s="14">
        <v>77442</v>
      </c>
      <c r="H588" s="15">
        <v>0</v>
      </c>
      <c r="I588" s="12" t="s">
        <v>60</v>
      </c>
      <c r="J588" s="12" t="s">
        <v>110</v>
      </c>
      <c r="K588" s="17" t="s">
        <v>1121</v>
      </c>
    </row>
    <row r="589" spans="1:11">
      <c r="A589" s="11" t="s">
        <v>132</v>
      </c>
      <c r="B589" s="12" t="s">
        <v>82</v>
      </c>
      <c r="C589" s="12" t="s">
        <v>83</v>
      </c>
      <c r="D589" s="12" t="s">
        <v>58</v>
      </c>
      <c r="E589" s="12">
        <v>34</v>
      </c>
      <c r="F589" s="13">
        <v>41066</v>
      </c>
      <c r="G589" s="14">
        <v>72126</v>
      </c>
      <c r="H589" s="15">
        <v>0</v>
      </c>
      <c r="I589" s="12" t="s">
        <v>113</v>
      </c>
      <c r="J589" s="12" t="s">
        <v>114</v>
      </c>
      <c r="K589" s="17" t="s">
        <v>1121</v>
      </c>
    </row>
    <row r="590" spans="1:11">
      <c r="A590" s="11" t="s">
        <v>314</v>
      </c>
      <c r="B590" s="12" t="s">
        <v>56</v>
      </c>
      <c r="C590" s="12" t="s">
        <v>64</v>
      </c>
      <c r="D590" s="12" t="s">
        <v>65</v>
      </c>
      <c r="E590" s="12">
        <v>55</v>
      </c>
      <c r="F590" s="13">
        <v>41565</v>
      </c>
      <c r="G590" s="14">
        <v>70334</v>
      </c>
      <c r="H590" s="15">
        <v>0</v>
      </c>
      <c r="I590" s="12" t="s">
        <v>60</v>
      </c>
      <c r="J590" s="12" t="s">
        <v>88</v>
      </c>
      <c r="K590" s="17" t="s">
        <v>1121</v>
      </c>
    </row>
    <row r="591" spans="1:11">
      <c r="A591" s="11" t="s">
        <v>122</v>
      </c>
      <c r="B591" s="12" t="s">
        <v>98</v>
      </c>
      <c r="C591" s="12" t="s">
        <v>57</v>
      </c>
      <c r="D591" s="12" t="s">
        <v>65</v>
      </c>
      <c r="E591" s="12">
        <v>59</v>
      </c>
      <c r="F591" s="13">
        <v>40170</v>
      </c>
      <c r="G591" s="14">
        <v>78006</v>
      </c>
      <c r="H591" s="15">
        <v>0</v>
      </c>
      <c r="I591" s="12" t="s">
        <v>60</v>
      </c>
      <c r="J591" s="12" t="s">
        <v>88</v>
      </c>
      <c r="K591" s="17" t="s">
        <v>1121</v>
      </c>
    </row>
    <row r="592" spans="1:11">
      <c r="A592" s="11" t="s">
        <v>69</v>
      </c>
      <c r="B592" s="12" t="s">
        <v>56</v>
      </c>
      <c r="C592" s="12" t="s">
        <v>64</v>
      </c>
      <c r="D592" s="12" t="s">
        <v>58</v>
      </c>
      <c r="E592" s="12">
        <v>28</v>
      </c>
      <c r="F592" s="13">
        <v>44221</v>
      </c>
      <c r="G592" s="14">
        <v>160385</v>
      </c>
      <c r="H592" s="15">
        <v>0.23</v>
      </c>
      <c r="I592" s="12" t="s">
        <v>60</v>
      </c>
      <c r="J592" s="12" t="s">
        <v>88</v>
      </c>
      <c r="K592" s="17">
        <v>44334</v>
      </c>
    </row>
    <row r="593" spans="1:11">
      <c r="A593" s="11" t="s">
        <v>104</v>
      </c>
      <c r="B593" s="12" t="s">
        <v>70</v>
      </c>
      <c r="C593" s="12" t="s">
        <v>83</v>
      </c>
      <c r="D593" s="12" t="s">
        <v>58</v>
      </c>
      <c r="E593" s="12">
        <v>36</v>
      </c>
      <c r="F593" s="13">
        <v>41650</v>
      </c>
      <c r="G593" s="14">
        <v>202323</v>
      </c>
      <c r="H593" s="15">
        <v>0.39</v>
      </c>
      <c r="I593" s="12" t="s">
        <v>60</v>
      </c>
      <c r="J593" s="12" t="s">
        <v>73</v>
      </c>
      <c r="K593" s="17" t="s">
        <v>1121</v>
      </c>
    </row>
    <row r="594" spans="1:11">
      <c r="A594" s="11" t="s">
        <v>55</v>
      </c>
      <c r="B594" s="12" t="s">
        <v>94</v>
      </c>
      <c r="C594" s="12" t="s">
        <v>83</v>
      </c>
      <c r="D594" s="12" t="s">
        <v>58</v>
      </c>
      <c r="E594" s="12">
        <v>29</v>
      </c>
      <c r="F594" s="13">
        <v>44025</v>
      </c>
      <c r="G594" s="14">
        <v>141555</v>
      </c>
      <c r="H594" s="15">
        <v>0.11</v>
      </c>
      <c r="I594" s="12" t="s">
        <v>113</v>
      </c>
      <c r="J594" s="12" t="s">
        <v>114</v>
      </c>
      <c r="K594" s="17" t="s">
        <v>1121</v>
      </c>
    </row>
    <row r="595" spans="1:11">
      <c r="A595" s="11" t="s">
        <v>69</v>
      </c>
      <c r="B595" s="12" t="s">
        <v>70</v>
      </c>
      <c r="C595" s="12" t="s">
        <v>71</v>
      </c>
      <c r="D595" s="12" t="s">
        <v>58</v>
      </c>
      <c r="E595" s="12">
        <v>34</v>
      </c>
      <c r="F595" s="13">
        <v>44032</v>
      </c>
      <c r="G595" s="14">
        <v>184960</v>
      </c>
      <c r="H595" s="15">
        <v>0.18</v>
      </c>
      <c r="I595" s="12" t="s">
        <v>60</v>
      </c>
      <c r="J595" s="12" t="s">
        <v>61</v>
      </c>
      <c r="K595" s="17" t="s">
        <v>1121</v>
      </c>
    </row>
    <row r="596" spans="1:11">
      <c r="A596" s="11" t="s">
        <v>104</v>
      </c>
      <c r="B596" s="12" t="s">
        <v>56</v>
      </c>
      <c r="C596" s="12" t="s">
        <v>64</v>
      </c>
      <c r="D596" s="12" t="s">
        <v>65</v>
      </c>
      <c r="E596" s="12">
        <v>37</v>
      </c>
      <c r="F596" s="13">
        <v>40719</v>
      </c>
      <c r="G596" s="14">
        <v>221592</v>
      </c>
      <c r="H596" s="15">
        <v>0.31</v>
      </c>
      <c r="I596" s="12" t="s">
        <v>60</v>
      </c>
      <c r="J596" s="12" t="s">
        <v>110</v>
      </c>
      <c r="K596" s="17" t="s">
        <v>1121</v>
      </c>
    </row>
    <row r="597" spans="1:11">
      <c r="A597" s="11" t="s">
        <v>154</v>
      </c>
      <c r="B597" s="12" t="s">
        <v>94</v>
      </c>
      <c r="C597" s="12" t="s">
        <v>64</v>
      </c>
      <c r="D597" s="12" t="s">
        <v>58</v>
      </c>
      <c r="E597" s="12">
        <v>44</v>
      </c>
      <c r="F597" s="13">
        <v>39841</v>
      </c>
      <c r="G597" s="14">
        <v>53301</v>
      </c>
      <c r="H597" s="15">
        <v>0</v>
      </c>
      <c r="I597" s="12" t="s">
        <v>60</v>
      </c>
      <c r="J597" s="12" t="s">
        <v>61</v>
      </c>
      <c r="K597" s="17" t="s">
        <v>1121</v>
      </c>
    </row>
    <row r="598" spans="1:11">
      <c r="A598" s="11" t="s">
        <v>178</v>
      </c>
      <c r="B598" s="12" t="s">
        <v>56</v>
      </c>
      <c r="C598" s="12" t="s">
        <v>83</v>
      </c>
      <c r="D598" s="12" t="s">
        <v>65</v>
      </c>
      <c r="E598" s="12">
        <v>45</v>
      </c>
      <c r="F598" s="13">
        <v>36587</v>
      </c>
      <c r="G598" s="14">
        <v>91276</v>
      </c>
      <c r="H598" s="15">
        <v>0</v>
      </c>
      <c r="I598" s="12" t="s">
        <v>60</v>
      </c>
      <c r="J598" s="12" t="s">
        <v>61</v>
      </c>
      <c r="K598" s="17" t="s">
        <v>1121</v>
      </c>
    </row>
    <row r="599" spans="1:11">
      <c r="A599" s="11" t="s">
        <v>55</v>
      </c>
      <c r="B599" s="12" t="s">
        <v>94</v>
      </c>
      <c r="C599" s="12" t="s">
        <v>57</v>
      </c>
      <c r="D599" s="12" t="s">
        <v>58</v>
      </c>
      <c r="E599" s="12">
        <v>52</v>
      </c>
      <c r="F599" s="13">
        <v>42983</v>
      </c>
      <c r="G599" s="14">
        <v>140042</v>
      </c>
      <c r="H599" s="15">
        <v>0.13</v>
      </c>
      <c r="I599" s="12" t="s">
        <v>60</v>
      </c>
      <c r="J599" s="12" t="s">
        <v>91</v>
      </c>
      <c r="K599" s="17" t="s">
        <v>1121</v>
      </c>
    </row>
    <row r="600" spans="1:11">
      <c r="A600" s="11" t="s">
        <v>87</v>
      </c>
      <c r="B600" s="12" t="s">
        <v>90</v>
      </c>
      <c r="C600" s="12" t="s">
        <v>64</v>
      </c>
      <c r="D600" s="12" t="s">
        <v>58</v>
      </c>
      <c r="E600" s="12">
        <v>40</v>
      </c>
      <c r="F600" s="13">
        <v>43440</v>
      </c>
      <c r="G600" s="14">
        <v>57225</v>
      </c>
      <c r="H600" s="15">
        <v>0</v>
      </c>
      <c r="I600" s="12" t="s">
        <v>60</v>
      </c>
      <c r="J600" s="12" t="s">
        <v>110</v>
      </c>
      <c r="K600" s="17" t="s">
        <v>1121</v>
      </c>
    </row>
    <row r="601" spans="1:11">
      <c r="A601" s="11" t="s">
        <v>85</v>
      </c>
      <c r="B601" s="12" t="s">
        <v>94</v>
      </c>
      <c r="C601" s="12" t="s">
        <v>71</v>
      </c>
      <c r="D601" s="12" t="s">
        <v>58</v>
      </c>
      <c r="E601" s="12">
        <v>55</v>
      </c>
      <c r="F601" s="13">
        <v>40233</v>
      </c>
      <c r="G601" s="14">
        <v>102839</v>
      </c>
      <c r="H601" s="15">
        <v>0.05</v>
      </c>
      <c r="I601" s="12" t="s">
        <v>60</v>
      </c>
      <c r="J601" s="12" t="s">
        <v>88</v>
      </c>
      <c r="K601" s="17" t="s">
        <v>1121</v>
      </c>
    </row>
    <row r="602" spans="1:11">
      <c r="A602" s="11" t="s">
        <v>69</v>
      </c>
      <c r="B602" s="12" t="s">
        <v>105</v>
      </c>
      <c r="C602" s="12" t="s">
        <v>57</v>
      </c>
      <c r="D602" s="12" t="s">
        <v>65</v>
      </c>
      <c r="E602" s="12">
        <v>29</v>
      </c>
      <c r="F602" s="13">
        <v>44454</v>
      </c>
      <c r="G602" s="14">
        <v>199783</v>
      </c>
      <c r="H602" s="15">
        <v>0.21</v>
      </c>
      <c r="I602" s="12" t="s">
        <v>60</v>
      </c>
      <c r="J602" s="12" t="s">
        <v>73</v>
      </c>
      <c r="K602" s="17">
        <v>44661</v>
      </c>
    </row>
    <row r="603" spans="1:11">
      <c r="A603" s="11" t="s">
        <v>143</v>
      </c>
      <c r="B603" s="12" t="s">
        <v>94</v>
      </c>
      <c r="C603" s="12" t="s">
        <v>57</v>
      </c>
      <c r="D603" s="12" t="s">
        <v>65</v>
      </c>
      <c r="E603" s="12">
        <v>32</v>
      </c>
      <c r="F603" s="13">
        <v>44295</v>
      </c>
      <c r="G603" s="14">
        <v>70980</v>
      </c>
      <c r="H603" s="15">
        <v>0</v>
      </c>
      <c r="I603" s="12" t="s">
        <v>113</v>
      </c>
      <c r="J603" s="12" t="s">
        <v>117</v>
      </c>
      <c r="K603" s="17" t="s">
        <v>1121</v>
      </c>
    </row>
    <row r="604" spans="1:11">
      <c r="A604" s="11" t="s">
        <v>85</v>
      </c>
      <c r="B604" s="12" t="s">
        <v>105</v>
      </c>
      <c r="C604" s="12" t="s">
        <v>83</v>
      </c>
      <c r="D604" s="12" t="s">
        <v>65</v>
      </c>
      <c r="E604" s="12">
        <v>51</v>
      </c>
      <c r="F604" s="13">
        <v>35456</v>
      </c>
      <c r="G604" s="14">
        <v>104431</v>
      </c>
      <c r="H604" s="15">
        <v>0.07</v>
      </c>
      <c r="I604" s="12" t="s">
        <v>60</v>
      </c>
      <c r="J604" s="12" t="s">
        <v>79</v>
      </c>
      <c r="K604" s="17" t="s">
        <v>1121</v>
      </c>
    </row>
    <row r="605" spans="1:11">
      <c r="A605" s="11" t="s">
        <v>166</v>
      </c>
      <c r="B605" s="12" t="s">
        <v>94</v>
      </c>
      <c r="C605" s="12" t="s">
        <v>71</v>
      </c>
      <c r="D605" s="12" t="s">
        <v>65</v>
      </c>
      <c r="E605" s="12">
        <v>28</v>
      </c>
      <c r="F605" s="13">
        <v>44374</v>
      </c>
      <c r="G605" s="14">
        <v>48510</v>
      </c>
      <c r="H605" s="15">
        <v>0</v>
      </c>
      <c r="I605" s="12" t="s">
        <v>60</v>
      </c>
      <c r="J605" s="12" t="s">
        <v>73</v>
      </c>
      <c r="K605" s="17" t="s">
        <v>1121</v>
      </c>
    </row>
    <row r="606" spans="1:11">
      <c r="A606" s="11" t="s">
        <v>122</v>
      </c>
      <c r="B606" s="12" t="s">
        <v>98</v>
      </c>
      <c r="C606" s="12" t="s">
        <v>71</v>
      </c>
      <c r="D606" s="12" t="s">
        <v>65</v>
      </c>
      <c r="E606" s="12">
        <v>27</v>
      </c>
      <c r="F606" s="13">
        <v>43613</v>
      </c>
      <c r="G606" s="14">
        <v>70110</v>
      </c>
      <c r="H606" s="15">
        <v>0</v>
      </c>
      <c r="I606" s="12" t="s">
        <v>60</v>
      </c>
      <c r="J606" s="12" t="s">
        <v>88</v>
      </c>
      <c r="K606" s="17">
        <v>44203</v>
      </c>
    </row>
    <row r="607" spans="1:11">
      <c r="A607" s="11" t="s">
        <v>69</v>
      </c>
      <c r="B607" s="12" t="s">
        <v>105</v>
      </c>
      <c r="C607" s="12" t="s">
        <v>83</v>
      </c>
      <c r="D607" s="12" t="s">
        <v>65</v>
      </c>
      <c r="E607" s="12">
        <v>45</v>
      </c>
      <c r="F607" s="13">
        <v>39519</v>
      </c>
      <c r="G607" s="14">
        <v>186138</v>
      </c>
      <c r="H607" s="15">
        <v>0.28</v>
      </c>
      <c r="I607" s="12" t="s">
        <v>66</v>
      </c>
      <c r="J607" s="12" t="s">
        <v>67</v>
      </c>
      <c r="K607" s="17" t="s">
        <v>1121</v>
      </c>
    </row>
    <row r="608" spans="1:11">
      <c r="A608" s="11" t="s">
        <v>87</v>
      </c>
      <c r="B608" s="12" t="s">
        <v>90</v>
      </c>
      <c r="C608" s="12" t="s">
        <v>64</v>
      </c>
      <c r="D608" s="12" t="s">
        <v>65</v>
      </c>
      <c r="E608" s="12">
        <v>58</v>
      </c>
      <c r="F608" s="13">
        <v>40287</v>
      </c>
      <c r="G608" s="14">
        <v>56350</v>
      </c>
      <c r="H608" s="15">
        <v>0</v>
      </c>
      <c r="I608" s="12" t="s">
        <v>113</v>
      </c>
      <c r="J608" s="12" t="s">
        <v>117</v>
      </c>
      <c r="K608" s="17" t="s">
        <v>1121</v>
      </c>
    </row>
    <row r="609" spans="1:11">
      <c r="A609" s="11" t="s">
        <v>55</v>
      </c>
      <c r="B609" s="12" t="s">
        <v>70</v>
      </c>
      <c r="C609" s="12" t="s">
        <v>57</v>
      </c>
      <c r="D609" s="12" t="s">
        <v>58</v>
      </c>
      <c r="E609" s="12">
        <v>45</v>
      </c>
      <c r="F609" s="13">
        <v>42379</v>
      </c>
      <c r="G609" s="14">
        <v>149761</v>
      </c>
      <c r="H609" s="15">
        <v>0.12</v>
      </c>
      <c r="I609" s="12" t="s">
        <v>60</v>
      </c>
      <c r="J609" s="12" t="s">
        <v>110</v>
      </c>
      <c r="K609" s="17" t="s">
        <v>1121</v>
      </c>
    </row>
    <row r="610" spans="1:11">
      <c r="A610" s="11" t="s">
        <v>55</v>
      </c>
      <c r="B610" s="12" t="s">
        <v>70</v>
      </c>
      <c r="C610" s="12" t="s">
        <v>83</v>
      </c>
      <c r="D610" s="12" t="s">
        <v>65</v>
      </c>
      <c r="E610" s="12">
        <v>44</v>
      </c>
      <c r="F610" s="13">
        <v>39305</v>
      </c>
      <c r="G610" s="14">
        <v>126277</v>
      </c>
      <c r="H610" s="15">
        <v>0.13</v>
      </c>
      <c r="I610" s="12" t="s">
        <v>113</v>
      </c>
      <c r="J610" s="12" t="s">
        <v>114</v>
      </c>
      <c r="K610" s="17" t="s">
        <v>1121</v>
      </c>
    </row>
    <row r="611" spans="1:11">
      <c r="A611" s="11" t="s">
        <v>85</v>
      </c>
      <c r="B611" s="12" t="s">
        <v>82</v>
      </c>
      <c r="C611" s="12" t="s">
        <v>71</v>
      </c>
      <c r="D611" s="12" t="s">
        <v>65</v>
      </c>
      <c r="E611" s="12">
        <v>33</v>
      </c>
      <c r="F611" s="13">
        <v>41446</v>
      </c>
      <c r="G611" s="14">
        <v>119631</v>
      </c>
      <c r="H611" s="15">
        <v>0.06</v>
      </c>
      <c r="I611" s="12" t="s">
        <v>60</v>
      </c>
      <c r="J611" s="12" t="s">
        <v>79</v>
      </c>
      <c r="K611" s="17" t="s">
        <v>1121</v>
      </c>
    </row>
    <row r="612" spans="1:11">
      <c r="A612" s="11" t="s">
        <v>104</v>
      </c>
      <c r="B612" s="12" t="s">
        <v>56</v>
      </c>
      <c r="C612" s="12" t="s">
        <v>57</v>
      </c>
      <c r="D612" s="12" t="s">
        <v>65</v>
      </c>
      <c r="E612" s="12">
        <v>26</v>
      </c>
      <c r="F612" s="13">
        <v>43960</v>
      </c>
      <c r="G612" s="14">
        <v>256561</v>
      </c>
      <c r="H612" s="15">
        <v>0.39</v>
      </c>
      <c r="I612" s="12" t="s">
        <v>60</v>
      </c>
      <c r="J612" s="12" t="s">
        <v>91</v>
      </c>
      <c r="K612" s="17" t="s">
        <v>1121</v>
      </c>
    </row>
    <row r="613" spans="1:11">
      <c r="A613" s="11" t="s">
        <v>266</v>
      </c>
      <c r="B613" s="12" t="s">
        <v>56</v>
      </c>
      <c r="C613" s="12" t="s">
        <v>71</v>
      </c>
      <c r="D613" s="12" t="s">
        <v>58</v>
      </c>
      <c r="E613" s="12">
        <v>45</v>
      </c>
      <c r="F613" s="13">
        <v>43937</v>
      </c>
      <c r="G613" s="14">
        <v>66958</v>
      </c>
      <c r="H613" s="15">
        <v>0</v>
      </c>
      <c r="I613" s="12" t="s">
        <v>60</v>
      </c>
      <c r="J613" s="12" t="s">
        <v>88</v>
      </c>
      <c r="K613" s="17" t="s">
        <v>1121</v>
      </c>
    </row>
    <row r="614" spans="1:11">
      <c r="A614" s="11" t="s">
        <v>55</v>
      </c>
      <c r="B614" s="12" t="s">
        <v>82</v>
      </c>
      <c r="C614" s="12" t="s">
        <v>64</v>
      </c>
      <c r="D614" s="12" t="s">
        <v>58</v>
      </c>
      <c r="E614" s="12">
        <v>46</v>
      </c>
      <c r="F614" s="13">
        <v>38046</v>
      </c>
      <c r="G614" s="14">
        <v>158897</v>
      </c>
      <c r="H614" s="15">
        <v>0.1</v>
      </c>
      <c r="I614" s="12" t="s">
        <v>66</v>
      </c>
      <c r="J614" s="12" t="s">
        <v>67</v>
      </c>
      <c r="K614" s="17" t="s">
        <v>1121</v>
      </c>
    </row>
    <row r="615" spans="1:11">
      <c r="A615" s="11" t="s">
        <v>63</v>
      </c>
      <c r="B615" s="12" t="s">
        <v>56</v>
      </c>
      <c r="C615" s="12" t="s">
        <v>83</v>
      </c>
      <c r="D615" s="12" t="s">
        <v>65</v>
      </c>
      <c r="E615" s="12">
        <v>37</v>
      </c>
      <c r="F615" s="13">
        <v>39493</v>
      </c>
      <c r="G615" s="14">
        <v>71695</v>
      </c>
      <c r="H615" s="15">
        <v>0</v>
      </c>
      <c r="I615" s="12" t="s">
        <v>60</v>
      </c>
      <c r="J615" s="12" t="s">
        <v>79</v>
      </c>
      <c r="K615" s="17" t="s">
        <v>1121</v>
      </c>
    </row>
    <row r="616" spans="1:11">
      <c r="A616" s="11" t="s">
        <v>78</v>
      </c>
      <c r="B616" s="12" t="s">
        <v>105</v>
      </c>
      <c r="C616" s="12" t="s">
        <v>83</v>
      </c>
      <c r="D616" s="12" t="s">
        <v>65</v>
      </c>
      <c r="E616" s="12">
        <v>40</v>
      </c>
      <c r="F616" s="13">
        <v>41904</v>
      </c>
      <c r="G616" s="14">
        <v>73779</v>
      </c>
      <c r="H616" s="15">
        <v>0</v>
      </c>
      <c r="I616" s="12" t="s">
        <v>66</v>
      </c>
      <c r="J616" s="12" t="s">
        <v>67</v>
      </c>
      <c r="K616" s="17">
        <v>43594</v>
      </c>
    </row>
    <row r="617" spans="1:11">
      <c r="A617" s="11" t="s">
        <v>85</v>
      </c>
      <c r="B617" s="12" t="s">
        <v>82</v>
      </c>
      <c r="C617" s="12" t="s">
        <v>71</v>
      </c>
      <c r="D617" s="12" t="s">
        <v>58</v>
      </c>
      <c r="E617" s="12">
        <v>45</v>
      </c>
      <c r="F617" s="13">
        <v>40836</v>
      </c>
      <c r="G617" s="14">
        <v>123640</v>
      </c>
      <c r="H617" s="15">
        <v>0.07</v>
      </c>
      <c r="I617" s="12" t="s">
        <v>66</v>
      </c>
      <c r="J617" s="12" t="s">
        <v>101</v>
      </c>
      <c r="K617" s="17" t="s">
        <v>1121</v>
      </c>
    </row>
    <row r="618" spans="1:11">
      <c r="A618" s="11" t="s">
        <v>87</v>
      </c>
      <c r="B618" s="12" t="s">
        <v>82</v>
      </c>
      <c r="C618" s="12" t="s">
        <v>71</v>
      </c>
      <c r="D618" s="12" t="s">
        <v>58</v>
      </c>
      <c r="E618" s="12">
        <v>33</v>
      </c>
      <c r="F618" s="13">
        <v>41742</v>
      </c>
      <c r="G618" s="14">
        <v>46878</v>
      </c>
      <c r="H618" s="15">
        <v>0</v>
      </c>
      <c r="I618" s="12" t="s">
        <v>60</v>
      </c>
      <c r="J618" s="12" t="s">
        <v>88</v>
      </c>
      <c r="K618" s="17" t="s">
        <v>1121</v>
      </c>
    </row>
    <row r="619" spans="1:11">
      <c r="A619" s="11" t="s">
        <v>87</v>
      </c>
      <c r="B619" s="12" t="s">
        <v>105</v>
      </c>
      <c r="C619" s="12" t="s">
        <v>71</v>
      </c>
      <c r="D619" s="12" t="s">
        <v>58</v>
      </c>
      <c r="E619" s="12">
        <v>64</v>
      </c>
      <c r="F619" s="13">
        <v>37662</v>
      </c>
      <c r="G619" s="14">
        <v>57032</v>
      </c>
      <c r="H619" s="15">
        <v>0</v>
      </c>
      <c r="I619" s="12" t="s">
        <v>60</v>
      </c>
      <c r="J619" s="12" t="s">
        <v>88</v>
      </c>
      <c r="K619" s="17" t="s">
        <v>1121</v>
      </c>
    </row>
    <row r="620" spans="1:11">
      <c r="A620" s="11" t="s">
        <v>78</v>
      </c>
      <c r="B620" s="12" t="s">
        <v>82</v>
      </c>
      <c r="C620" s="12" t="s">
        <v>64</v>
      </c>
      <c r="D620" s="12" t="s">
        <v>58</v>
      </c>
      <c r="E620" s="12">
        <v>57</v>
      </c>
      <c r="F620" s="13">
        <v>39357</v>
      </c>
      <c r="G620" s="14">
        <v>98150</v>
      </c>
      <c r="H620" s="15">
        <v>0</v>
      </c>
      <c r="I620" s="12" t="s">
        <v>113</v>
      </c>
      <c r="J620" s="12" t="s">
        <v>117</v>
      </c>
      <c r="K620" s="17" t="s">
        <v>1121</v>
      </c>
    </row>
    <row r="621" spans="1:11">
      <c r="A621" s="11" t="s">
        <v>69</v>
      </c>
      <c r="B621" s="12" t="s">
        <v>105</v>
      </c>
      <c r="C621" s="12" t="s">
        <v>64</v>
      </c>
      <c r="D621" s="12" t="s">
        <v>58</v>
      </c>
      <c r="E621" s="12">
        <v>35</v>
      </c>
      <c r="F621" s="13">
        <v>42800</v>
      </c>
      <c r="G621" s="14">
        <v>171426</v>
      </c>
      <c r="H621" s="15">
        <v>0.15</v>
      </c>
      <c r="I621" s="12" t="s">
        <v>66</v>
      </c>
      <c r="J621" s="12" t="s">
        <v>126</v>
      </c>
      <c r="K621" s="17">
        <v>43000</v>
      </c>
    </row>
    <row r="622" spans="1:11">
      <c r="A622" s="11" t="s">
        <v>87</v>
      </c>
      <c r="B622" s="12" t="s">
        <v>70</v>
      </c>
      <c r="C622" s="12" t="s">
        <v>64</v>
      </c>
      <c r="D622" s="12" t="s">
        <v>58</v>
      </c>
      <c r="E622" s="12">
        <v>55</v>
      </c>
      <c r="F622" s="13">
        <v>44302</v>
      </c>
      <c r="G622" s="14">
        <v>48266</v>
      </c>
      <c r="H622" s="15">
        <v>0</v>
      </c>
      <c r="I622" s="12" t="s">
        <v>60</v>
      </c>
      <c r="J622" s="12" t="s">
        <v>73</v>
      </c>
      <c r="K622" s="17" t="s">
        <v>1121</v>
      </c>
    </row>
    <row r="623" spans="1:11">
      <c r="A623" s="11" t="s">
        <v>104</v>
      </c>
      <c r="B623" s="12" t="s">
        <v>70</v>
      </c>
      <c r="C623" s="12" t="s">
        <v>57</v>
      </c>
      <c r="D623" s="12" t="s">
        <v>65</v>
      </c>
      <c r="E623" s="12">
        <v>36</v>
      </c>
      <c r="F623" s="13">
        <v>43330</v>
      </c>
      <c r="G623" s="14">
        <v>223404</v>
      </c>
      <c r="H623" s="15">
        <v>0.32</v>
      </c>
      <c r="I623" s="12" t="s">
        <v>60</v>
      </c>
      <c r="J623" s="12" t="s">
        <v>110</v>
      </c>
      <c r="K623" s="17" t="s">
        <v>1121</v>
      </c>
    </row>
    <row r="624" spans="1:11">
      <c r="A624" s="11" t="s">
        <v>228</v>
      </c>
      <c r="B624" s="12" t="s">
        <v>56</v>
      </c>
      <c r="C624" s="12" t="s">
        <v>71</v>
      </c>
      <c r="D624" s="12" t="s">
        <v>58</v>
      </c>
      <c r="E624" s="12">
        <v>57</v>
      </c>
      <c r="F624" s="13">
        <v>41649</v>
      </c>
      <c r="G624" s="14">
        <v>74854</v>
      </c>
      <c r="H624" s="15">
        <v>0</v>
      </c>
      <c r="I624" s="12" t="s">
        <v>60</v>
      </c>
      <c r="J624" s="12" t="s">
        <v>61</v>
      </c>
      <c r="K624" s="17" t="s">
        <v>1121</v>
      </c>
    </row>
    <row r="625" spans="1:11">
      <c r="A625" s="11" t="s">
        <v>104</v>
      </c>
      <c r="B625" s="12" t="s">
        <v>90</v>
      </c>
      <c r="C625" s="12" t="s">
        <v>71</v>
      </c>
      <c r="D625" s="12" t="s">
        <v>58</v>
      </c>
      <c r="E625" s="12">
        <v>48</v>
      </c>
      <c r="F625" s="13">
        <v>39197</v>
      </c>
      <c r="G625" s="14">
        <v>217783</v>
      </c>
      <c r="H625" s="15">
        <v>0.36</v>
      </c>
      <c r="I625" s="12" t="s">
        <v>60</v>
      </c>
      <c r="J625" s="12" t="s">
        <v>61</v>
      </c>
      <c r="K625" s="17" t="s">
        <v>1121</v>
      </c>
    </row>
    <row r="626" spans="1:11">
      <c r="A626" s="11" t="s">
        <v>244</v>
      </c>
      <c r="B626" s="12" t="s">
        <v>56</v>
      </c>
      <c r="C626" s="12" t="s">
        <v>64</v>
      </c>
      <c r="D626" s="12" t="s">
        <v>58</v>
      </c>
      <c r="E626" s="12">
        <v>53</v>
      </c>
      <c r="F626" s="13">
        <v>38214</v>
      </c>
      <c r="G626" s="14">
        <v>44735</v>
      </c>
      <c r="H626" s="15">
        <v>0</v>
      </c>
      <c r="I626" s="12" t="s">
        <v>113</v>
      </c>
      <c r="J626" s="12" t="s">
        <v>114</v>
      </c>
      <c r="K626" s="17" t="s">
        <v>1121</v>
      </c>
    </row>
    <row r="627" spans="1:11">
      <c r="A627" s="11" t="s">
        <v>132</v>
      </c>
      <c r="B627" s="12" t="s">
        <v>70</v>
      </c>
      <c r="C627" s="12" t="s">
        <v>64</v>
      </c>
      <c r="D627" s="12" t="s">
        <v>58</v>
      </c>
      <c r="E627" s="12">
        <v>41</v>
      </c>
      <c r="F627" s="13">
        <v>39091</v>
      </c>
      <c r="G627" s="14">
        <v>50685</v>
      </c>
      <c r="H627" s="15">
        <v>0</v>
      </c>
      <c r="I627" s="12" t="s">
        <v>60</v>
      </c>
      <c r="J627" s="12" t="s">
        <v>110</v>
      </c>
      <c r="K627" s="17" t="s">
        <v>1121</v>
      </c>
    </row>
    <row r="628" spans="1:11">
      <c r="A628" s="11" t="s">
        <v>132</v>
      </c>
      <c r="B628" s="12" t="s">
        <v>82</v>
      </c>
      <c r="C628" s="12" t="s">
        <v>57</v>
      </c>
      <c r="D628" s="12" t="s">
        <v>65</v>
      </c>
      <c r="E628" s="12">
        <v>34</v>
      </c>
      <c r="F628" s="13">
        <v>43169</v>
      </c>
      <c r="G628" s="14">
        <v>58993</v>
      </c>
      <c r="H628" s="15">
        <v>0</v>
      </c>
      <c r="I628" s="12" t="s">
        <v>60</v>
      </c>
      <c r="J628" s="12" t="s">
        <v>91</v>
      </c>
      <c r="K628" s="17" t="s">
        <v>1121</v>
      </c>
    </row>
    <row r="629" spans="1:11">
      <c r="A629" s="11" t="s">
        <v>164</v>
      </c>
      <c r="B629" s="12" t="s">
        <v>98</v>
      </c>
      <c r="C629" s="12" t="s">
        <v>83</v>
      </c>
      <c r="D629" s="12" t="s">
        <v>65</v>
      </c>
      <c r="E629" s="12">
        <v>47</v>
      </c>
      <c r="F629" s="13">
        <v>43990</v>
      </c>
      <c r="G629" s="14">
        <v>115765</v>
      </c>
      <c r="H629" s="15">
        <v>0</v>
      </c>
      <c r="I629" s="12" t="s">
        <v>60</v>
      </c>
      <c r="J629" s="12" t="s">
        <v>88</v>
      </c>
      <c r="K629" s="17">
        <v>44229</v>
      </c>
    </row>
    <row r="630" spans="1:11">
      <c r="A630" s="11" t="s">
        <v>69</v>
      </c>
      <c r="B630" s="12" t="s">
        <v>90</v>
      </c>
      <c r="C630" s="12" t="s">
        <v>64</v>
      </c>
      <c r="D630" s="12" t="s">
        <v>58</v>
      </c>
      <c r="E630" s="12">
        <v>63</v>
      </c>
      <c r="F630" s="13">
        <v>39147</v>
      </c>
      <c r="G630" s="14">
        <v>193044</v>
      </c>
      <c r="H630" s="15">
        <v>0.15</v>
      </c>
      <c r="I630" s="12" t="s">
        <v>60</v>
      </c>
      <c r="J630" s="12" t="s">
        <v>88</v>
      </c>
      <c r="K630" s="17" t="s">
        <v>1121</v>
      </c>
    </row>
    <row r="631" spans="1:11">
      <c r="A631" s="11" t="s">
        <v>87</v>
      </c>
      <c r="B631" s="12" t="s">
        <v>105</v>
      </c>
      <c r="C631" s="12" t="s">
        <v>57</v>
      </c>
      <c r="D631" s="12" t="s">
        <v>58</v>
      </c>
      <c r="E631" s="12">
        <v>65</v>
      </c>
      <c r="F631" s="13">
        <v>40711</v>
      </c>
      <c r="G631" s="14">
        <v>56686</v>
      </c>
      <c r="H631" s="15">
        <v>0</v>
      </c>
      <c r="I631" s="12" t="s">
        <v>60</v>
      </c>
      <c r="J631" s="12" t="s">
        <v>61</v>
      </c>
      <c r="K631" s="17">
        <v>42164</v>
      </c>
    </row>
    <row r="632" spans="1:11">
      <c r="A632" s="11" t="s">
        <v>55</v>
      </c>
      <c r="B632" s="12" t="s">
        <v>70</v>
      </c>
      <c r="C632" s="12" t="s">
        <v>64</v>
      </c>
      <c r="D632" s="12" t="s">
        <v>58</v>
      </c>
      <c r="E632" s="12">
        <v>33</v>
      </c>
      <c r="F632" s="13">
        <v>43763</v>
      </c>
      <c r="G632" s="14">
        <v>131652</v>
      </c>
      <c r="H632" s="15">
        <v>0.11</v>
      </c>
      <c r="I632" s="12" t="s">
        <v>60</v>
      </c>
      <c r="J632" s="12" t="s">
        <v>61</v>
      </c>
      <c r="K632" s="17" t="s">
        <v>1121</v>
      </c>
    </row>
    <row r="633" spans="1:11">
      <c r="A633" s="11" t="s">
        <v>69</v>
      </c>
      <c r="B633" s="12" t="s">
        <v>105</v>
      </c>
      <c r="C633" s="12" t="s">
        <v>64</v>
      </c>
      <c r="D633" s="12" t="s">
        <v>58</v>
      </c>
      <c r="E633" s="12">
        <v>45</v>
      </c>
      <c r="F633" s="13">
        <v>39507</v>
      </c>
      <c r="G633" s="14">
        <v>150577</v>
      </c>
      <c r="H633" s="15">
        <v>0.25</v>
      </c>
      <c r="I633" s="12" t="s">
        <v>60</v>
      </c>
      <c r="J633" s="12" t="s">
        <v>88</v>
      </c>
      <c r="K633" s="17" t="s">
        <v>1121</v>
      </c>
    </row>
    <row r="634" spans="1:11">
      <c r="A634" s="11" t="s">
        <v>125</v>
      </c>
      <c r="B634" s="12" t="s">
        <v>98</v>
      </c>
      <c r="C634" s="12" t="s">
        <v>57</v>
      </c>
      <c r="D634" s="12" t="s">
        <v>58</v>
      </c>
      <c r="E634" s="12">
        <v>37</v>
      </c>
      <c r="F634" s="13">
        <v>43461</v>
      </c>
      <c r="G634" s="14">
        <v>87359</v>
      </c>
      <c r="H634" s="15">
        <v>0.11</v>
      </c>
      <c r="I634" s="12" t="s">
        <v>113</v>
      </c>
      <c r="J634" s="12" t="s">
        <v>117</v>
      </c>
      <c r="K634" s="17" t="s">
        <v>1121</v>
      </c>
    </row>
    <row r="635" spans="1:11">
      <c r="A635" s="11" t="s">
        <v>132</v>
      </c>
      <c r="B635" s="12" t="s">
        <v>82</v>
      </c>
      <c r="C635" s="12" t="s">
        <v>71</v>
      </c>
      <c r="D635" s="12" t="s">
        <v>58</v>
      </c>
      <c r="E635" s="12">
        <v>60</v>
      </c>
      <c r="F635" s="13">
        <v>41647</v>
      </c>
      <c r="G635" s="14">
        <v>51877</v>
      </c>
      <c r="H635" s="15">
        <v>0</v>
      </c>
      <c r="I635" s="12" t="s">
        <v>66</v>
      </c>
      <c r="J635" s="12" t="s">
        <v>126</v>
      </c>
      <c r="K635" s="17" t="s">
        <v>1121</v>
      </c>
    </row>
    <row r="636" spans="1:11">
      <c r="A636" s="11" t="s">
        <v>266</v>
      </c>
      <c r="B636" s="12" t="s">
        <v>56</v>
      </c>
      <c r="C636" s="12" t="s">
        <v>64</v>
      </c>
      <c r="D636" s="12" t="s">
        <v>65</v>
      </c>
      <c r="E636" s="12">
        <v>43</v>
      </c>
      <c r="F636" s="13">
        <v>42753</v>
      </c>
      <c r="G636" s="14">
        <v>86417</v>
      </c>
      <c r="H636" s="15">
        <v>0</v>
      </c>
      <c r="I636" s="12" t="s">
        <v>60</v>
      </c>
      <c r="J636" s="12" t="s">
        <v>73</v>
      </c>
      <c r="K636" s="17" t="s">
        <v>1121</v>
      </c>
    </row>
    <row r="637" spans="1:11">
      <c r="A637" s="11" t="s">
        <v>228</v>
      </c>
      <c r="B637" s="12" t="s">
        <v>56</v>
      </c>
      <c r="C637" s="12" t="s">
        <v>57</v>
      </c>
      <c r="D637" s="12" t="s">
        <v>58</v>
      </c>
      <c r="E637" s="12">
        <v>65</v>
      </c>
      <c r="F637" s="13">
        <v>37749</v>
      </c>
      <c r="G637" s="14">
        <v>96548</v>
      </c>
      <c r="H637" s="15">
        <v>0</v>
      </c>
      <c r="I637" s="12" t="s">
        <v>60</v>
      </c>
      <c r="J637" s="12" t="s">
        <v>91</v>
      </c>
      <c r="K637" s="17" t="s">
        <v>1121</v>
      </c>
    </row>
    <row r="638" spans="1:11">
      <c r="A638" s="11" t="s">
        <v>78</v>
      </c>
      <c r="B638" s="12" t="s">
        <v>90</v>
      </c>
      <c r="C638" s="12" t="s">
        <v>64</v>
      </c>
      <c r="D638" s="12" t="s">
        <v>58</v>
      </c>
      <c r="E638" s="12">
        <v>43</v>
      </c>
      <c r="F638" s="13">
        <v>41662</v>
      </c>
      <c r="G638" s="14">
        <v>92940</v>
      </c>
      <c r="H638" s="15">
        <v>0</v>
      </c>
      <c r="I638" s="12" t="s">
        <v>66</v>
      </c>
      <c r="J638" s="12" t="s">
        <v>138</v>
      </c>
      <c r="K638" s="17" t="s">
        <v>1121</v>
      </c>
    </row>
    <row r="639" spans="1:11">
      <c r="A639" s="11" t="s">
        <v>132</v>
      </c>
      <c r="B639" s="12" t="s">
        <v>90</v>
      </c>
      <c r="C639" s="12" t="s">
        <v>71</v>
      </c>
      <c r="D639" s="12" t="s">
        <v>65</v>
      </c>
      <c r="E639" s="12">
        <v>28</v>
      </c>
      <c r="F639" s="13">
        <v>43336</v>
      </c>
      <c r="G639" s="14">
        <v>61410</v>
      </c>
      <c r="H639" s="15">
        <v>0</v>
      </c>
      <c r="I639" s="12" t="s">
        <v>60</v>
      </c>
      <c r="J639" s="12" t="s">
        <v>79</v>
      </c>
      <c r="K639" s="17" t="s">
        <v>1121</v>
      </c>
    </row>
    <row r="640" spans="1:11">
      <c r="A640" s="11" t="s">
        <v>85</v>
      </c>
      <c r="B640" s="12" t="s">
        <v>70</v>
      </c>
      <c r="C640" s="12" t="s">
        <v>71</v>
      </c>
      <c r="D640" s="12" t="s">
        <v>58</v>
      </c>
      <c r="E640" s="12">
        <v>61</v>
      </c>
      <c r="F640" s="13">
        <v>40293</v>
      </c>
      <c r="G640" s="14">
        <v>110302</v>
      </c>
      <c r="H640" s="15">
        <v>0.06</v>
      </c>
      <c r="I640" s="12" t="s">
        <v>60</v>
      </c>
      <c r="J640" s="12" t="s">
        <v>88</v>
      </c>
      <c r="K640" s="17" t="s">
        <v>1121</v>
      </c>
    </row>
    <row r="641" spans="1:11">
      <c r="A641" s="11" t="s">
        <v>69</v>
      </c>
      <c r="B641" s="12" t="s">
        <v>98</v>
      </c>
      <c r="C641" s="12" t="s">
        <v>71</v>
      </c>
      <c r="D641" s="12" t="s">
        <v>58</v>
      </c>
      <c r="E641" s="12">
        <v>45</v>
      </c>
      <c r="F641" s="13">
        <v>43212</v>
      </c>
      <c r="G641" s="14">
        <v>187205</v>
      </c>
      <c r="H641" s="15">
        <v>0.24</v>
      </c>
      <c r="I641" s="12" t="s">
        <v>60</v>
      </c>
      <c r="J641" s="12" t="s">
        <v>110</v>
      </c>
      <c r="K641" s="17">
        <v>44732</v>
      </c>
    </row>
    <row r="642" spans="1:11">
      <c r="A642" s="11" t="s">
        <v>78</v>
      </c>
      <c r="B642" s="12" t="s">
        <v>82</v>
      </c>
      <c r="C642" s="12" t="s">
        <v>83</v>
      </c>
      <c r="D642" s="12" t="s">
        <v>65</v>
      </c>
      <c r="E642" s="12">
        <v>45</v>
      </c>
      <c r="F642" s="13">
        <v>40618</v>
      </c>
      <c r="G642" s="14">
        <v>81687</v>
      </c>
      <c r="H642" s="15">
        <v>0</v>
      </c>
      <c r="I642" s="12" t="s">
        <v>60</v>
      </c>
      <c r="J642" s="12" t="s">
        <v>79</v>
      </c>
      <c r="K642" s="17" t="s">
        <v>1121</v>
      </c>
    </row>
    <row r="643" spans="1:11">
      <c r="A643" s="11" t="s">
        <v>104</v>
      </c>
      <c r="B643" s="12" t="s">
        <v>56</v>
      </c>
      <c r="C643" s="12" t="s">
        <v>71</v>
      </c>
      <c r="D643" s="12" t="s">
        <v>65</v>
      </c>
      <c r="E643" s="12">
        <v>54</v>
      </c>
      <c r="F643" s="13">
        <v>40040</v>
      </c>
      <c r="G643" s="14">
        <v>241083</v>
      </c>
      <c r="H643" s="15">
        <v>0.39</v>
      </c>
      <c r="I643" s="12" t="s">
        <v>60</v>
      </c>
      <c r="J643" s="12" t="s">
        <v>110</v>
      </c>
      <c r="K643" s="17" t="s">
        <v>1121</v>
      </c>
    </row>
    <row r="644" spans="1:11">
      <c r="A644" s="11" t="s">
        <v>104</v>
      </c>
      <c r="B644" s="12" t="s">
        <v>70</v>
      </c>
      <c r="C644" s="12" t="s">
        <v>71</v>
      </c>
      <c r="D644" s="12" t="s">
        <v>58</v>
      </c>
      <c r="E644" s="12">
        <v>38</v>
      </c>
      <c r="F644" s="13">
        <v>43413</v>
      </c>
      <c r="G644" s="14">
        <v>223805</v>
      </c>
      <c r="H644" s="15">
        <v>0.36</v>
      </c>
      <c r="I644" s="12" t="s">
        <v>60</v>
      </c>
      <c r="J644" s="12" t="s">
        <v>73</v>
      </c>
      <c r="K644" s="17" t="s">
        <v>1121</v>
      </c>
    </row>
    <row r="645" spans="1:11">
      <c r="A645" s="11" t="s">
        <v>69</v>
      </c>
      <c r="B645" s="12" t="s">
        <v>90</v>
      </c>
      <c r="C645" s="12" t="s">
        <v>83</v>
      </c>
      <c r="D645" s="12" t="s">
        <v>58</v>
      </c>
      <c r="E645" s="12">
        <v>27</v>
      </c>
      <c r="F645" s="13">
        <v>44393</v>
      </c>
      <c r="G645" s="14">
        <v>161759</v>
      </c>
      <c r="H645" s="15">
        <v>0.16</v>
      </c>
      <c r="I645" s="12" t="s">
        <v>60</v>
      </c>
      <c r="J645" s="12" t="s">
        <v>88</v>
      </c>
      <c r="K645" s="17" t="s">
        <v>1121</v>
      </c>
    </row>
    <row r="646" spans="1:11">
      <c r="A646" s="11" t="s">
        <v>75</v>
      </c>
      <c r="B646" s="12" t="s">
        <v>56</v>
      </c>
      <c r="C646" s="12" t="s">
        <v>57</v>
      </c>
      <c r="D646" s="12" t="s">
        <v>65</v>
      </c>
      <c r="E646" s="12">
        <v>40</v>
      </c>
      <c r="F646" s="13">
        <v>43520</v>
      </c>
      <c r="G646" s="14">
        <v>95899</v>
      </c>
      <c r="H646" s="15">
        <v>0.1</v>
      </c>
      <c r="I646" s="12" t="s">
        <v>60</v>
      </c>
      <c r="J646" s="12" t="s">
        <v>110</v>
      </c>
      <c r="K646" s="17">
        <v>44263</v>
      </c>
    </row>
    <row r="647" spans="1:11">
      <c r="A647" s="11" t="s">
        <v>78</v>
      </c>
      <c r="B647" s="12" t="s">
        <v>70</v>
      </c>
      <c r="C647" s="12" t="s">
        <v>83</v>
      </c>
      <c r="D647" s="12" t="s">
        <v>65</v>
      </c>
      <c r="E647" s="12">
        <v>49</v>
      </c>
      <c r="F647" s="13">
        <v>43623</v>
      </c>
      <c r="G647" s="14">
        <v>80700</v>
      </c>
      <c r="H647" s="15">
        <v>0</v>
      </c>
      <c r="I647" s="12" t="s">
        <v>60</v>
      </c>
      <c r="J647" s="12" t="s">
        <v>110</v>
      </c>
      <c r="K647" s="17" t="s">
        <v>1121</v>
      </c>
    </row>
    <row r="648" spans="1:11">
      <c r="A648" s="11" t="s">
        <v>85</v>
      </c>
      <c r="B648" s="12" t="s">
        <v>94</v>
      </c>
      <c r="C648" s="12" t="s">
        <v>71</v>
      </c>
      <c r="D648" s="12" t="s">
        <v>65</v>
      </c>
      <c r="E648" s="12">
        <v>54</v>
      </c>
      <c r="F648" s="13">
        <v>35500</v>
      </c>
      <c r="G648" s="14">
        <v>128136</v>
      </c>
      <c r="H648" s="15">
        <v>0.05</v>
      </c>
      <c r="I648" s="12" t="s">
        <v>66</v>
      </c>
      <c r="J648" s="12" t="s">
        <v>126</v>
      </c>
      <c r="K648" s="17" t="s">
        <v>1121</v>
      </c>
    </row>
    <row r="649" spans="1:11">
      <c r="A649" s="11" t="s">
        <v>132</v>
      </c>
      <c r="B649" s="12" t="s">
        <v>105</v>
      </c>
      <c r="C649" s="12" t="s">
        <v>83</v>
      </c>
      <c r="D649" s="12" t="s">
        <v>58</v>
      </c>
      <c r="E649" s="12">
        <v>39</v>
      </c>
      <c r="F649" s="13">
        <v>42843</v>
      </c>
      <c r="G649" s="14">
        <v>58745</v>
      </c>
      <c r="H649" s="15">
        <v>0</v>
      </c>
      <c r="I649" s="12" t="s">
        <v>60</v>
      </c>
      <c r="J649" s="12" t="s">
        <v>91</v>
      </c>
      <c r="K649" s="17" t="s">
        <v>1121</v>
      </c>
    </row>
    <row r="650" spans="1:11">
      <c r="A650" s="11" t="s">
        <v>63</v>
      </c>
      <c r="B650" s="12" t="s">
        <v>56</v>
      </c>
      <c r="C650" s="12" t="s">
        <v>83</v>
      </c>
      <c r="D650" s="12" t="s">
        <v>58</v>
      </c>
      <c r="E650" s="12">
        <v>57</v>
      </c>
      <c r="F650" s="13">
        <v>33728</v>
      </c>
      <c r="G650" s="14">
        <v>76202</v>
      </c>
      <c r="H650" s="15">
        <v>0</v>
      </c>
      <c r="I650" s="12" t="s">
        <v>60</v>
      </c>
      <c r="J650" s="12" t="s">
        <v>91</v>
      </c>
      <c r="K650" s="17">
        <v>34686</v>
      </c>
    </row>
    <row r="651" spans="1:11">
      <c r="A651" s="11" t="s">
        <v>104</v>
      </c>
      <c r="B651" s="12" t="s">
        <v>82</v>
      </c>
      <c r="C651" s="12" t="s">
        <v>71</v>
      </c>
      <c r="D651" s="12" t="s">
        <v>65</v>
      </c>
      <c r="E651" s="12">
        <v>36</v>
      </c>
      <c r="F651" s="13">
        <v>43178</v>
      </c>
      <c r="G651" s="14">
        <v>195200</v>
      </c>
      <c r="H651" s="15">
        <v>0.36</v>
      </c>
      <c r="I651" s="12" t="s">
        <v>60</v>
      </c>
      <c r="J651" s="12" t="s">
        <v>91</v>
      </c>
      <c r="K651" s="17" t="s">
        <v>1121</v>
      </c>
    </row>
    <row r="652" spans="1:11">
      <c r="A652" s="11" t="s">
        <v>132</v>
      </c>
      <c r="B652" s="12" t="s">
        <v>70</v>
      </c>
      <c r="C652" s="12" t="s">
        <v>64</v>
      </c>
      <c r="D652" s="12" t="s">
        <v>58</v>
      </c>
      <c r="E652" s="12">
        <v>45</v>
      </c>
      <c r="F652" s="13">
        <v>42711</v>
      </c>
      <c r="G652" s="14">
        <v>71454</v>
      </c>
      <c r="H652" s="15">
        <v>0</v>
      </c>
      <c r="I652" s="12" t="s">
        <v>66</v>
      </c>
      <c r="J652" s="12" t="s">
        <v>101</v>
      </c>
      <c r="K652" s="17" t="s">
        <v>1121</v>
      </c>
    </row>
    <row r="653" spans="1:11">
      <c r="A653" s="11" t="s">
        <v>178</v>
      </c>
      <c r="B653" s="12" t="s">
        <v>56</v>
      </c>
      <c r="C653" s="12" t="s">
        <v>64</v>
      </c>
      <c r="D653" s="12" t="s">
        <v>58</v>
      </c>
      <c r="E653" s="12">
        <v>30</v>
      </c>
      <c r="F653" s="13">
        <v>43864</v>
      </c>
      <c r="G653" s="14">
        <v>94652</v>
      </c>
      <c r="H653" s="15">
        <v>0</v>
      </c>
      <c r="I653" s="12" t="s">
        <v>60</v>
      </c>
      <c r="J653" s="12" t="s">
        <v>61</v>
      </c>
      <c r="K653" s="17" t="s">
        <v>1121</v>
      </c>
    </row>
    <row r="654" spans="1:11">
      <c r="A654" s="11" t="s">
        <v>63</v>
      </c>
      <c r="B654" s="12" t="s">
        <v>56</v>
      </c>
      <c r="C654" s="12" t="s">
        <v>64</v>
      </c>
      <c r="D654" s="12" t="s">
        <v>65</v>
      </c>
      <c r="E654" s="12">
        <v>34</v>
      </c>
      <c r="F654" s="13">
        <v>42416</v>
      </c>
      <c r="G654" s="14">
        <v>63411</v>
      </c>
      <c r="H654" s="15">
        <v>0</v>
      </c>
      <c r="I654" s="12" t="s">
        <v>60</v>
      </c>
      <c r="J654" s="12" t="s">
        <v>88</v>
      </c>
      <c r="K654" s="17" t="s">
        <v>1121</v>
      </c>
    </row>
    <row r="655" spans="1:11">
      <c r="A655" s="11" t="s">
        <v>132</v>
      </c>
      <c r="B655" s="12" t="s">
        <v>82</v>
      </c>
      <c r="C655" s="12" t="s">
        <v>71</v>
      </c>
      <c r="D655" s="12" t="s">
        <v>65</v>
      </c>
      <c r="E655" s="12">
        <v>31</v>
      </c>
      <c r="F655" s="13">
        <v>43878</v>
      </c>
      <c r="G655" s="14">
        <v>67171</v>
      </c>
      <c r="H655" s="15">
        <v>0</v>
      </c>
      <c r="I655" s="12" t="s">
        <v>66</v>
      </c>
      <c r="J655" s="12" t="s">
        <v>67</v>
      </c>
      <c r="K655" s="17">
        <v>44317</v>
      </c>
    </row>
    <row r="656" spans="1:11">
      <c r="A656" s="11" t="s">
        <v>55</v>
      </c>
      <c r="B656" s="12" t="s">
        <v>90</v>
      </c>
      <c r="C656" s="12" t="s">
        <v>71</v>
      </c>
      <c r="D656" s="12" t="s">
        <v>58</v>
      </c>
      <c r="E656" s="12">
        <v>28</v>
      </c>
      <c r="F656" s="13">
        <v>43652</v>
      </c>
      <c r="G656" s="14">
        <v>152036</v>
      </c>
      <c r="H656" s="15">
        <v>0.15</v>
      </c>
      <c r="I656" s="12" t="s">
        <v>113</v>
      </c>
      <c r="J656" s="12" t="s">
        <v>117</v>
      </c>
      <c r="K656" s="17" t="s">
        <v>1121</v>
      </c>
    </row>
    <row r="657" spans="1:11">
      <c r="A657" s="11" t="s">
        <v>97</v>
      </c>
      <c r="B657" s="12" t="s">
        <v>98</v>
      </c>
      <c r="C657" s="12" t="s">
        <v>64</v>
      </c>
      <c r="D657" s="12" t="s">
        <v>58</v>
      </c>
      <c r="E657" s="12">
        <v>55</v>
      </c>
      <c r="F657" s="13">
        <v>44276</v>
      </c>
      <c r="G657" s="14">
        <v>95562</v>
      </c>
      <c r="H657" s="15">
        <v>0</v>
      </c>
      <c r="I657" s="12" t="s">
        <v>60</v>
      </c>
      <c r="J657" s="12" t="s">
        <v>73</v>
      </c>
      <c r="K657" s="17" t="s">
        <v>1121</v>
      </c>
    </row>
    <row r="658" spans="1:11">
      <c r="A658" s="11" t="s">
        <v>78</v>
      </c>
      <c r="B658" s="12" t="s">
        <v>82</v>
      </c>
      <c r="C658" s="12" t="s">
        <v>57</v>
      </c>
      <c r="D658" s="12" t="s">
        <v>65</v>
      </c>
      <c r="E658" s="12">
        <v>30</v>
      </c>
      <c r="F658" s="13">
        <v>43773</v>
      </c>
      <c r="G658" s="14">
        <v>96092</v>
      </c>
      <c r="H658" s="15">
        <v>0</v>
      </c>
      <c r="I658" s="12" t="s">
        <v>60</v>
      </c>
      <c r="J658" s="12" t="s">
        <v>91</v>
      </c>
      <c r="K658" s="17" t="s">
        <v>1121</v>
      </c>
    </row>
    <row r="659" spans="1:11">
      <c r="A659" s="11" t="s">
        <v>104</v>
      </c>
      <c r="B659" s="12" t="s">
        <v>98</v>
      </c>
      <c r="C659" s="12" t="s">
        <v>64</v>
      </c>
      <c r="D659" s="12" t="s">
        <v>65</v>
      </c>
      <c r="E659" s="12">
        <v>63</v>
      </c>
      <c r="F659" s="13">
        <v>41428</v>
      </c>
      <c r="G659" s="14">
        <v>254289</v>
      </c>
      <c r="H659" s="15">
        <v>0.39</v>
      </c>
      <c r="I659" s="12" t="s">
        <v>60</v>
      </c>
      <c r="J659" s="12" t="s">
        <v>73</v>
      </c>
      <c r="K659" s="17" t="s">
        <v>1121</v>
      </c>
    </row>
    <row r="660" spans="1:11">
      <c r="A660" s="11" t="s">
        <v>75</v>
      </c>
      <c r="B660" s="12" t="s">
        <v>56</v>
      </c>
      <c r="C660" s="12" t="s">
        <v>57</v>
      </c>
      <c r="D660" s="12" t="s">
        <v>65</v>
      </c>
      <c r="E660" s="12">
        <v>26</v>
      </c>
      <c r="F660" s="13">
        <v>43656</v>
      </c>
      <c r="G660" s="14">
        <v>69110</v>
      </c>
      <c r="H660" s="15">
        <v>0.05</v>
      </c>
      <c r="I660" s="12" t="s">
        <v>60</v>
      </c>
      <c r="J660" s="12" t="s">
        <v>73</v>
      </c>
      <c r="K660" s="17" t="s">
        <v>1121</v>
      </c>
    </row>
    <row r="661" spans="1:11">
      <c r="A661" s="11" t="s">
        <v>104</v>
      </c>
      <c r="B661" s="12" t="s">
        <v>105</v>
      </c>
      <c r="C661" s="12" t="s">
        <v>71</v>
      </c>
      <c r="D661" s="12" t="s">
        <v>65</v>
      </c>
      <c r="E661" s="12">
        <v>52</v>
      </c>
      <c r="F661" s="13">
        <v>37418</v>
      </c>
      <c r="G661" s="14">
        <v>236314</v>
      </c>
      <c r="H661" s="15">
        <v>0.34</v>
      </c>
      <c r="I661" s="12" t="s">
        <v>60</v>
      </c>
      <c r="J661" s="12" t="s">
        <v>88</v>
      </c>
      <c r="K661" s="17" t="s">
        <v>1121</v>
      </c>
    </row>
    <row r="662" spans="1:11">
      <c r="A662" s="11" t="s">
        <v>87</v>
      </c>
      <c r="B662" s="12" t="s">
        <v>105</v>
      </c>
      <c r="C662" s="12" t="s">
        <v>83</v>
      </c>
      <c r="D662" s="12" t="s">
        <v>65</v>
      </c>
      <c r="E662" s="12">
        <v>51</v>
      </c>
      <c r="F662" s="13">
        <v>39252</v>
      </c>
      <c r="G662" s="14">
        <v>45206</v>
      </c>
      <c r="H662" s="15">
        <v>0</v>
      </c>
      <c r="I662" s="12" t="s">
        <v>60</v>
      </c>
      <c r="J662" s="12" t="s">
        <v>110</v>
      </c>
      <c r="K662" s="17" t="s">
        <v>1121</v>
      </c>
    </row>
    <row r="663" spans="1:11">
      <c r="A663" s="11" t="s">
        <v>104</v>
      </c>
      <c r="B663" s="12" t="s">
        <v>70</v>
      </c>
      <c r="C663" s="12" t="s">
        <v>57</v>
      </c>
      <c r="D663" s="12" t="s">
        <v>58</v>
      </c>
      <c r="E663" s="12">
        <v>25</v>
      </c>
      <c r="F663" s="13">
        <v>44515</v>
      </c>
      <c r="G663" s="14">
        <v>210708</v>
      </c>
      <c r="H663" s="15">
        <v>0.33</v>
      </c>
      <c r="I663" s="12" t="s">
        <v>60</v>
      </c>
      <c r="J663" s="12" t="s">
        <v>73</v>
      </c>
      <c r="K663" s="17" t="s">
        <v>1121</v>
      </c>
    </row>
    <row r="664" spans="1:11">
      <c r="A664" s="11" t="s">
        <v>228</v>
      </c>
      <c r="B664" s="12" t="s">
        <v>56</v>
      </c>
      <c r="C664" s="12" t="s">
        <v>83</v>
      </c>
      <c r="D664" s="12" t="s">
        <v>65</v>
      </c>
      <c r="E664" s="12">
        <v>40</v>
      </c>
      <c r="F664" s="13">
        <v>44465</v>
      </c>
      <c r="G664" s="14">
        <v>87770</v>
      </c>
      <c r="H664" s="15">
        <v>0</v>
      </c>
      <c r="I664" s="12" t="s">
        <v>60</v>
      </c>
      <c r="J664" s="12" t="s">
        <v>91</v>
      </c>
      <c r="K664" s="17" t="s">
        <v>1121</v>
      </c>
    </row>
    <row r="665" spans="1:11">
      <c r="A665" s="11" t="s">
        <v>85</v>
      </c>
      <c r="B665" s="12" t="s">
        <v>90</v>
      </c>
      <c r="C665" s="12" t="s">
        <v>83</v>
      </c>
      <c r="D665" s="12" t="s">
        <v>58</v>
      </c>
      <c r="E665" s="12">
        <v>38</v>
      </c>
      <c r="F665" s="13">
        <v>42228</v>
      </c>
      <c r="G665" s="14">
        <v>106858</v>
      </c>
      <c r="H665" s="15">
        <v>0.05</v>
      </c>
      <c r="I665" s="12" t="s">
        <v>60</v>
      </c>
      <c r="J665" s="12" t="s">
        <v>61</v>
      </c>
      <c r="K665" s="17" t="s">
        <v>1121</v>
      </c>
    </row>
    <row r="666" spans="1:11">
      <c r="A666" s="11" t="s">
        <v>69</v>
      </c>
      <c r="B666" s="12" t="s">
        <v>94</v>
      </c>
      <c r="C666" s="12" t="s">
        <v>83</v>
      </c>
      <c r="D666" s="12" t="s">
        <v>65</v>
      </c>
      <c r="E666" s="12">
        <v>60</v>
      </c>
      <c r="F666" s="13">
        <v>42108</v>
      </c>
      <c r="G666" s="14">
        <v>155788</v>
      </c>
      <c r="H666" s="15">
        <v>0.17</v>
      </c>
      <c r="I666" s="12" t="s">
        <v>60</v>
      </c>
      <c r="J666" s="12" t="s">
        <v>61</v>
      </c>
      <c r="K666" s="17" t="s">
        <v>1121</v>
      </c>
    </row>
    <row r="667" spans="1:11">
      <c r="A667" s="11" t="s">
        <v>143</v>
      </c>
      <c r="B667" s="12" t="s">
        <v>94</v>
      </c>
      <c r="C667" s="12" t="s">
        <v>71</v>
      </c>
      <c r="D667" s="12" t="s">
        <v>58</v>
      </c>
      <c r="E667" s="12">
        <v>45</v>
      </c>
      <c r="F667" s="13">
        <v>43581</v>
      </c>
      <c r="G667" s="14">
        <v>74891</v>
      </c>
      <c r="H667" s="15">
        <v>0</v>
      </c>
      <c r="I667" s="12" t="s">
        <v>113</v>
      </c>
      <c r="J667" s="12" t="s">
        <v>117</v>
      </c>
      <c r="K667" s="17" t="s">
        <v>1121</v>
      </c>
    </row>
    <row r="668" spans="1:11">
      <c r="A668" s="11" t="s">
        <v>97</v>
      </c>
      <c r="B668" s="12" t="s">
        <v>98</v>
      </c>
      <c r="C668" s="12" t="s">
        <v>83</v>
      </c>
      <c r="D668" s="12" t="s">
        <v>65</v>
      </c>
      <c r="E668" s="12">
        <v>28</v>
      </c>
      <c r="F668" s="13">
        <v>44548</v>
      </c>
      <c r="G668" s="14">
        <v>95670</v>
      </c>
      <c r="H668" s="15">
        <v>0</v>
      </c>
      <c r="I668" s="12" t="s">
        <v>60</v>
      </c>
      <c r="J668" s="12" t="s">
        <v>79</v>
      </c>
      <c r="K668" s="17" t="s">
        <v>1121</v>
      </c>
    </row>
    <row r="669" spans="1:11">
      <c r="A669" s="11" t="s">
        <v>81</v>
      </c>
      <c r="B669" s="12" t="s">
        <v>82</v>
      </c>
      <c r="C669" s="12" t="s">
        <v>57</v>
      </c>
      <c r="D669" s="12" t="s">
        <v>58</v>
      </c>
      <c r="E669" s="12">
        <v>65</v>
      </c>
      <c r="F669" s="13">
        <v>36798</v>
      </c>
      <c r="G669" s="14">
        <v>67837</v>
      </c>
      <c r="H669" s="15">
        <v>0</v>
      </c>
      <c r="I669" s="12" t="s">
        <v>60</v>
      </c>
      <c r="J669" s="12" t="s">
        <v>91</v>
      </c>
      <c r="K669" s="17" t="s">
        <v>1121</v>
      </c>
    </row>
    <row r="670" spans="1:11">
      <c r="A670" s="11" t="s">
        <v>132</v>
      </c>
      <c r="B670" s="12" t="s">
        <v>82</v>
      </c>
      <c r="C670" s="12" t="s">
        <v>57</v>
      </c>
      <c r="D670" s="12" t="s">
        <v>65</v>
      </c>
      <c r="E670" s="12">
        <v>41</v>
      </c>
      <c r="F670" s="13">
        <v>40333</v>
      </c>
      <c r="G670" s="14">
        <v>72425</v>
      </c>
      <c r="H670" s="15">
        <v>0</v>
      </c>
      <c r="I670" s="12" t="s">
        <v>66</v>
      </c>
      <c r="J670" s="12" t="s">
        <v>126</v>
      </c>
      <c r="K670" s="17" t="s">
        <v>1121</v>
      </c>
    </row>
    <row r="671" spans="1:11">
      <c r="A671" s="11" t="s">
        <v>78</v>
      </c>
      <c r="B671" s="12" t="s">
        <v>82</v>
      </c>
      <c r="C671" s="12" t="s">
        <v>83</v>
      </c>
      <c r="D671" s="12" t="s">
        <v>58</v>
      </c>
      <c r="E671" s="12">
        <v>52</v>
      </c>
      <c r="F671" s="13">
        <v>34623</v>
      </c>
      <c r="G671" s="14">
        <v>93103</v>
      </c>
      <c r="H671" s="15">
        <v>0</v>
      </c>
      <c r="I671" s="12" t="s">
        <v>60</v>
      </c>
      <c r="J671" s="12" t="s">
        <v>79</v>
      </c>
      <c r="K671" s="17" t="s">
        <v>1121</v>
      </c>
    </row>
    <row r="672" spans="1:11">
      <c r="A672" s="11" t="s">
        <v>97</v>
      </c>
      <c r="B672" s="12" t="s">
        <v>98</v>
      </c>
      <c r="C672" s="12" t="s">
        <v>83</v>
      </c>
      <c r="D672" s="12" t="s">
        <v>58</v>
      </c>
      <c r="E672" s="12">
        <v>56</v>
      </c>
      <c r="F672" s="13">
        <v>42291</v>
      </c>
      <c r="G672" s="14">
        <v>76272</v>
      </c>
      <c r="H672" s="15">
        <v>0</v>
      </c>
      <c r="I672" s="12" t="s">
        <v>60</v>
      </c>
      <c r="J672" s="12" t="s">
        <v>88</v>
      </c>
      <c r="K672" s="17">
        <v>44491</v>
      </c>
    </row>
    <row r="673" spans="1:11">
      <c r="A673" s="11" t="s">
        <v>132</v>
      </c>
      <c r="B673" s="12" t="s">
        <v>70</v>
      </c>
      <c r="C673" s="12" t="s">
        <v>64</v>
      </c>
      <c r="D673" s="12" t="s">
        <v>58</v>
      </c>
      <c r="E673" s="12">
        <v>48</v>
      </c>
      <c r="F673" s="13">
        <v>37796</v>
      </c>
      <c r="G673" s="14">
        <v>55760</v>
      </c>
      <c r="H673" s="15">
        <v>0</v>
      </c>
      <c r="I673" s="12" t="s">
        <v>60</v>
      </c>
      <c r="J673" s="12" t="s">
        <v>91</v>
      </c>
      <c r="K673" s="17" t="s">
        <v>1121</v>
      </c>
    </row>
    <row r="674" spans="1:11">
      <c r="A674" s="11" t="s">
        <v>104</v>
      </c>
      <c r="B674" s="12" t="s">
        <v>90</v>
      </c>
      <c r="C674" s="12" t="s">
        <v>83</v>
      </c>
      <c r="D674" s="12" t="s">
        <v>58</v>
      </c>
      <c r="E674" s="12">
        <v>36</v>
      </c>
      <c r="F674" s="13">
        <v>43843</v>
      </c>
      <c r="G674" s="14">
        <v>253294</v>
      </c>
      <c r="H674" s="15">
        <v>0.4</v>
      </c>
      <c r="I674" s="12" t="s">
        <v>60</v>
      </c>
      <c r="J674" s="12" t="s">
        <v>88</v>
      </c>
      <c r="K674" s="17" t="s">
        <v>1121</v>
      </c>
    </row>
    <row r="675" spans="1:11">
      <c r="A675" s="11" t="s">
        <v>132</v>
      </c>
      <c r="B675" s="12" t="s">
        <v>70</v>
      </c>
      <c r="C675" s="12" t="s">
        <v>83</v>
      </c>
      <c r="D675" s="12" t="s">
        <v>65</v>
      </c>
      <c r="E675" s="12">
        <v>60</v>
      </c>
      <c r="F675" s="13">
        <v>39310</v>
      </c>
      <c r="G675" s="14">
        <v>58671</v>
      </c>
      <c r="H675" s="15">
        <v>0</v>
      </c>
      <c r="I675" s="12" t="s">
        <v>60</v>
      </c>
      <c r="J675" s="12" t="s">
        <v>110</v>
      </c>
      <c r="K675" s="17" t="s">
        <v>1121</v>
      </c>
    </row>
    <row r="676" spans="1:11">
      <c r="A676" s="11" t="s">
        <v>81</v>
      </c>
      <c r="B676" s="12" t="s">
        <v>82</v>
      </c>
      <c r="C676" s="12" t="s">
        <v>57</v>
      </c>
      <c r="D676" s="12" t="s">
        <v>58</v>
      </c>
      <c r="E676" s="12">
        <v>40</v>
      </c>
      <c r="F676" s="13">
        <v>43175</v>
      </c>
      <c r="G676" s="14">
        <v>55457</v>
      </c>
      <c r="H676" s="15">
        <v>0</v>
      </c>
      <c r="I676" s="12" t="s">
        <v>60</v>
      </c>
      <c r="J676" s="12" t="s">
        <v>110</v>
      </c>
      <c r="K676" s="17" t="s">
        <v>1121</v>
      </c>
    </row>
    <row r="677" spans="1:11">
      <c r="A677" s="11" t="s">
        <v>81</v>
      </c>
      <c r="B677" s="12" t="s">
        <v>82</v>
      </c>
      <c r="C677" s="12" t="s">
        <v>64</v>
      </c>
      <c r="D677" s="12" t="s">
        <v>58</v>
      </c>
      <c r="E677" s="12">
        <v>63</v>
      </c>
      <c r="F677" s="13">
        <v>43004</v>
      </c>
      <c r="G677" s="14">
        <v>72340</v>
      </c>
      <c r="H677" s="15">
        <v>0</v>
      </c>
      <c r="I677" s="12" t="s">
        <v>60</v>
      </c>
      <c r="J677" s="12" t="s">
        <v>79</v>
      </c>
      <c r="K677" s="17">
        <v>43558</v>
      </c>
    </row>
    <row r="678" spans="1:11">
      <c r="A678" s="11" t="s">
        <v>85</v>
      </c>
      <c r="B678" s="12" t="s">
        <v>105</v>
      </c>
      <c r="C678" s="12" t="s">
        <v>83</v>
      </c>
      <c r="D678" s="12" t="s">
        <v>58</v>
      </c>
      <c r="E678" s="12">
        <v>29</v>
      </c>
      <c r="F678" s="13">
        <v>42676</v>
      </c>
      <c r="G678" s="14">
        <v>122054</v>
      </c>
      <c r="H678" s="15">
        <v>0.06</v>
      </c>
      <c r="I678" s="12" t="s">
        <v>60</v>
      </c>
      <c r="J678" s="12" t="s">
        <v>79</v>
      </c>
      <c r="K678" s="17" t="s">
        <v>1121</v>
      </c>
    </row>
    <row r="679" spans="1:11">
      <c r="A679" s="11" t="s">
        <v>69</v>
      </c>
      <c r="B679" s="12" t="s">
        <v>56</v>
      </c>
      <c r="C679" s="12" t="s">
        <v>64</v>
      </c>
      <c r="D679" s="12" t="s">
        <v>58</v>
      </c>
      <c r="E679" s="12">
        <v>27</v>
      </c>
      <c r="F679" s="13">
        <v>43103</v>
      </c>
      <c r="G679" s="14">
        <v>167100</v>
      </c>
      <c r="H679" s="15">
        <v>0.2</v>
      </c>
      <c r="I679" s="12" t="s">
        <v>66</v>
      </c>
      <c r="J679" s="12" t="s">
        <v>138</v>
      </c>
      <c r="K679" s="17" t="s">
        <v>1121</v>
      </c>
    </row>
    <row r="680" spans="1:11">
      <c r="A680" s="11" t="s">
        <v>63</v>
      </c>
      <c r="B680" s="12" t="s">
        <v>56</v>
      </c>
      <c r="C680" s="12" t="s">
        <v>83</v>
      </c>
      <c r="D680" s="12" t="s">
        <v>58</v>
      </c>
      <c r="E680" s="12">
        <v>53</v>
      </c>
      <c r="F680" s="13">
        <v>35543</v>
      </c>
      <c r="G680" s="14">
        <v>78153</v>
      </c>
      <c r="H680" s="15">
        <v>0</v>
      </c>
      <c r="I680" s="12" t="s">
        <v>60</v>
      </c>
      <c r="J680" s="12" t="s">
        <v>88</v>
      </c>
      <c r="K680" s="17" t="s">
        <v>1121</v>
      </c>
    </row>
    <row r="681" spans="1:11">
      <c r="A681" s="11" t="s">
        <v>85</v>
      </c>
      <c r="B681" s="12" t="s">
        <v>70</v>
      </c>
      <c r="C681" s="12" t="s">
        <v>64</v>
      </c>
      <c r="D681" s="12" t="s">
        <v>58</v>
      </c>
      <c r="E681" s="12">
        <v>37</v>
      </c>
      <c r="F681" s="13">
        <v>43935</v>
      </c>
      <c r="G681" s="14">
        <v>103524</v>
      </c>
      <c r="H681" s="15">
        <v>0.09</v>
      </c>
      <c r="I681" s="12" t="s">
        <v>60</v>
      </c>
      <c r="J681" s="12" t="s">
        <v>79</v>
      </c>
      <c r="K681" s="17" t="s">
        <v>1121</v>
      </c>
    </row>
    <row r="682" spans="1:11">
      <c r="A682" s="11" t="s">
        <v>85</v>
      </c>
      <c r="B682" s="12" t="s">
        <v>56</v>
      </c>
      <c r="C682" s="12" t="s">
        <v>83</v>
      </c>
      <c r="D682" s="12" t="s">
        <v>65</v>
      </c>
      <c r="E682" s="12">
        <v>30</v>
      </c>
      <c r="F682" s="13">
        <v>42952</v>
      </c>
      <c r="G682" s="14">
        <v>119906</v>
      </c>
      <c r="H682" s="15">
        <v>0.05</v>
      </c>
      <c r="I682" s="12" t="s">
        <v>60</v>
      </c>
      <c r="J682" s="12" t="s">
        <v>110</v>
      </c>
      <c r="K682" s="17" t="s">
        <v>1121</v>
      </c>
    </row>
    <row r="683" spans="1:11">
      <c r="A683" s="11" t="s">
        <v>87</v>
      </c>
      <c r="B683" s="12" t="s">
        <v>105</v>
      </c>
      <c r="C683" s="12" t="s">
        <v>71</v>
      </c>
      <c r="D683" s="12" t="s">
        <v>58</v>
      </c>
      <c r="E683" s="12">
        <v>28</v>
      </c>
      <c r="F683" s="13">
        <v>43847</v>
      </c>
      <c r="G683" s="14">
        <v>45061</v>
      </c>
      <c r="H683" s="15">
        <v>0</v>
      </c>
      <c r="I683" s="12" t="s">
        <v>60</v>
      </c>
      <c r="J683" s="12" t="s">
        <v>88</v>
      </c>
      <c r="K683" s="17" t="s">
        <v>1121</v>
      </c>
    </row>
    <row r="684" spans="1:11">
      <c r="A684" s="11" t="s">
        <v>303</v>
      </c>
      <c r="B684" s="12" t="s">
        <v>56</v>
      </c>
      <c r="C684" s="12" t="s">
        <v>83</v>
      </c>
      <c r="D684" s="12" t="s">
        <v>65</v>
      </c>
      <c r="E684" s="12">
        <v>51</v>
      </c>
      <c r="F684" s="13">
        <v>37638</v>
      </c>
      <c r="G684" s="14">
        <v>91399</v>
      </c>
      <c r="H684" s="15">
        <v>0</v>
      </c>
      <c r="I684" s="12" t="s">
        <v>60</v>
      </c>
      <c r="J684" s="12" t="s">
        <v>61</v>
      </c>
      <c r="K684" s="17" t="s">
        <v>1121</v>
      </c>
    </row>
    <row r="685" spans="1:11">
      <c r="A685" s="11" t="s">
        <v>136</v>
      </c>
      <c r="B685" s="12" t="s">
        <v>56</v>
      </c>
      <c r="C685" s="12" t="s">
        <v>57</v>
      </c>
      <c r="D685" s="12" t="s">
        <v>65</v>
      </c>
      <c r="E685" s="12">
        <v>28</v>
      </c>
      <c r="F685" s="13">
        <v>43006</v>
      </c>
      <c r="G685" s="14">
        <v>97336</v>
      </c>
      <c r="H685" s="15">
        <v>0</v>
      </c>
      <c r="I685" s="12" t="s">
        <v>60</v>
      </c>
      <c r="J685" s="12" t="s">
        <v>91</v>
      </c>
      <c r="K685" s="17" t="s">
        <v>1121</v>
      </c>
    </row>
    <row r="686" spans="1:11">
      <c r="A686" s="11" t="s">
        <v>55</v>
      </c>
      <c r="B686" s="12" t="s">
        <v>90</v>
      </c>
      <c r="C686" s="12" t="s">
        <v>83</v>
      </c>
      <c r="D686" s="12" t="s">
        <v>58</v>
      </c>
      <c r="E686" s="12">
        <v>31</v>
      </c>
      <c r="F686" s="13">
        <v>42755</v>
      </c>
      <c r="G686" s="14">
        <v>124629</v>
      </c>
      <c r="H686" s="15">
        <v>0.1</v>
      </c>
      <c r="I686" s="12" t="s">
        <v>60</v>
      </c>
      <c r="J686" s="12" t="s">
        <v>110</v>
      </c>
      <c r="K686" s="17" t="s">
        <v>1121</v>
      </c>
    </row>
    <row r="687" spans="1:11">
      <c r="A687" s="11" t="s">
        <v>104</v>
      </c>
      <c r="B687" s="12" t="s">
        <v>94</v>
      </c>
      <c r="C687" s="12" t="s">
        <v>71</v>
      </c>
      <c r="D687" s="12" t="s">
        <v>58</v>
      </c>
      <c r="E687" s="12">
        <v>28</v>
      </c>
      <c r="F687" s="13">
        <v>44402</v>
      </c>
      <c r="G687" s="14">
        <v>231850</v>
      </c>
      <c r="H687" s="15">
        <v>0.39</v>
      </c>
      <c r="I687" s="12" t="s">
        <v>60</v>
      </c>
      <c r="J687" s="12" t="s">
        <v>88</v>
      </c>
      <c r="K687" s="17" t="s">
        <v>1121</v>
      </c>
    </row>
    <row r="688" spans="1:11">
      <c r="A688" s="11" t="s">
        <v>85</v>
      </c>
      <c r="B688" s="12" t="s">
        <v>90</v>
      </c>
      <c r="C688" s="12" t="s">
        <v>57</v>
      </c>
      <c r="D688" s="12" t="s">
        <v>65</v>
      </c>
      <c r="E688" s="12">
        <v>34</v>
      </c>
      <c r="F688" s="13">
        <v>43255</v>
      </c>
      <c r="G688" s="14">
        <v>128329</v>
      </c>
      <c r="H688" s="15">
        <v>0.08</v>
      </c>
      <c r="I688" s="12" t="s">
        <v>60</v>
      </c>
      <c r="J688" s="12" t="s">
        <v>79</v>
      </c>
      <c r="K688" s="17" t="s">
        <v>1121</v>
      </c>
    </row>
    <row r="689" spans="1:11">
      <c r="A689" s="11" t="s">
        <v>104</v>
      </c>
      <c r="B689" s="12" t="s">
        <v>105</v>
      </c>
      <c r="C689" s="12" t="s">
        <v>71</v>
      </c>
      <c r="D689" s="12" t="s">
        <v>65</v>
      </c>
      <c r="E689" s="12">
        <v>44</v>
      </c>
      <c r="F689" s="13">
        <v>44283</v>
      </c>
      <c r="G689" s="14">
        <v>186033</v>
      </c>
      <c r="H689" s="15">
        <v>0.34</v>
      </c>
      <c r="I689" s="12" t="s">
        <v>113</v>
      </c>
      <c r="J689" s="12" t="s">
        <v>184</v>
      </c>
      <c r="K689" s="17" t="s">
        <v>1121</v>
      </c>
    </row>
    <row r="690" spans="1:11">
      <c r="A690" s="11" t="s">
        <v>55</v>
      </c>
      <c r="B690" s="12" t="s">
        <v>105</v>
      </c>
      <c r="C690" s="12" t="s">
        <v>64</v>
      </c>
      <c r="D690" s="12" t="s">
        <v>65</v>
      </c>
      <c r="E690" s="12">
        <v>60</v>
      </c>
      <c r="F690" s="13">
        <v>44403</v>
      </c>
      <c r="G690" s="14">
        <v>121480</v>
      </c>
      <c r="H690" s="15">
        <v>0.14</v>
      </c>
      <c r="I690" s="12" t="s">
        <v>60</v>
      </c>
      <c r="J690" s="12" t="s">
        <v>79</v>
      </c>
      <c r="K690" s="17" t="s">
        <v>1121</v>
      </c>
    </row>
    <row r="691" spans="1:11">
      <c r="A691" s="11" t="s">
        <v>69</v>
      </c>
      <c r="B691" s="12" t="s">
        <v>94</v>
      </c>
      <c r="C691" s="12" t="s">
        <v>71</v>
      </c>
      <c r="D691" s="12" t="s">
        <v>58</v>
      </c>
      <c r="E691" s="12">
        <v>41</v>
      </c>
      <c r="F691" s="13">
        <v>40319</v>
      </c>
      <c r="G691" s="14">
        <v>153275</v>
      </c>
      <c r="H691" s="15">
        <v>0.24</v>
      </c>
      <c r="I691" s="12" t="s">
        <v>60</v>
      </c>
      <c r="J691" s="12" t="s">
        <v>110</v>
      </c>
      <c r="K691" s="17" t="s">
        <v>1121</v>
      </c>
    </row>
    <row r="692" spans="1:11">
      <c r="A692" s="11" t="s">
        <v>78</v>
      </c>
      <c r="B692" s="12" t="s">
        <v>82</v>
      </c>
      <c r="C692" s="12" t="s">
        <v>57</v>
      </c>
      <c r="D692" s="12" t="s">
        <v>58</v>
      </c>
      <c r="E692" s="12">
        <v>62</v>
      </c>
      <c r="F692" s="13">
        <v>43969</v>
      </c>
      <c r="G692" s="14">
        <v>97830</v>
      </c>
      <c r="H692" s="15">
        <v>0</v>
      </c>
      <c r="I692" s="12" t="s">
        <v>60</v>
      </c>
      <c r="J692" s="12" t="s">
        <v>91</v>
      </c>
      <c r="K692" s="17" t="s">
        <v>1121</v>
      </c>
    </row>
    <row r="693" spans="1:11">
      <c r="A693" s="11" t="s">
        <v>104</v>
      </c>
      <c r="B693" s="12" t="s">
        <v>105</v>
      </c>
      <c r="C693" s="12" t="s">
        <v>83</v>
      </c>
      <c r="D693" s="12" t="s">
        <v>58</v>
      </c>
      <c r="E693" s="12">
        <v>47</v>
      </c>
      <c r="F693" s="13">
        <v>36232</v>
      </c>
      <c r="G693" s="14">
        <v>239394</v>
      </c>
      <c r="H693" s="15">
        <v>0.32</v>
      </c>
      <c r="I693" s="12" t="s">
        <v>60</v>
      </c>
      <c r="J693" s="12" t="s">
        <v>91</v>
      </c>
      <c r="K693" s="17" t="s">
        <v>1121</v>
      </c>
    </row>
    <row r="694" spans="1:11">
      <c r="A694" s="11" t="s">
        <v>87</v>
      </c>
      <c r="B694" s="12" t="s">
        <v>70</v>
      </c>
      <c r="C694" s="12" t="s">
        <v>71</v>
      </c>
      <c r="D694" s="12" t="s">
        <v>58</v>
      </c>
      <c r="E694" s="12">
        <v>62</v>
      </c>
      <c r="F694" s="13">
        <v>37519</v>
      </c>
      <c r="G694" s="14">
        <v>49738</v>
      </c>
      <c r="H694" s="15">
        <v>0</v>
      </c>
      <c r="I694" s="12" t="s">
        <v>66</v>
      </c>
      <c r="J694" s="12" t="s">
        <v>126</v>
      </c>
      <c r="K694" s="17" t="s">
        <v>1121</v>
      </c>
    </row>
    <row r="695" spans="1:11">
      <c r="A695" s="11" t="s">
        <v>87</v>
      </c>
      <c r="B695" s="12" t="s">
        <v>90</v>
      </c>
      <c r="C695" s="12" t="s">
        <v>64</v>
      </c>
      <c r="D695" s="12" t="s">
        <v>58</v>
      </c>
      <c r="E695" s="12">
        <v>33</v>
      </c>
      <c r="F695" s="13">
        <v>43247</v>
      </c>
      <c r="G695" s="14">
        <v>45049</v>
      </c>
      <c r="H695" s="15">
        <v>0</v>
      </c>
      <c r="I695" s="12" t="s">
        <v>60</v>
      </c>
      <c r="J695" s="12" t="s">
        <v>61</v>
      </c>
      <c r="K695" s="17" t="s">
        <v>1121</v>
      </c>
    </row>
    <row r="696" spans="1:11">
      <c r="A696" s="11" t="s">
        <v>69</v>
      </c>
      <c r="B696" s="12" t="s">
        <v>70</v>
      </c>
      <c r="C696" s="12" t="s">
        <v>57</v>
      </c>
      <c r="D696" s="12" t="s">
        <v>58</v>
      </c>
      <c r="E696" s="12">
        <v>27</v>
      </c>
      <c r="F696" s="13">
        <v>43977</v>
      </c>
      <c r="G696" s="14">
        <v>153628</v>
      </c>
      <c r="H696" s="15">
        <v>0.29</v>
      </c>
      <c r="I696" s="12" t="s">
        <v>66</v>
      </c>
      <c r="J696" s="12" t="s">
        <v>67</v>
      </c>
      <c r="K696" s="17">
        <v>44177</v>
      </c>
    </row>
    <row r="697" spans="1:11">
      <c r="A697" s="11" t="s">
        <v>55</v>
      </c>
      <c r="B697" s="12" t="s">
        <v>82</v>
      </c>
      <c r="C697" s="12" t="s">
        <v>64</v>
      </c>
      <c r="D697" s="12" t="s">
        <v>65</v>
      </c>
      <c r="E697" s="12">
        <v>25</v>
      </c>
      <c r="F697" s="13">
        <v>44362</v>
      </c>
      <c r="G697" s="14">
        <v>142731</v>
      </c>
      <c r="H697" s="15">
        <v>0.11</v>
      </c>
      <c r="I697" s="12" t="s">
        <v>66</v>
      </c>
      <c r="J697" s="12" t="s">
        <v>101</v>
      </c>
      <c r="K697" s="17">
        <v>44715</v>
      </c>
    </row>
    <row r="698" spans="1:11">
      <c r="A698" s="11" t="s">
        <v>55</v>
      </c>
      <c r="B698" s="12" t="s">
        <v>105</v>
      </c>
      <c r="C698" s="12" t="s">
        <v>71</v>
      </c>
      <c r="D698" s="12" t="s">
        <v>58</v>
      </c>
      <c r="E698" s="12">
        <v>29</v>
      </c>
      <c r="F698" s="13">
        <v>43966</v>
      </c>
      <c r="G698" s="14">
        <v>137106</v>
      </c>
      <c r="H698" s="15">
        <v>0.12</v>
      </c>
      <c r="I698" s="12" t="s">
        <v>113</v>
      </c>
      <c r="J698" s="12" t="s">
        <v>184</v>
      </c>
      <c r="K698" s="17" t="s">
        <v>1121</v>
      </c>
    </row>
    <row r="699" spans="1:11">
      <c r="A699" s="11" t="s">
        <v>104</v>
      </c>
      <c r="B699" s="12" t="s">
        <v>70</v>
      </c>
      <c r="C699" s="12" t="s">
        <v>83</v>
      </c>
      <c r="D699" s="12" t="s">
        <v>58</v>
      </c>
      <c r="E699" s="12">
        <v>54</v>
      </c>
      <c r="F699" s="13">
        <v>39330</v>
      </c>
      <c r="G699" s="14">
        <v>183239</v>
      </c>
      <c r="H699" s="15">
        <v>0.32</v>
      </c>
      <c r="I699" s="12" t="s">
        <v>60</v>
      </c>
      <c r="J699" s="12" t="s">
        <v>61</v>
      </c>
      <c r="K699" s="17" t="s">
        <v>1121</v>
      </c>
    </row>
    <row r="700" spans="1:11">
      <c r="A700" s="11" t="s">
        <v>87</v>
      </c>
      <c r="B700" s="12" t="s">
        <v>90</v>
      </c>
      <c r="C700" s="12" t="s">
        <v>64</v>
      </c>
      <c r="D700" s="12" t="s">
        <v>58</v>
      </c>
      <c r="E700" s="12">
        <v>28</v>
      </c>
      <c r="F700" s="13">
        <v>43610</v>
      </c>
      <c r="G700" s="14">
        <v>45819</v>
      </c>
      <c r="H700" s="15">
        <v>0</v>
      </c>
      <c r="I700" s="12" t="s">
        <v>60</v>
      </c>
      <c r="J700" s="12" t="s">
        <v>88</v>
      </c>
      <c r="K700" s="17" t="s">
        <v>1121</v>
      </c>
    </row>
    <row r="701" spans="1:11">
      <c r="A701" s="11" t="s">
        <v>87</v>
      </c>
      <c r="B701" s="12" t="s">
        <v>90</v>
      </c>
      <c r="C701" s="12" t="s">
        <v>57</v>
      </c>
      <c r="D701" s="12" t="s">
        <v>58</v>
      </c>
      <c r="E701" s="12">
        <v>54</v>
      </c>
      <c r="F701" s="13">
        <v>39080</v>
      </c>
      <c r="G701" s="14">
        <v>55518</v>
      </c>
      <c r="H701" s="15">
        <v>0</v>
      </c>
      <c r="I701" s="12" t="s">
        <v>60</v>
      </c>
      <c r="J701" s="12" t="s">
        <v>110</v>
      </c>
      <c r="K701" s="17" t="s">
        <v>1121</v>
      </c>
    </row>
    <row r="702" spans="1:11">
      <c r="A702" s="11" t="s">
        <v>85</v>
      </c>
      <c r="B702" s="12" t="s">
        <v>105</v>
      </c>
      <c r="C702" s="12" t="s">
        <v>64</v>
      </c>
      <c r="D702" s="12" t="s">
        <v>58</v>
      </c>
      <c r="E702" s="12">
        <v>50</v>
      </c>
      <c r="F702" s="13">
        <v>40979</v>
      </c>
      <c r="G702" s="14">
        <v>108134</v>
      </c>
      <c r="H702" s="15">
        <v>0.1</v>
      </c>
      <c r="I702" s="12" t="s">
        <v>66</v>
      </c>
      <c r="J702" s="12" t="s">
        <v>101</v>
      </c>
      <c r="K702" s="17" t="s">
        <v>1121</v>
      </c>
    </row>
    <row r="703" spans="1:11">
      <c r="A703" s="11" t="s">
        <v>85</v>
      </c>
      <c r="B703" s="12" t="s">
        <v>105</v>
      </c>
      <c r="C703" s="12" t="s">
        <v>57</v>
      </c>
      <c r="D703" s="12" t="s">
        <v>58</v>
      </c>
      <c r="E703" s="12">
        <v>55</v>
      </c>
      <c r="F703" s="13">
        <v>33958</v>
      </c>
      <c r="G703" s="14">
        <v>113950</v>
      </c>
      <c r="H703" s="15">
        <v>0.09</v>
      </c>
      <c r="I703" s="12" t="s">
        <v>60</v>
      </c>
      <c r="J703" s="12" t="s">
        <v>88</v>
      </c>
      <c r="K703" s="17" t="s">
        <v>1121</v>
      </c>
    </row>
    <row r="704" spans="1:11">
      <c r="A704" s="11" t="s">
        <v>104</v>
      </c>
      <c r="B704" s="12" t="s">
        <v>105</v>
      </c>
      <c r="C704" s="12" t="s">
        <v>71</v>
      </c>
      <c r="D704" s="12" t="s">
        <v>58</v>
      </c>
      <c r="E704" s="12">
        <v>52</v>
      </c>
      <c r="F704" s="13">
        <v>35886</v>
      </c>
      <c r="G704" s="14">
        <v>182035</v>
      </c>
      <c r="H704" s="15">
        <v>0.3</v>
      </c>
      <c r="I704" s="12" t="s">
        <v>60</v>
      </c>
      <c r="J704" s="12" t="s">
        <v>73</v>
      </c>
      <c r="K704" s="17" t="s">
        <v>1121</v>
      </c>
    </row>
    <row r="705" spans="1:11">
      <c r="A705" s="11" t="s">
        <v>69</v>
      </c>
      <c r="B705" s="12" t="s">
        <v>90</v>
      </c>
      <c r="C705" s="12" t="s">
        <v>71</v>
      </c>
      <c r="D705" s="12" t="s">
        <v>65</v>
      </c>
      <c r="E705" s="12">
        <v>35</v>
      </c>
      <c r="F705" s="13">
        <v>42963</v>
      </c>
      <c r="G705" s="14">
        <v>181356</v>
      </c>
      <c r="H705" s="15">
        <v>0.23</v>
      </c>
      <c r="I705" s="12" t="s">
        <v>66</v>
      </c>
      <c r="J705" s="12" t="s">
        <v>126</v>
      </c>
      <c r="K705" s="17" t="s">
        <v>1121</v>
      </c>
    </row>
    <row r="706" spans="1:11">
      <c r="A706" s="11" t="s">
        <v>81</v>
      </c>
      <c r="B706" s="12" t="s">
        <v>82</v>
      </c>
      <c r="C706" s="12" t="s">
        <v>83</v>
      </c>
      <c r="D706" s="12" t="s">
        <v>58</v>
      </c>
      <c r="E706" s="12">
        <v>26</v>
      </c>
      <c r="F706" s="13">
        <v>43698</v>
      </c>
      <c r="G706" s="14">
        <v>66084</v>
      </c>
      <c r="H706" s="15">
        <v>0</v>
      </c>
      <c r="I706" s="12" t="s">
        <v>60</v>
      </c>
      <c r="J706" s="12" t="s">
        <v>61</v>
      </c>
      <c r="K706" s="17" t="s">
        <v>1121</v>
      </c>
    </row>
    <row r="707" spans="1:11">
      <c r="A707" s="11" t="s">
        <v>266</v>
      </c>
      <c r="B707" s="12" t="s">
        <v>56</v>
      </c>
      <c r="C707" s="12" t="s">
        <v>71</v>
      </c>
      <c r="D707" s="12" t="s">
        <v>58</v>
      </c>
      <c r="E707" s="12">
        <v>43</v>
      </c>
      <c r="F707" s="13">
        <v>40290</v>
      </c>
      <c r="G707" s="14">
        <v>76912</v>
      </c>
      <c r="H707" s="15">
        <v>0</v>
      </c>
      <c r="I707" s="12" t="s">
        <v>113</v>
      </c>
      <c r="J707" s="12" t="s">
        <v>184</v>
      </c>
      <c r="K707" s="17" t="s">
        <v>1121</v>
      </c>
    </row>
    <row r="708" spans="1:11">
      <c r="A708" s="11" t="s">
        <v>187</v>
      </c>
      <c r="B708" s="12" t="s">
        <v>98</v>
      </c>
      <c r="C708" s="12" t="s">
        <v>57</v>
      </c>
      <c r="D708" s="12" t="s">
        <v>58</v>
      </c>
      <c r="E708" s="12">
        <v>63</v>
      </c>
      <c r="F708" s="13">
        <v>43227</v>
      </c>
      <c r="G708" s="14">
        <v>67987</v>
      </c>
      <c r="H708" s="15">
        <v>0</v>
      </c>
      <c r="I708" s="12" t="s">
        <v>60</v>
      </c>
      <c r="J708" s="12" t="s">
        <v>88</v>
      </c>
      <c r="K708" s="17" t="s">
        <v>1121</v>
      </c>
    </row>
    <row r="709" spans="1:11">
      <c r="A709" s="11" t="s">
        <v>132</v>
      </c>
      <c r="B709" s="12" t="s">
        <v>105</v>
      </c>
      <c r="C709" s="12" t="s">
        <v>64</v>
      </c>
      <c r="D709" s="12" t="s">
        <v>65</v>
      </c>
      <c r="E709" s="12">
        <v>65</v>
      </c>
      <c r="F709" s="13">
        <v>38584</v>
      </c>
      <c r="G709" s="14">
        <v>59833</v>
      </c>
      <c r="H709" s="15">
        <v>0</v>
      </c>
      <c r="I709" s="12" t="s">
        <v>60</v>
      </c>
      <c r="J709" s="12" t="s">
        <v>110</v>
      </c>
      <c r="K709" s="17" t="s">
        <v>1121</v>
      </c>
    </row>
    <row r="710" spans="1:11">
      <c r="A710" s="11" t="s">
        <v>55</v>
      </c>
      <c r="B710" s="12" t="s">
        <v>105</v>
      </c>
      <c r="C710" s="12" t="s">
        <v>71</v>
      </c>
      <c r="D710" s="12" t="s">
        <v>65</v>
      </c>
      <c r="E710" s="12">
        <v>45</v>
      </c>
      <c r="F710" s="13">
        <v>38453</v>
      </c>
      <c r="G710" s="14">
        <v>128468</v>
      </c>
      <c r="H710" s="15">
        <v>0.11</v>
      </c>
      <c r="I710" s="12" t="s">
        <v>60</v>
      </c>
      <c r="J710" s="12" t="s">
        <v>73</v>
      </c>
      <c r="K710" s="17" t="s">
        <v>1121</v>
      </c>
    </row>
    <row r="711" spans="1:11">
      <c r="A711" s="11" t="s">
        <v>85</v>
      </c>
      <c r="B711" s="12" t="s">
        <v>82</v>
      </c>
      <c r="C711" s="12" t="s">
        <v>83</v>
      </c>
      <c r="D711" s="12" t="s">
        <v>65</v>
      </c>
      <c r="E711" s="12">
        <v>42</v>
      </c>
      <c r="F711" s="13">
        <v>40692</v>
      </c>
      <c r="G711" s="14">
        <v>102440</v>
      </c>
      <c r="H711" s="15">
        <v>0.06</v>
      </c>
      <c r="I711" s="12" t="s">
        <v>60</v>
      </c>
      <c r="J711" s="12" t="s">
        <v>73</v>
      </c>
      <c r="K711" s="17" t="s">
        <v>1121</v>
      </c>
    </row>
    <row r="712" spans="1:11">
      <c r="A712" s="11" t="s">
        <v>104</v>
      </c>
      <c r="B712" s="12" t="s">
        <v>56</v>
      </c>
      <c r="C712" s="12" t="s">
        <v>71</v>
      </c>
      <c r="D712" s="12" t="s">
        <v>65</v>
      </c>
      <c r="E712" s="12">
        <v>59</v>
      </c>
      <c r="F712" s="13">
        <v>40542</v>
      </c>
      <c r="G712" s="14">
        <v>246619</v>
      </c>
      <c r="H712" s="15">
        <v>0.36</v>
      </c>
      <c r="I712" s="12" t="s">
        <v>60</v>
      </c>
      <c r="J712" s="12" t="s">
        <v>88</v>
      </c>
      <c r="K712" s="17" t="s">
        <v>1121</v>
      </c>
    </row>
    <row r="713" spans="1:11">
      <c r="A713" s="11" t="s">
        <v>85</v>
      </c>
      <c r="B713" s="12" t="s">
        <v>94</v>
      </c>
      <c r="C713" s="12" t="s">
        <v>83</v>
      </c>
      <c r="D713" s="12" t="s">
        <v>58</v>
      </c>
      <c r="E713" s="12">
        <v>42</v>
      </c>
      <c r="F713" s="13">
        <v>43058</v>
      </c>
      <c r="G713" s="14">
        <v>101143</v>
      </c>
      <c r="H713" s="15">
        <v>0.06</v>
      </c>
      <c r="I713" s="12" t="s">
        <v>60</v>
      </c>
      <c r="J713" s="12" t="s">
        <v>88</v>
      </c>
      <c r="K713" s="17" t="s">
        <v>1121</v>
      </c>
    </row>
    <row r="714" spans="1:11">
      <c r="A714" s="11" t="s">
        <v>166</v>
      </c>
      <c r="B714" s="12" t="s">
        <v>94</v>
      </c>
      <c r="C714" s="12" t="s">
        <v>64</v>
      </c>
      <c r="D714" s="12" t="s">
        <v>58</v>
      </c>
      <c r="E714" s="12">
        <v>45</v>
      </c>
      <c r="F714" s="13">
        <v>38639</v>
      </c>
      <c r="G714" s="14">
        <v>51404</v>
      </c>
      <c r="H714" s="15">
        <v>0</v>
      </c>
      <c r="I714" s="12" t="s">
        <v>113</v>
      </c>
      <c r="J714" s="12" t="s">
        <v>114</v>
      </c>
      <c r="K714" s="17">
        <v>40153</v>
      </c>
    </row>
    <row r="715" spans="1:11">
      <c r="A715" s="11" t="s">
        <v>160</v>
      </c>
      <c r="B715" s="12" t="s">
        <v>98</v>
      </c>
      <c r="C715" s="12" t="s">
        <v>71</v>
      </c>
      <c r="D715" s="12" t="s">
        <v>65</v>
      </c>
      <c r="E715" s="12">
        <v>45</v>
      </c>
      <c r="F715" s="13">
        <v>42329</v>
      </c>
      <c r="G715" s="14">
        <v>87292</v>
      </c>
      <c r="H715" s="15">
        <v>0</v>
      </c>
      <c r="I715" s="12" t="s">
        <v>60</v>
      </c>
      <c r="J715" s="12" t="s">
        <v>110</v>
      </c>
      <c r="K715" s="17" t="s">
        <v>1121</v>
      </c>
    </row>
    <row r="716" spans="1:11">
      <c r="A716" s="11" t="s">
        <v>69</v>
      </c>
      <c r="B716" s="12" t="s">
        <v>105</v>
      </c>
      <c r="C716" s="12" t="s">
        <v>71</v>
      </c>
      <c r="D716" s="12" t="s">
        <v>58</v>
      </c>
      <c r="E716" s="12">
        <v>28</v>
      </c>
      <c r="F716" s="13">
        <v>43810</v>
      </c>
      <c r="G716" s="14">
        <v>182321</v>
      </c>
      <c r="H716" s="15">
        <v>0.28</v>
      </c>
      <c r="I716" s="12" t="s">
        <v>66</v>
      </c>
      <c r="J716" s="12" t="s">
        <v>126</v>
      </c>
      <c r="K716" s="17" t="s">
        <v>1121</v>
      </c>
    </row>
    <row r="717" spans="1:11">
      <c r="A717" s="11" t="s">
        <v>244</v>
      </c>
      <c r="B717" s="12" t="s">
        <v>56</v>
      </c>
      <c r="C717" s="12" t="s">
        <v>83</v>
      </c>
      <c r="D717" s="12" t="s">
        <v>65</v>
      </c>
      <c r="E717" s="12">
        <v>51</v>
      </c>
      <c r="F717" s="13">
        <v>41697</v>
      </c>
      <c r="G717" s="14">
        <v>53929</v>
      </c>
      <c r="H717" s="15">
        <v>0</v>
      </c>
      <c r="I717" s="12" t="s">
        <v>60</v>
      </c>
      <c r="J717" s="12" t="s">
        <v>88</v>
      </c>
      <c r="K717" s="17">
        <v>43091</v>
      </c>
    </row>
    <row r="718" spans="1:11">
      <c r="A718" s="11" t="s">
        <v>104</v>
      </c>
      <c r="B718" s="12" t="s">
        <v>90</v>
      </c>
      <c r="C718" s="12" t="s">
        <v>64</v>
      </c>
      <c r="D718" s="12" t="s">
        <v>58</v>
      </c>
      <c r="E718" s="12">
        <v>38</v>
      </c>
      <c r="F718" s="13">
        <v>41256</v>
      </c>
      <c r="G718" s="14">
        <v>191571</v>
      </c>
      <c r="H718" s="15">
        <v>0.32</v>
      </c>
      <c r="I718" s="12" t="s">
        <v>60</v>
      </c>
      <c r="J718" s="12" t="s">
        <v>91</v>
      </c>
      <c r="K718" s="17" t="s">
        <v>1121</v>
      </c>
    </row>
    <row r="719" spans="1:11">
      <c r="A719" s="11" t="s">
        <v>55</v>
      </c>
      <c r="B719" s="12" t="s">
        <v>90</v>
      </c>
      <c r="C719" s="12" t="s">
        <v>83</v>
      </c>
      <c r="D719" s="12" t="s">
        <v>58</v>
      </c>
      <c r="E719" s="12">
        <v>62</v>
      </c>
      <c r="F719" s="13">
        <v>39843</v>
      </c>
      <c r="G719" s="14">
        <v>150555</v>
      </c>
      <c r="H719" s="15">
        <v>0.13</v>
      </c>
      <c r="I719" s="12" t="s">
        <v>60</v>
      </c>
      <c r="J719" s="12" t="s">
        <v>79</v>
      </c>
      <c r="K719" s="17" t="s">
        <v>1121</v>
      </c>
    </row>
    <row r="720" spans="1:11">
      <c r="A720" s="11" t="s">
        <v>85</v>
      </c>
      <c r="B720" s="12" t="s">
        <v>70</v>
      </c>
      <c r="C720" s="12" t="s">
        <v>83</v>
      </c>
      <c r="D720" s="12" t="s">
        <v>65</v>
      </c>
      <c r="E720" s="12">
        <v>52</v>
      </c>
      <c r="F720" s="13">
        <v>40091</v>
      </c>
      <c r="G720" s="14">
        <v>122890</v>
      </c>
      <c r="H720" s="15">
        <v>0.07</v>
      </c>
      <c r="I720" s="12" t="s">
        <v>66</v>
      </c>
      <c r="J720" s="12" t="s">
        <v>101</v>
      </c>
      <c r="K720" s="17" t="s">
        <v>1121</v>
      </c>
    </row>
    <row r="721" spans="1:11">
      <c r="A721" s="11" t="s">
        <v>104</v>
      </c>
      <c r="B721" s="12" t="s">
        <v>70</v>
      </c>
      <c r="C721" s="12" t="s">
        <v>57</v>
      </c>
      <c r="D721" s="12" t="s">
        <v>65</v>
      </c>
      <c r="E721" s="12">
        <v>52</v>
      </c>
      <c r="F721" s="13">
        <v>35576</v>
      </c>
      <c r="G721" s="14">
        <v>216999</v>
      </c>
      <c r="H721" s="15">
        <v>0.37</v>
      </c>
      <c r="I721" s="12" t="s">
        <v>60</v>
      </c>
      <c r="J721" s="12" t="s">
        <v>88</v>
      </c>
      <c r="K721" s="17" t="s">
        <v>1121</v>
      </c>
    </row>
    <row r="722" spans="1:11">
      <c r="A722" s="11" t="s">
        <v>85</v>
      </c>
      <c r="B722" s="12" t="s">
        <v>94</v>
      </c>
      <c r="C722" s="12" t="s">
        <v>83</v>
      </c>
      <c r="D722" s="12" t="s">
        <v>65</v>
      </c>
      <c r="E722" s="12">
        <v>48</v>
      </c>
      <c r="F722" s="13">
        <v>42201</v>
      </c>
      <c r="G722" s="14">
        <v>110565</v>
      </c>
      <c r="H722" s="15">
        <v>0.09</v>
      </c>
      <c r="I722" s="12" t="s">
        <v>66</v>
      </c>
      <c r="J722" s="12" t="s">
        <v>126</v>
      </c>
      <c r="K722" s="17" t="s">
        <v>1121</v>
      </c>
    </row>
    <row r="723" spans="1:11">
      <c r="A723" s="11" t="s">
        <v>129</v>
      </c>
      <c r="B723" s="12" t="s">
        <v>56</v>
      </c>
      <c r="C723" s="12" t="s">
        <v>71</v>
      </c>
      <c r="D723" s="12" t="s">
        <v>65</v>
      </c>
      <c r="E723" s="12">
        <v>38</v>
      </c>
      <c r="F723" s="13">
        <v>42113</v>
      </c>
      <c r="G723" s="14">
        <v>48762</v>
      </c>
      <c r="H723" s="15">
        <v>0</v>
      </c>
      <c r="I723" s="12" t="s">
        <v>60</v>
      </c>
      <c r="J723" s="12" t="s">
        <v>61</v>
      </c>
      <c r="K723" s="17" t="s">
        <v>1121</v>
      </c>
    </row>
    <row r="724" spans="1:11">
      <c r="A724" s="11" t="s">
        <v>216</v>
      </c>
      <c r="B724" s="12" t="s">
        <v>98</v>
      </c>
      <c r="C724" s="12" t="s">
        <v>71</v>
      </c>
      <c r="D724" s="12" t="s">
        <v>58</v>
      </c>
      <c r="E724" s="12">
        <v>51</v>
      </c>
      <c r="F724" s="13">
        <v>42777</v>
      </c>
      <c r="G724" s="14">
        <v>87036</v>
      </c>
      <c r="H724" s="15">
        <v>0</v>
      </c>
      <c r="I724" s="12" t="s">
        <v>66</v>
      </c>
      <c r="J724" s="12" t="s">
        <v>67</v>
      </c>
      <c r="K724" s="17" t="s">
        <v>1121</v>
      </c>
    </row>
    <row r="725" spans="1:11">
      <c r="A725" s="11" t="s">
        <v>69</v>
      </c>
      <c r="B725" s="12" t="s">
        <v>105</v>
      </c>
      <c r="C725" s="12" t="s">
        <v>71</v>
      </c>
      <c r="D725" s="12" t="s">
        <v>65</v>
      </c>
      <c r="E725" s="12">
        <v>32</v>
      </c>
      <c r="F725" s="13">
        <v>42702</v>
      </c>
      <c r="G725" s="14">
        <v>177443</v>
      </c>
      <c r="H725" s="15">
        <v>0.16</v>
      </c>
      <c r="I725" s="12" t="s">
        <v>60</v>
      </c>
      <c r="J725" s="12" t="s">
        <v>61</v>
      </c>
      <c r="K725" s="17" t="s">
        <v>1121</v>
      </c>
    </row>
    <row r="726" spans="1:11">
      <c r="A726" s="11" t="s">
        <v>136</v>
      </c>
      <c r="B726" s="12" t="s">
        <v>56</v>
      </c>
      <c r="C726" s="12" t="s">
        <v>57</v>
      </c>
      <c r="D726" s="12" t="s">
        <v>58</v>
      </c>
      <c r="E726" s="12">
        <v>36</v>
      </c>
      <c r="F726" s="13">
        <v>42489</v>
      </c>
      <c r="G726" s="14">
        <v>75862</v>
      </c>
      <c r="H726" s="15">
        <v>0</v>
      </c>
      <c r="I726" s="12" t="s">
        <v>60</v>
      </c>
      <c r="J726" s="12" t="s">
        <v>91</v>
      </c>
      <c r="K726" s="17" t="s">
        <v>1121</v>
      </c>
    </row>
    <row r="727" spans="1:11">
      <c r="A727" s="11" t="s">
        <v>143</v>
      </c>
      <c r="B727" s="12" t="s">
        <v>94</v>
      </c>
      <c r="C727" s="12" t="s">
        <v>57</v>
      </c>
      <c r="D727" s="12" t="s">
        <v>58</v>
      </c>
      <c r="E727" s="12">
        <v>45</v>
      </c>
      <c r="F727" s="13">
        <v>43581</v>
      </c>
      <c r="G727" s="14">
        <v>90870</v>
      </c>
      <c r="H727" s="15">
        <v>0</v>
      </c>
      <c r="I727" s="12" t="s">
        <v>60</v>
      </c>
      <c r="J727" s="12" t="s">
        <v>73</v>
      </c>
      <c r="K727" s="17" t="s">
        <v>1121</v>
      </c>
    </row>
    <row r="728" spans="1:11">
      <c r="A728" s="11" t="s">
        <v>125</v>
      </c>
      <c r="B728" s="12" t="s">
        <v>98</v>
      </c>
      <c r="C728" s="12" t="s">
        <v>83</v>
      </c>
      <c r="D728" s="12" t="s">
        <v>58</v>
      </c>
      <c r="E728" s="12">
        <v>32</v>
      </c>
      <c r="F728" s="13">
        <v>41977</v>
      </c>
      <c r="G728" s="14">
        <v>99202</v>
      </c>
      <c r="H728" s="15">
        <v>0.11</v>
      </c>
      <c r="I728" s="12" t="s">
        <v>60</v>
      </c>
      <c r="J728" s="12" t="s">
        <v>79</v>
      </c>
      <c r="K728" s="17" t="s">
        <v>1121</v>
      </c>
    </row>
    <row r="729" spans="1:11">
      <c r="A729" s="11" t="s">
        <v>78</v>
      </c>
      <c r="B729" s="12" t="s">
        <v>105</v>
      </c>
      <c r="C729" s="12" t="s">
        <v>83</v>
      </c>
      <c r="D729" s="12" t="s">
        <v>65</v>
      </c>
      <c r="E729" s="12">
        <v>45</v>
      </c>
      <c r="F729" s="13">
        <v>39347</v>
      </c>
      <c r="G729" s="14">
        <v>92293</v>
      </c>
      <c r="H729" s="15">
        <v>0</v>
      </c>
      <c r="I729" s="12" t="s">
        <v>66</v>
      </c>
      <c r="J729" s="12" t="s">
        <v>138</v>
      </c>
      <c r="K729" s="17" t="s">
        <v>1121</v>
      </c>
    </row>
    <row r="730" spans="1:11">
      <c r="A730" s="11" t="s">
        <v>266</v>
      </c>
      <c r="B730" s="12" t="s">
        <v>56</v>
      </c>
      <c r="C730" s="12" t="s">
        <v>83</v>
      </c>
      <c r="D730" s="12" t="s">
        <v>65</v>
      </c>
      <c r="E730" s="12">
        <v>54</v>
      </c>
      <c r="F730" s="13">
        <v>33785</v>
      </c>
      <c r="G730" s="14">
        <v>63196</v>
      </c>
      <c r="H730" s="15">
        <v>0</v>
      </c>
      <c r="I730" s="12" t="s">
        <v>60</v>
      </c>
      <c r="J730" s="12" t="s">
        <v>73</v>
      </c>
      <c r="K730" s="17">
        <v>41938</v>
      </c>
    </row>
    <row r="731" spans="1:11">
      <c r="A731" s="11" t="s">
        <v>216</v>
      </c>
      <c r="B731" s="12" t="s">
        <v>98</v>
      </c>
      <c r="C731" s="12" t="s">
        <v>71</v>
      </c>
      <c r="D731" s="12" t="s">
        <v>58</v>
      </c>
      <c r="E731" s="12">
        <v>48</v>
      </c>
      <c r="F731" s="13">
        <v>41032</v>
      </c>
      <c r="G731" s="14">
        <v>65340</v>
      </c>
      <c r="H731" s="15">
        <v>0</v>
      </c>
      <c r="I731" s="12" t="s">
        <v>66</v>
      </c>
      <c r="J731" s="12" t="s">
        <v>101</v>
      </c>
      <c r="K731" s="17">
        <v>43229</v>
      </c>
    </row>
    <row r="732" spans="1:11">
      <c r="A732" s="11" t="s">
        <v>104</v>
      </c>
      <c r="B732" s="12" t="s">
        <v>105</v>
      </c>
      <c r="C732" s="12" t="s">
        <v>83</v>
      </c>
      <c r="D732" s="12" t="s">
        <v>65</v>
      </c>
      <c r="E732" s="12">
        <v>45</v>
      </c>
      <c r="F732" s="13">
        <v>42271</v>
      </c>
      <c r="G732" s="14">
        <v>202680</v>
      </c>
      <c r="H732" s="15">
        <v>0.32</v>
      </c>
      <c r="I732" s="12" t="s">
        <v>60</v>
      </c>
      <c r="J732" s="12" t="s">
        <v>79</v>
      </c>
      <c r="K732" s="17">
        <v>44790</v>
      </c>
    </row>
    <row r="733" spans="1:11">
      <c r="A733" s="11" t="s">
        <v>75</v>
      </c>
      <c r="B733" s="12" t="s">
        <v>56</v>
      </c>
      <c r="C733" s="12" t="s">
        <v>64</v>
      </c>
      <c r="D733" s="12" t="s">
        <v>58</v>
      </c>
      <c r="E733" s="12">
        <v>46</v>
      </c>
      <c r="F733" s="13">
        <v>42849</v>
      </c>
      <c r="G733" s="14">
        <v>77461</v>
      </c>
      <c r="H733" s="15">
        <v>0.09</v>
      </c>
      <c r="I733" s="12" t="s">
        <v>113</v>
      </c>
      <c r="J733" s="12" t="s">
        <v>184</v>
      </c>
      <c r="K733" s="17" t="s">
        <v>1121</v>
      </c>
    </row>
    <row r="734" spans="1:11">
      <c r="A734" s="11" t="s">
        <v>164</v>
      </c>
      <c r="B734" s="12" t="s">
        <v>98</v>
      </c>
      <c r="C734" s="12" t="s">
        <v>57</v>
      </c>
      <c r="D734" s="12" t="s">
        <v>58</v>
      </c>
      <c r="E734" s="12">
        <v>40</v>
      </c>
      <c r="F734" s="13">
        <v>42622</v>
      </c>
      <c r="G734" s="14">
        <v>109680</v>
      </c>
      <c r="H734" s="15">
        <v>0</v>
      </c>
      <c r="I734" s="12" t="s">
        <v>66</v>
      </c>
      <c r="J734" s="12" t="s">
        <v>138</v>
      </c>
      <c r="K734" s="17" t="s">
        <v>1121</v>
      </c>
    </row>
    <row r="735" spans="1:11">
      <c r="A735" s="11" t="s">
        <v>69</v>
      </c>
      <c r="B735" s="12" t="s">
        <v>82</v>
      </c>
      <c r="C735" s="12" t="s">
        <v>64</v>
      </c>
      <c r="D735" s="12" t="s">
        <v>58</v>
      </c>
      <c r="E735" s="12">
        <v>61</v>
      </c>
      <c r="F735" s="13">
        <v>35661</v>
      </c>
      <c r="G735" s="14">
        <v>159567</v>
      </c>
      <c r="H735" s="15">
        <v>0.28</v>
      </c>
      <c r="I735" s="12" t="s">
        <v>60</v>
      </c>
      <c r="J735" s="12" t="s">
        <v>79</v>
      </c>
      <c r="K735" s="17" t="s">
        <v>1121</v>
      </c>
    </row>
    <row r="736" spans="1:11">
      <c r="A736" s="11" t="s">
        <v>216</v>
      </c>
      <c r="B736" s="12" t="s">
        <v>98</v>
      </c>
      <c r="C736" s="12" t="s">
        <v>71</v>
      </c>
      <c r="D736" s="12" t="s">
        <v>65</v>
      </c>
      <c r="E736" s="12">
        <v>54</v>
      </c>
      <c r="F736" s="13">
        <v>41237</v>
      </c>
      <c r="G736" s="14">
        <v>94407</v>
      </c>
      <c r="H736" s="15">
        <v>0</v>
      </c>
      <c r="I736" s="12" t="s">
        <v>113</v>
      </c>
      <c r="J736" s="12" t="s">
        <v>184</v>
      </c>
      <c r="K736" s="17" t="s">
        <v>1121</v>
      </c>
    </row>
    <row r="737" spans="1:11">
      <c r="A737" s="11" t="s">
        <v>104</v>
      </c>
      <c r="B737" s="12" t="s">
        <v>94</v>
      </c>
      <c r="C737" s="12" t="s">
        <v>83</v>
      </c>
      <c r="D737" s="12" t="s">
        <v>65</v>
      </c>
      <c r="E737" s="12">
        <v>62</v>
      </c>
      <c r="F737" s="13">
        <v>37484</v>
      </c>
      <c r="G737" s="14">
        <v>234594</v>
      </c>
      <c r="H737" s="15">
        <v>0.33</v>
      </c>
      <c r="I737" s="12" t="s">
        <v>60</v>
      </c>
      <c r="J737" s="12" t="s">
        <v>61</v>
      </c>
      <c r="K737" s="17" t="s">
        <v>1121</v>
      </c>
    </row>
    <row r="738" spans="1:11">
      <c r="A738" s="11" t="s">
        <v>244</v>
      </c>
      <c r="B738" s="12" t="s">
        <v>56</v>
      </c>
      <c r="C738" s="12" t="s">
        <v>71</v>
      </c>
      <c r="D738" s="12" t="s">
        <v>65</v>
      </c>
      <c r="E738" s="12">
        <v>48</v>
      </c>
      <c r="F738" s="13">
        <v>37298</v>
      </c>
      <c r="G738" s="14">
        <v>43080</v>
      </c>
      <c r="H738" s="15">
        <v>0</v>
      </c>
      <c r="I738" s="12" t="s">
        <v>60</v>
      </c>
      <c r="J738" s="12" t="s">
        <v>91</v>
      </c>
      <c r="K738" s="17" t="s">
        <v>1121</v>
      </c>
    </row>
    <row r="739" spans="1:11">
      <c r="A739" s="11" t="s">
        <v>85</v>
      </c>
      <c r="B739" s="12" t="s">
        <v>105</v>
      </c>
      <c r="C739" s="12" t="s">
        <v>64</v>
      </c>
      <c r="D739" s="12" t="s">
        <v>58</v>
      </c>
      <c r="E739" s="12">
        <v>29</v>
      </c>
      <c r="F739" s="13">
        <v>44325</v>
      </c>
      <c r="G739" s="14">
        <v>129541</v>
      </c>
      <c r="H739" s="15">
        <v>0.08</v>
      </c>
      <c r="I739" s="12" t="s">
        <v>60</v>
      </c>
      <c r="J739" s="12" t="s">
        <v>79</v>
      </c>
      <c r="K739" s="17">
        <v>44340</v>
      </c>
    </row>
    <row r="740" spans="1:11">
      <c r="A740" s="11" t="s">
        <v>69</v>
      </c>
      <c r="B740" s="12" t="s">
        <v>82</v>
      </c>
      <c r="C740" s="12" t="s">
        <v>57</v>
      </c>
      <c r="D740" s="12" t="s">
        <v>65</v>
      </c>
      <c r="E740" s="12">
        <v>39</v>
      </c>
      <c r="F740" s="13">
        <v>41635</v>
      </c>
      <c r="G740" s="14">
        <v>165756</v>
      </c>
      <c r="H740" s="15">
        <v>0.28</v>
      </c>
      <c r="I740" s="12" t="s">
        <v>60</v>
      </c>
      <c r="J740" s="12" t="s">
        <v>110</v>
      </c>
      <c r="K740" s="17">
        <v>43991</v>
      </c>
    </row>
    <row r="741" spans="1:11">
      <c r="A741" s="11" t="s">
        <v>55</v>
      </c>
      <c r="B741" s="12" t="s">
        <v>70</v>
      </c>
      <c r="C741" s="12" t="s">
        <v>71</v>
      </c>
      <c r="D741" s="12" t="s">
        <v>65</v>
      </c>
      <c r="E741" s="12">
        <v>44</v>
      </c>
      <c r="F741" s="13">
        <v>40274</v>
      </c>
      <c r="G741" s="14">
        <v>142878</v>
      </c>
      <c r="H741" s="15">
        <v>0.12</v>
      </c>
      <c r="I741" s="12" t="s">
        <v>60</v>
      </c>
      <c r="J741" s="12" t="s">
        <v>110</v>
      </c>
      <c r="K741" s="17" t="s">
        <v>1121</v>
      </c>
    </row>
    <row r="742" spans="1:11">
      <c r="A742" s="11" t="s">
        <v>69</v>
      </c>
      <c r="B742" s="12" t="s">
        <v>98</v>
      </c>
      <c r="C742" s="12" t="s">
        <v>64</v>
      </c>
      <c r="D742" s="12" t="s">
        <v>65</v>
      </c>
      <c r="E742" s="12">
        <v>52</v>
      </c>
      <c r="F742" s="13">
        <v>39018</v>
      </c>
      <c r="G742" s="14">
        <v>187992</v>
      </c>
      <c r="H742" s="15">
        <v>0.28</v>
      </c>
      <c r="I742" s="12" t="s">
        <v>60</v>
      </c>
      <c r="J742" s="12" t="s">
        <v>88</v>
      </c>
      <c r="K742" s="17" t="s">
        <v>1121</v>
      </c>
    </row>
    <row r="743" spans="1:11">
      <c r="A743" s="11" t="s">
        <v>104</v>
      </c>
      <c r="B743" s="12" t="s">
        <v>94</v>
      </c>
      <c r="C743" s="12" t="s">
        <v>71</v>
      </c>
      <c r="D743" s="12" t="s">
        <v>58</v>
      </c>
      <c r="E743" s="12">
        <v>45</v>
      </c>
      <c r="F743" s="13">
        <v>43521</v>
      </c>
      <c r="G743" s="14">
        <v>249801</v>
      </c>
      <c r="H743" s="15">
        <v>0.39</v>
      </c>
      <c r="I743" s="12" t="s">
        <v>113</v>
      </c>
      <c r="J743" s="12" t="s">
        <v>184</v>
      </c>
      <c r="K743" s="17" t="s">
        <v>1121</v>
      </c>
    </row>
    <row r="744" spans="1:11">
      <c r="A744" s="11" t="s">
        <v>326</v>
      </c>
      <c r="B744" s="12" t="s">
        <v>56</v>
      </c>
      <c r="C744" s="12" t="s">
        <v>57</v>
      </c>
      <c r="D744" s="12" t="s">
        <v>65</v>
      </c>
      <c r="E744" s="12">
        <v>48</v>
      </c>
      <c r="F744" s="13">
        <v>38987</v>
      </c>
      <c r="G744" s="14">
        <v>76505</v>
      </c>
      <c r="H744" s="15">
        <v>0</v>
      </c>
      <c r="I744" s="12" t="s">
        <v>60</v>
      </c>
      <c r="J744" s="12" t="s">
        <v>61</v>
      </c>
      <c r="K744" s="17">
        <v>39180</v>
      </c>
    </row>
    <row r="745" spans="1:11">
      <c r="A745" s="11" t="s">
        <v>314</v>
      </c>
      <c r="B745" s="12" t="s">
        <v>56</v>
      </c>
      <c r="C745" s="12" t="s">
        <v>83</v>
      </c>
      <c r="D745" s="12" t="s">
        <v>65</v>
      </c>
      <c r="E745" s="12">
        <v>39</v>
      </c>
      <c r="F745" s="13">
        <v>42664</v>
      </c>
      <c r="G745" s="14">
        <v>84297</v>
      </c>
      <c r="H745" s="15">
        <v>0</v>
      </c>
      <c r="I745" s="12" t="s">
        <v>113</v>
      </c>
      <c r="J745" s="12" t="s">
        <v>114</v>
      </c>
      <c r="K745" s="17" t="s">
        <v>1121</v>
      </c>
    </row>
    <row r="746" spans="1:11">
      <c r="A746" s="11" t="s">
        <v>78</v>
      </c>
      <c r="B746" s="12" t="s">
        <v>82</v>
      </c>
      <c r="C746" s="12" t="s">
        <v>71</v>
      </c>
      <c r="D746" s="12" t="s">
        <v>58</v>
      </c>
      <c r="E746" s="12">
        <v>53</v>
      </c>
      <c r="F746" s="13">
        <v>42744</v>
      </c>
      <c r="G746" s="14">
        <v>75769</v>
      </c>
      <c r="H746" s="15">
        <v>0</v>
      </c>
      <c r="I746" s="12" t="s">
        <v>113</v>
      </c>
      <c r="J746" s="12" t="s">
        <v>114</v>
      </c>
      <c r="K746" s="17">
        <v>44029</v>
      </c>
    </row>
    <row r="747" spans="1:11">
      <c r="A747" s="11" t="s">
        <v>104</v>
      </c>
      <c r="B747" s="12" t="s">
        <v>90</v>
      </c>
      <c r="C747" s="12" t="s">
        <v>71</v>
      </c>
      <c r="D747" s="12" t="s">
        <v>65</v>
      </c>
      <c r="E747" s="12">
        <v>41</v>
      </c>
      <c r="F747" s="13">
        <v>41503</v>
      </c>
      <c r="G747" s="14">
        <v>235619</v>
      </c>
      <c r="H747" s="15">
        <v>0.3</v>
      </c>
      <c r="I747" s="12" t="s">
        <v>60</v>
      </c>
      <c r="J747" s="12" t="s">
        <v>61</v>
      </c>
      <c r="K747" s="17" t="s">
        <v>1121</v>
      </c>
    </row>
    <row r="748" spans="1:11">
      <c r="A748" s="11" t="s">
        <v>69</v>
      </c>
      <c r="B748" s="12" t="s">
        <v>98</v>
      </c>
      <c r="C748" s="12" t="s">
        <v>71</v>
      </c>
      <c r="D748" s="12" t="s">
        <v>65</v>
      </c>
      <c r="E748" s="12">
        <v>40</v>
      </c>
      <c r="F748" s="13">
        <v>43868</v>
      </c>
      <c r="G748" s="14">
        <v>187187</v>
      </c>
      <c r="H748" s="15">
        <v>0.18</v>
      </c>
      <c r="I748" s="12" t="s">
        <v>113</v>
      </c>
      <c r="J748" s="12" t="s">
        <v>114</v>
      </c>
      <c r="K748" s="17" t="s">
        <v>1121</v>
      </c>
    </row>
    <row r="749" spans="1:11">
      <c r="A749" s="11" t="s">
        <v>202</v>
      </c>
      <c r="B749" s="12" t="s">
        <v>56</v>
      </c>
      <c r="C749" s="12" t="s">
        <v>57</v>
      </c>
      <c r="D749" s="12" t="s">
        <v>65</v>
      </c>
      <c r="E749" s="12">
        <v>48</v>
      </c>
      <c r="F749" s="13">
        <v>38560</v>
      </c>
      <c r="G749" s="14">
        <v>68987</v>
      </c>
      <c r="H749" s="15">
        <v>0</v>
      </c>
      <c r="I749" s="12" t="s">
        <v>60</v>
      </c>
      <c r="J749" s="12" t="s">
        <v>73</v>
      </c>
      <c r="K749" s="17">
        <v>38829</v>
      </c>
    </row>
    <row r="750" spans="1:11">
      <c r="A750" s="11" t="s">
        <v>69</v>
      </c>
      <c r="B750" s="12" t="s">
        <v>98</v>
      </c>
      <c r="C750" s="12" t="s">
        <v>71</v>
      </c>
      <c r="D750" s="12" t="s">
        <v>65</v>
      </c>
      <c r="E750" s="12">
        <v>41</v>
      </c>
      <c r="F750" s="13">
        <v>39156</v>
      </c>
      <c r="G750" s="14">
        <v>155926</v>
      </c>
      <c r="H750" s="15">
        <v>0.24</v>
      </c>
      <c r="I750" s="12" t="s">
        <v>60</v>
      </c>
      <c r="J750" s="12" t="s">
        <v>110</v>
      </c>
      <c r="K750" s="17">
        <v>39598</v>
      </c>
    </row>
    <row r="751" spans="1:11">
      <c r="A751" s="11" t="s">
        <v>78</v>
      </c>
      <c r="B751" s="12" t="s">
        <v>90</v>
      </c>
      <c r="C751" s="12" t="s">
        <v>71</v>
      </c>
      <c r="D751" s="12" t="s">
        <v>65</v>
      </c>
      <c r="E751" s="12">
        <v>54</v>
      </c>
      <c r="F751" s="13">
        <v>42494</v>
      </c>
      <c r="G751" s="14">
        <v>93668</v>
      </c>
      <c r="H751" s="15">
        <v>0</v>
      </c>
      <c r="I751" s="12" t="s">
        <v>60</v>
      </c>
      <c r="J751" s="12" t="s">
        <v>73</v>
      </c>
      <c r="K751" s="17" t="s">
        <v>1121</v>
      </c>
    </row>
    <row r="752" spans="1:11">
      <c r="A752" s="11" t="s">
        <v>154</v>
      </c>
      <c r="B752" s="12" t="s">
        <v>94</v>
      </c>
      <c r="C752" s="12" t="s">
        <v>57</v>
      </c>
      <c r="D752" s="12" t="s">
        <v>65</v>
      </c>
      <c r="E752" s="12">
        <v>38</v>
      </c>
      <c r="F752" s="13">
        <v>43798</v>
      </c>
      <c r="G752" s="14">
        <v>69647</v>
      </c>
      <c r="H752" s="15">
        <v>0</v>
      </c>
      <c r="I752" s="12" t="s">
        <v>60</v>
      </c>
      <c r="J752" s="12" t="s">
        <v>88</v>
      </c>
      <c r="K752" s="17">
        <v>44671</v>
      </c>
    </row>
    <row r="753" spans="1:11">
      <c r="A753" s="11" t="s">
        <v>228</v>
      </c>
      <c r="B753" s="12" t="s">
        <v>56</v>
      </c>
      <c r="C753" s="12" t="s">
        <v>83</v>
      </c>
      <c r="D753" s="12" t="s">
        <v>65</v>
      </c>
      <c r="E753" s="12">
        <v>57</v>
      </c>
      <c r="F753" s="13">
        <v>37798</v>
      </c>
      <c r="G753" s="14">
        <v>63318</v>
      </c>
      <c r="H753" s="15">
        <v>0</v>
      </c>
      <c r="I753" s="12" t="s">
        <v>60</v>
      </c>
      <c r="J753" s="12" t="s">
        <v>110</v>
      </c>
      <c r="K753" s="17" t="s">
        <v>1121</v>
      </c>
    </row>
    <row r="754" spans="1:11">
      <c r="A754" s="11" t="s">
        <v>78</v>
      </c>
      <c r="B754" s="12" t="s">
        <v>105</v>
      </c>
      <c r="C754" s="12" t="s">
        <v>64</v>
      </c>
      <c r="D754" s="12" t="s">
        <v>65</v>
      </c>
      <c r="E754" s="12">
        <v>63</v>
      </c>
      <c r="F754" s="13">
        <v>42778</v>
      </c>
      <c r="G754" s="14">
        <v>77629</v>
      </c>
      <c r="H754" s="15">
        <v>0</v>
      </c>
      <c r="I754" s="12" t="s">
        <v>66</v>
      </c>
      <c r="J754" s="12" t="s">
        <v>126</v>
      </c>
      <c r="K754" s="17" t="s">
        <v>1121</v>
      </c>
    </row>
    <row r="755" spans="1:11">
      <c r="A755" s="11" t="s">
        <v>55</v>
      </c>
      <c r="B755" s="12" t="s">
        <v>94</v>
      </c>
      <c r="C755" s="12" t="s">
        <v>64</v>
      </c>
      <c r="D755" s="12" t="s">
        <v>65</v>
      </c>
      <c r="E755" s="12">
        <v>62</v>
      </c>
      <c r="F755" s="13">
        <v>43061</v>
      </c>
      <c r="G755" s="14">
        <v>138808</v>
      </c>
      <c r="H755" s="15">
        <v>0.15</v>
      </c>
      <c r="I755" s="12" t="s">
        <v>66</v>
      </c>
      <c r="J755" s="12" t="s">
        <v>67</v>
      </c>
      <c r="K755" s="17" t="s">
        <v>1121</v>
      </c>
    </row>
    <row r="756" spans="1:11">
      <c r="A756" s="11" t="s">
        <v>136</v>
      </c>
      <c r="B756" s="12" t="s">
        <v>56</v>
      </c>
      <c r="C756" s="12" t="s">
        <v>57</v>
      </c>
      <c r="D756" s="12" t="s">
        <v>58</v>
      </c>
      <c r="E756" s="12">
        <v>49</v>
      </c>
      <c r="F756" s="13">
        <v>41703</v>
      </c>
      <c r="G756" s="14">
        <v>88777</v>
      </c>
      <c r="H756" s="15">
        <v>0</v>
      </c>
      <c r="I756" s="12" t="s">
        <v>60</v>
      </c>
      <c r="J756" s="12" t="s">
        <v>73</v>
      </c>
      <c r="K756" s="17" t="s">
        <v>1121</v>
      </c>
    </row>
    <row r="757" spans="1:11">
      <c r="A757" s="11" t="s">
        <v>69</v>
      </c>
      <c r="B757" s="12" t="s">
        <v>90</v>
      </c>
      <c r="C757" s="12" t="s">
        <v>83</v>
      </c>
      <c r="D757" s="12" t="s">
        <v>58</v>
      </c>
      <c r="E757" s="12">
        <v>60</v>
      </c>
      <c r="F757" s="13">
        <v>38121</v>
      </c>
      <c r="G757" s="14">
        <v>186378</v>
      </c>
      <c r="H757" s="15">
        <v>0.26</v>
      </c>
      <c r="I757" s="12" t="s">
        <v>66</v>
      </c>
      <c r="J757" s="12" t="s">
        <v>67</v>
      </c>
      <c r="K757" s="17" t="s">
        <v>1121</v>
      </c>
    </row>
    <row r="758" spans="1:11">
      <c r="A758" s="11" t="s">
        <v>122</v>
      </c>
      <c r="B758" s="12" t="s">
        <v>98</v>
      </c>
      <c r="C758" s="12" t="s">
        <v>57</v>
      </c>
      <c r="D758" s="12" t="s">
        <v>58</v>
      </c>
      <c r="E758" s="12">
        <v>45</v>
      </c>
      <c r="F758" s="13">
        <v>42117</v>
      </c>
      <c r="G758" s="14">
        <v>60017</v>
      </c>
      <c r="H758" s="15">
        <v>0</v>
      </c>
      <c r="I758" s="12" t="s">
        <v>60</v>
      </c>
      <c r="J758" s="12" t="s">
        <v>73</v>
      </c>
      <c r="K758" s="17" t="s">
        <v>1121</v>
      </c>
    </row>
    <row r="759" spans="1:11">
      <c r="A759" s="11" t="s">
        <v>55</v>
      </c>
      <c r="B759" s="12" t="s">
        <v>82</v>
      </c>
      <c r="C759" s="12" t="s">
        <v>71</v>
      </c>
      <c r="D759" s="12" t="s">
        <v>58</v>
      </c>
      <c r="E759" s="12">
        <v>45</v>
      </c>
      <c r="F759" s="13">
        <v>43305</v>
      </c>
      <c r="G759" s="14">
        <v>148991</v>
      </c>
      <c r="H759" s="15">
        <v>0.12</v>
      </c>
      <c r="I759" s="12" t="s">
        <v>113</v>
      </c>
      <c r="J759" s="12" t="s">
        <v>184</v>
      </c>
      <c r="K759" s="17" t="s">
        <v>1121</v>
      </c>
    </row>
    <row r="760" spans="1:11">
      <c r="A760" s="11" t="s">
        <v>160</v>
      </c>
      <c r="B760" s="12" t="s">
        <v>98</v>
      </c>
      <c r="C760" s="12" t="s">
        <v>71</v>
      </c>
      <c r="D760" s="12" t="s">
        <v>58</v>
      </c>
      <c r="E760" s="12">
        <v>52</v>
      </c>
      <c r="F760" s="13">
        <v>39532</v>
      </c>
      <c r="G760" s="14">
        <v>97398</v>
      </c>
      <c r="H760" s="15">
        <v>0</v>
      </c>
      <c r="I760" s="12" t="s">
        <v>113</v>
      </c>
      <c r="J760" s="12" t="s">
        <v>114</v>
      </c>
      <c r="K760" s="17" t="s">
        <v>1121</v>
      </c>
    </row>
    <row r="761" spans="1:11">
      <c r="A761" s="11" t="s">
        <v>143</v>
      </c>
      <c r="B761" s="12" t="s">
        <v>94</v>
      </c>
      <c r="C761" s="12" t="s">
        <v>64</v>
      </c>
      <c r="D761" s="12" t="s">
        <v>58</v>
      </c>
      <c r="E761" s="12">
        <v>63</v>
      </c>
      <c r="F761" s="13">
        <v>39204</v>
      </c>
      <c r="G761" s="14">
        <v>72805</v>
      </c>
      <c r="H761" s="15">
        <v>0</v>
      </c>
      <c r="I761" s="12" t="s">
        <v>66</v>
      </c>
      <c r="J761" s="12" t="s">
        <v>101</v>
      </c>
      <c r="K761" s="17" t="s">
        <v>1121</v>
      </c>
    </row>
    <row r="762" spans="1:11">
      <c r="A762" s="11" t="s">
        <v>225</v>
      </c>
      <c r="B762" s="12" t="s">
        <v>82</v>
      </c>
      <c r="C762" s="12" t="s">
        <v>57</v>
      </c>
      <c r="D762" s="12" t="s">
        <v>58</v>
      </c>
      <c r="E762" s="12">
        <v>46</v>
      </c>
      <c r="F762" s="13">
        <v>44213</v>
      </c>
      <c r="G762" s="14">
        <v>72131</v>
      </c>
      <c r="H762" s="15">
        <v>0</v>
      </c>
      <c r="I762" s="12" t="s">
        <v>66</v>
      </c>
      <c r="J762" s="12" t="s">
        <v>101</v>
      </c>
      <c r="K762" s="17" t="s">
        <v>1121</v>
      </c>
    </row>
    <row r="763" spans="1:11">
      <c r="A763" s="11" t="s">
        <v>85</v>
      </c>
      <c r="B763" s="12" t="s">
        <v>94</v>
      </c>
      <c r="C763" s="12" t="s">
        <v>64</v>
      </c>
      <c r="D763" s="12" t="s">
        <v>65</v>
      </c>
      <c r="E763" s="12">
        <v>64</v>
      </c>
      <c r="F763" s="13">
        <v>33964</v>
      </c>
      <c r="G763" s="14">
        <v>104668</v>
      </c>
      <c r="H763" s="15">
        <v>0.08</v>
      </c>
      <c r="I763" s="12" t="s">
        <v>60</v>
      </c>
      <c r="J763" s="12" t="s">
        <v>110</v>
      </c>
      <c r="K763" s="17" t="s">
        <v>1121</v>
      </c>
    </row>
    <row r="764" spans="1:11">
      <c r="A764" s="11" t="s">
        <v>78</v>
      </c>
      <c r="B764" s="12" t="s">
        <v>82</v>
      </c>
      <c r="C764" s="12" t="s">
        <v>64</v>
      </c>
      <c r="D764" s="12" t="s">
        <v>58</v>
      </c>
      <c r="E764" s="12">
        <v>53</v>
      </c>
      <c r="F764" s="13">
        <v>42952</v>
      </c>
      <c r="G764" s="14">
        <v>89769</v>
      </c>
      <c r="H764" s="15">
        <v>0</v>
      </c>
      <c r="I764" s="12" t="s">
        <v>60</v>
      </c>
      <c r="J764" s="12" t="s">
        <v>61</v>
      </c>
      <c r="K764" s="17" t="s">
        <v>1121</v>
      </c>
    </row>
    <row r="765" spans="1:11">
      <c r="A765" s="11" t="s">
        <v>85</v>
      </c>
      <c r="B765" s="12" t="s">
        <v>82</v>
      </c>
      <c r="C765" s="12" t="s">
        <v>83</v>
      </c>
      <c r="D765" s="12" t="s">
        <v>58</v>
      </c>
      <c r="E765" s="12">
        <v>27</v>
      </c>
      <c r="F765" s="13">
        <v>43358</v>
      </c>
      <c r="G765" s="14">
        <v>127616</v>
      </c>
      <c r="H765" s="15">
        <v>0.07</v>
      </c>
      <c r="I765" s="12" t="s">
        <v>60</v>
      </c>
      <c r="J765" s="12" t="s">
        <v>110</v>
      </c>
      <c r="K765" s="17" t="s">
        <v>1121</v>
      </c>
    </row>
    <row r="766" spans="1:11">
      <c r="A766" s="11" t="s">
        <v>85</v>
      </c>
      <c r="B766" s="12" t="s">
        <v>94</v>
      </c>
      <c r="C766" s="12" t="s">
        <v>83</v>
      </c>
      <c r="D766" s="12" t="s">
        <v>65</v>
      </c>
      <c r="E766" s="12">
        <v>45</v>
      </c>
      <c r="F766" s="13">
        <v>41099</v>
      </c>
      <c r="G766" s="14">
        <v>109883</v>
      </c>
      <c r="H766" s="15">
        <v>0.07</v>
      </c>
      <c r="I766" s="12" t="s">
        <v>60</v>
      </c>
      <c r="J766" s="12" t="s">
        <v>110</v>
      </c>
      <c r="K766" s="17" t="s">
        <v>1121</v>
      </c>
    </row>
    <row r="767" spans="1:11">
      <c r="A767" s="11" t="s">
        <v>166</v>
      </c>
      <c r="B767" s="12" t="s">
        <v>94</v>
      </c>
      <c r="C767" s="12" t="s">
        <v>64</v>
      </c>
      <c r="D767" s="12" t="s">
        <v>58</v>
      </c>
      <c r="E767" s="12">
        <v>25</v>
      </c>
      <c r="F767" s="13">
        <v>44270</v>
      </c>
      <c r="G767" s="14">
        <v>47974</v>
      </c>
      <c r="H767" s="15">
        <v>0</v>
      </c>
      <c r="I767" s="12" t="s">
        <v>66</v>
      </c>
      <c r="J767" s="12" t="s">
        <v>67</v>
      </c>
      <c r="K767" s="17" t="s">
        <v>1121</v>
      </c>
    </row>
    <row r="768" spans="1:11">
      <c r="A768" s="11" t="s">
        <v>55</v>
      </c>
      <c r="B768" s="12" t="s">
        <v>56</v>
      </c>
      <c r="C768" s="12" t="s">
        <v>71</v>
      </c>
      <c r="D768" s="12" t="s">
        <v>58</v>
      </c>
      <c r="E768" s="12">
        <v>43</v>
      </c>
      <c r="F768" s="13">
        <v>42090</v>
      </c>
      <c r="G768" s="14">
        <v>120321</v>
      </c>
      <c r="H768" s="15">
        <v>0.12</v>
      </c>
      <c r="I768" s="12" t="s">
        <v>60</v>
      </c>
      <c r="J768" s="12" t="s">
        <v>91</v>
      </c>
      <c r="K768" s="17" t="s">
        <v>1121</v>
      </c>
    </row>
    <row r="769" spans="1:11">
      <c r="A769" s="11" t="s">
        <v>129</v>
      </c>
      <c r="B769" s="12" t="s">
        <v>56</v>
      </c>
      <c r="C769" s="12" t="s">
        <v>64</v>
      </c>
      <c r="D769" s="12" t="s">
        <v>58</v>
      </c>
      <c r="E769" s="12">
        <v>61</v>
      </c>
      <c r="F769" s="13">
        <v>41861</v>
      </c>
      <c r="G769" s="14">
        <v>57446</v>
      </c>
      <c r="H769" s="15">
        <v>0</v>
      </c>
      <c r="I769" s="12" t="s">
        <v>60</v>
      </c>
      <c r="J769" s="12" t="s">
        <v>79</v>
      </c>
      <c r="K769" s="17" t="s">
        <v>1121</v>
      </c>
    </row>
    <row r="770" spans="1:11">
      <c r="A770" s="11" t="s">
        <v>69</v>
      </c>
      <c r="B770" s="12" t="s">
        <v>90</v>
      </c>
      <c r="C770" s="12" t="s">
        <v>57</v>
      </c>
      <c r="D770" s="12" t="s">
        <v>58</v>
      </c>
      <c r="E770" s="12">
        <v>42</v>
      </c>
      <c r="F770" s="13">
        <v>39968</v>
      </c>
      <c r="G770" s="14">
        <v>174099</v>
      </c>
      <c r="H770" s="15">
        <v>0.26</v>
      </c>
      <c r="I770" s="12" t="s">
        <v>60</v>
      </c>
      <c r="J770" s="12" t="s">
        <v>91</v>
      </c>
      <c r="K770" s="17" t="s">
        <v>1121</v>
      </c>
    </row>
    <row r="771" spans="1:11">
      <c r="A771" s="11" t="s">
        <v>55</v>
      </c>
      <c r="B771" s="12" t="s">
        <v>70</v>
      </c>
      <c r="C771" s="12" t="s">
        <v>64</v>
      </c>
      <c r="D771" s="12" t="s">
        <v>65</v>
      </c>
      <c r="E771" s="12">
        <v>63</v>
      </c>
      <c r="F771" s="13">
        <v>37295</v>
      </c>
      <c r="G771" s="14">
        <v>128703</v>
      </c>
      <c r="H771" s="15">
        <v>0.13</v>
      </c>
      <c r="I771" s="12" t="s">
        <v>60</v>
      </c>
      <c r="J771" s="12" t="s">
        <v>91</v>
      </c>
      <c r="K771" s="17" t="s">
        <v>1121</v>
      </c>
    </row>
    <row r="772" spans="1:11">
      <c r="A772" s="11" t="s">
        <v>160</v>
      </c>
      <c r="B772" s="12" t="s">
        <v>98</v>
      </c>
      <c r="C772" s="12" t="s">
        <v>83</v>
      </c>
      <c r="D772" s="12" t="s">
        <v>58</v>
      </c>
      <c r="E772" s="12">
        <v>32</v>
      </c>
      <c r="F772" s="13">
        <v>42317</v>
      </c>
      <c r="G772" s="14">
        <v>65247</v>
      </c>
      <c r="H772" s="15">
        <v>0</v>
      </c>
      <c r="I772" s="12" t="s">
        <v>60</v>
      </c>
      <c r="J772" s="12" t="s">
        <v>79</v>
      </c>
      <c r="K772" s="17" t="s">
        <v>1121</v>
      </c>
    </row>
    <row r="773" spans="1:11">
      <c r="A773" s="11" t="s">
        <v>122</v>
      </c>
      <c r="B773" s="12" t="s">
        <v>98</v>
      </c>
      <c r="C773" s="12" t="s">
        <v>57</v>
      </c>
      <c r="D773" s="12" t="s">
        <v>65</v>
      </c>
      <c r="E773" s="12">
        <v>27</v>
      </c>
      <c r="F773" s="13">
        <v>43371</v>
      </c>
      <c r="G773" s="14">
        <v>64247</v>
      </c>
      <c r="H773" s="15">
        <v>0</v>
      </c>
      <c r="I773" s="12" t="s">
        <v>113</v>
      </c>
      <c r="J773" s="12" t="s">
        <v>117</v>
      </c>
      <c r="K773" s="17" t="s">
        <v>1121</v>
      </c>
    </row>
    <row r="774" spans="1:11">
      <c r="A774" s="11" t="s">
        <v>85</v>
      </c>
      <c r="B774" s="12" t="s">
        <v>94</v>
      </c>
      <c r="C774" s="12" t="s">
        <v>57</v>
      </c>
      <c r="D774" s="12" t="s">
        <v>58</v>
      </c>
      <c r="E774" s="12">
        <v>33</v>
      </c>
      <c r="F774" s="13">
        <v>41071</v>
      </c>
      <c r="G774" s="14">
        <v>118253</v>
      </c>
      <c r="H774" s="15">
        <v>0.08</v>
      </c>
      <c r="I774" s="12" t="s">
        <v>60</v>
      </c>
      <c r="J774" s="12" t="s">
        <v>91</v>
      </c>
      <c r="K774" s="17" t="s">
        <v>1121</v>
      </c>
    </row>
    <row r="775" spans="1:11">
      <c r="A775" s="11" t="s">
        <v>164</v>
      </c>
      <c r="B775" s="12" t="s">
        <v>98</v>
      </c>
      <c r="C775" s="12" t="s">
        <v>64</v>
      </c>
      <c r="D775" s="12" t="s">
        <v>58</v>
      </c>
      <c r="E775" s="12">
        <v>45</v>
      </c>
      <c r="F775" s="13">
        <v>38057</v>
      </c>
      <c r="G775" s="14">
        <v>109422</v>
      </c>
      <c r="H775" s="15">
        <v>0</v>
      </c>
      <c r="I775" s="12" t="s">
        <v>66</v>
      </c>
      <c r="J775" s="12" t="s">
        <v>67</v>
      </c>
      <c r="K775" s="17" t="s">
        <v>1121</v>
      </c>
    </row>
    <row r="776" spans="1:11">
      <c r="A776" s="11" t="s">
        <v>85</v>
      </c>
      <c r="B776" s="12" t="s">
        <v>94</v>
      </c>
      <c r="C776" s="12" t="s">
        <v>83</v>
      </c>
      <c r="D776" s="12" t="s">
        <v>65</v>
      </c>
      <c r="E776" s="12">
        <v>41</v>
      </c>
      <c r="F776" s="13">
        <v>43502</v>
      </c>
      <c r="G776" s="14">
        <v>126950</v>
      </c>
      <c r="H776" s="15">
        <v>0.1</v>
      </c>
      <c r="I776" s="12" t="s">
        <v>60</v>
      </c>
      <c r="J776" s="12" t="s">
        <v>73</v>
      </c>
      <c r="K776" s="17" t="s">
        <v>1121</v>
      </c>
    </row>
    <row r="777" spans="1:11">
      <c r="A777" s="11" t="s">
        <v>136</v>
      </c>
      <c r="B777" s="12" t="s">
        <v>56</v>
      </c>
      <c r="C777" s="12" t="s">
        <v>64</v>
      </c>
      <c r="D777" s="12" t="s">
        <v>58</v>
      </c>
      <c r="E777" s="12">
        <v>36</v>
      </c>
      <c r="F777" s="13">
        <v>41964</v>
      </c>
      <c r="G777" s="14">
        <v>97500</v>
      </c>
      <c r="H777" s="15">
        <v>0</v>
      </c>
      <c r="I777" s="12" t="s">
        <v>60</v>
      </c>
      <c r="J777" s="12" t="s">
        <v>88</v>
      </c>
      <c r="K777" s="17" t="s">
        <v>1121</v>
      </c>
    </row>
    <row r="778" spans="1:11">
      <c r="A778" s="11" t="s">
        <v>129</v>
      </c>
      <c r="B778" s="12" t="s">
        <v>56</v>
      </c>
      <c r="C778" s="12" t="s">
        <v>64</v>
      </c>
      <c r="D778" s="12" t="s">
        <v>65</v>
      </c>
      <c r="E778" s="12">
        <v>25</v>
      </c>
      <c r="F778" s="13">
        <v>44213</v>
      </c>
      <c r="G778" s="14">
        <v>41844</v>
      </c>
      <c r="H778" s="15">
        <v>0</v>
      </c>
      <c r="I778" s="12" t="s">
        <v>66</v>
      </c>
      <c r="J778" s="12" t="s">
        <v>67</v>
      </c>
      <c r="K778" s="17" t="s">
        <v>1121</v>
      </c>
    </row>
    <row r="779" spans="1:11">
      <c r="A779" s="11" t="s">
        <v>132</v>
      </c>
      <c r="B779" s="12" t="s">
        <v>90</v>
      </c>
      <c r="C779" s="12" t="s">
        <v>57</v>
      </c>
      <c r="D779" s="12" t="s">
        <v>65</v>
      </c>
      <c r="E779" s="12">
        <v>43</v>
      </c>
      <c r="F779" s="13">
        <v>41680</v>
      </c>
      <c r="G779" s="14">
        <v>58875</v>
      </c>
      <c r="H779" s="15">
        <v>0</v>
      </c>
      <c r="I779" s="12" t="s">
        <v>66</v>
      </c>
      <c r="J779" s="12" t="s">
        <v>138</v>
      </c>
      <c r="K779" s="17" t="s">
        <v>1121</v>
      </c>
    </row>
    <row r="780" spans="1:11">
      <c r="A780" s="11" t="s">
        <v>81</v>
      </c>
      <c r="B780" s="12" t="s">
        <v>82</v>
      </c>
      <c r="C780" s="12" t="s">
        <v>64</v>
      </c>
      <c r="D780" s="12" t="s">
        <v>58</v>
      </c>
      <c r="E780" s="12">
        <v>37</v>
      </c>
      <c r="F780" s="13">
        <v>42318</v>
      </c>
      <c r="G780" s="14">
        <v>64204</v>
      </c>
      <c r="H780" s="15">
        <v>0</v>
      </c>
      <c r="I780" s="12" t="s">
        <v>60</v>
      </c>
      <c r="J780" s="12" t="s">
        <v>110</v>
      </c>
      <c r="K780" s="17">
        <v>44306</v>
      </c>
    </row>
    <row r="781" spans="1:11">
      <c r="A781" s="11" t="s">
        <v>132</v>
      </c>
      <c r="B781" s="12" t="s">
        <v>82</v>
      </c>
      <c r="C781" s="12" t="s">
        <v>83</v>
      </c>
      <c r="D781" s="12" t="s">
        <v>58</v>
      </c>
      <c r="E781" s="12">
        <v>42</v>
      </c>
      <c r="F781" s="13">
        <v>40307</v>
      </c>
      <c r="G781" s="14">
        <v>67743</v>
      </c>
      <c r="H781" s="15">
        <v>0</v>
      </c>
      <c r="I781" s="12" t="s">
        <v>66</v>
      </c>
      <c r="J781" s="12" t="s">
        <v>126</v>
      </c>
      <c r="K781" s="17">
        <v>41998</v>
      </c>
    </row>
    <row r="782" spans="1:11">
      <c r="A782" s="11" t="s">
        <v>225</v>
      </c>
      <c r="B782" s="12" t="s">
        <v>82</v>
      </c>
      <c r="C782" s="12" t="s">
        <v>71</v>
      </c>
      <c r="D782" s="12" t="s">
        <v>58</v>
      </c>
      <c r="E782" s="12">
        <v>60</v>
      </c>
      <c r="F782" s="13">
        <v>35641</v>
      </c>
      <c r="G782" s="14">
        <v>71677</v>
      </c>
      <c r="H782" s="15">
        <v>0</v>
      </c>
      <c r="I782" s="12" t="s">
        <v>60</v>
      </c>
      <c r="J782" s="12" t="s">
        <v>110</v>
      </c>
      <c r="K782" s="17" t="s">
        <v>1121</v>
      </c>
    </row>
    <row r="783" spans="1:11">
      <c r="A783" s="11" t="s">
        <v>129</v>
      </c>
      <c r="B783" s="12" t="s">
        <v>56</v>
      </c>
      <c r="C783" s="12" t="s">
        <v>71</v>
      </c>
      <c r="D783" s="12" t="s">
        <v>65</v>
      </c>
      <c r="E783" s="12">
        <v>61</v>
      </c>
      <c r="F783" s="13">
        <v>36793</v>
      </c>
      <c r="G783" s="14">
        <v>40063</v>
      </c>
      <c r="H783" s="15">
        <v>0</v>
      </c>
      <c r="I783" s="12" t="s">
        <v>60</v>
      </c>
      <c r="J783" s="12" t="s">
        <v>88</v>
      </c>
      <c r="K783" s="17" t="s">
        <v>1121</v>
      </c>
    </row>
    <row r="784" spans="1:11">
      <c r="A784" s="11" t="s">
        <v>129</v>
      </c>
      <c r="B784" s="12" t="s">
        <v>56</v>
      </c>
      <c r="C784" s="12" t="s">
        <v>64</v>
      </c>
      <c r="D784" s="12" t="s">
        <v>58</v>
      </c>
      <c r="E784" s="12">
        <v>55</v>
      </c>
      <c r="F784" s="13">
        <v>38107</v>
      </c>
      <c r="G784" s="14">
        <v>40124</v>
      </c>
      <c r="H784" s="15">
        <v>0</v>
      </c>
      <c r="I784" s="12" t="s">
        <v>60</v>
      </c>
      <c r="J784" s="12" t="s">
        <v>91</v>
      </c>
      <c r="K784" s="17" t="s">
        <v>1121</v>
      </c>
    </row>
    <row r="785" spans="1:11">
      <c r="A785" s="11" t="s">
        <v>162</v>
      </c>
      <c r="B785" s="12" t="s">
        <v>98</v>
      </c>
      <c r="C785" s="12" t="s">
        <v>64</v>
      </c>
      <c r="D785" s="12" t="s">
        <v>65</v>
      </c>
      <c r="E785" s="12">
        <v>57</v>
      </c>
      <c r="F785" s="13">
        <v>43157</v>
      </c>
      <c r="G785" s="14">
        <v>103183</v>
      </c>
      <c r="H785" s="15">
        <v>0</v>
      </c>
      <c r="I785" s="12" t="s">
        <v>60</v>
      </c>
      <c r="J785" s="12" t="s">
        <v>91</v>
      </c>
      <c r="K785" s="17">
        <v>44386</v>
      </c>
    </row>
    <row r="786" spans="1:11">
      <c r="A786" s="11" t="s">
        <v>228</v>
      </c>
      <c r="B786" s="12" t="s">
        <v>56</v>
      </c>
      <c r="C786" s="12" t="s">
        <v>83</v>
      </c>
      <c r="D786" s="12" t="s">
        <v>65</v>
      </c>
      <c r="E786" s="12">
        <v>54</v>
      </c>
      <c r="F786" s="13">
        <v>35961</v>
      </c>
      <c r="G786" s="14">
        <v>95239</v>
      </c>
      <c r="H786" s="15">
        <v>0</v>
      </c>
      <c r="I786" s="12" t="s">
        <v>60</v>
      </c>
      <c r="J786" s="12" t="s">
        <v>79</v>
      </c>
      <c r="K786" s="17" t="s">
        <v>1121</v>
      </c>
    </row>
    <row r="787" spans="1:11">
      <c r="A787" s="11" t="s">
        <v>216</v>
      </c>
      <c r="B787" s="12" t="s">
        <v>98</v>
      </c>
      <c r="C787" s="12" t="s">
        <v>64</v>
      </c>
      <c r="D787" s="12" t="s">
        <v>58</v>
      </c>
      <c r="E787" s="12">
        <v>29</v>
      </c>
      <c r="F787" s="13">
        <v>43778</v>
      </c>
      <c r="G787" s="14">
        <v>75012</v>
      </c>
      <c r="H787" s="15">
        <v>0</v>
      </c>
      <c r="I787" s="12" t="s">
        <v>60</v>
      </c>
      <c r="J787" s="12" t="s">
        <v>73</v>
      </c>
      <c r="K787" s="17" t="s">
        <v>1121</v>
      </c>
    </row>
    <row r="788" spans="1:11">
      <c r="A788" s="11" t="s">
        <v>200</v>
      </c>
      <c r="B788" s="12" t="s">
        <v>56</v>
      </c>
      <c r="C788" s="12" t="s">
        <v>64</v>
      </c>
      <c r="D788" s="12" t="s">
        <v>58</v>
      </c>
      <c r="E788" s="12">
        <v>33</v>
      </c>
      <c r="F788" s="13">
        <v>41819</v>
      </c>
      <c r="G788" s="14">
        <v>96366</v>
      </c>
      <c r="H788" s="15">
        <v>0</v>
      </c>
      <c r="I788" s="12" t="s">
        <v>66</v>
      </c>
      <c r="J788" s="12" t="s">
        <v>138</v>
      </c>
      <c r="K788" s="17" t="s">
        <v>1121</v>
      </c>
    </row>
    <row r="789" spans="1:11">
      <c r="A789" s="11" t="s">
        <v>87</v>
      </c>
      <c r="B789" s="12" t="s">
        <v>105</v>
      </c>
      <c r="C789" s="12" t="s">
        <v>83</v>
      </c>
      <c r="D789" s="12" t="s">
        <v>58</v>
      </c>
      <c r="E789" s="12">
        <v>39</v>
      </c>
      <c r="F789" s="13">
        <v>41849</v>
      </c>
      <c r="G789" s="14">
        <v>40897</v>
      </c>
      <c r="H789" s="15">
        <v>0</v>
      </c>
      <c r="I789" s="12" t="s">
        <v>60</v>
      </c>
      <c r="J789" s="12" t="s">
        <v>61</v>
      </c>
      <c r="K789" s="17" t="s">
        <v>1121</v>
      </c>
    </row>
    <row r="790" spans="1:11">
      <c r="A790" s="11" t="s">
        <v>85</v>
      </c>
      <c r="B790" s="12" t="s">
        <v>70</v>
      </c>
      <c r="C790" s="12" t="s">
        <v>57</v>
      </c>
      <c r="D790" s="12" t="s">
        <v>58</v>
      </c>
      <c r="E790" s="12">
        <v>37</v>
      </c>
      <c r="F790" s="13">
        <v>42605</v>
      </c>
      <c r="G790" s="14">
        <v>124928</v>
      </c>
      <c r="H790" s="15">
        <v>0.06</v>
      </c>
      <c r="I790" s="12" t="s">
        <v>66</v>
      </c>
      <c r="J790" s="12" t="s">
        <v>67</v>
      </c>
      <c r="K790" s="17" t="s">
        <v>1121</v>
      </c>
    </row>
    <row r="791" spans="1:11">
      <c r="A791" s="11" t="s">
        <v>85</v>
      </c>
      <c r="B791" s="12" t="s">
        <v>70</v>
      </c>
      <c r="C791" s="12" t="s">
        <v>71</v>
      </c>
      <c r="D791" s="12" t="s">
        <v>58</v>
      </c>
      <c r="E791" s="12">
        <v>51</v>
      </c>
      <c r="F791" s="13">
        <v>41439</v>
      </c>
      <c r="G791" s="14">
        <v>108221</v>
      </c>
      <c r="H791" s="15">
        <v>0.05</v>
      </c>
      <c r="I791" s="12" t="s">
        <v>113</v>
      </c>
      <c r="J791" s="12" t="s">
        <v>114</v>
      </c>
      <c r="K791" s="17" t="s">
        <v>1121</v>
      </c>
    </row>
    <row r="792" spans="1:11">
      <c r="A792" s="11" t="s">
        <v>143</v>
      </c>
      <c r="B792" s="12" t="s">
        <v>94</v>
      </c>
      <c r="C792" s="12" t="s">
        <v>83</v>
      </c>
      <c r="D792" s="12" t="s">
        <v>65</v>
      </c>
      <c r="E792" s="12">
        <v>46</v>
      </c>
      <c r="F792" s="13">
        <v>39133</v>
      </c>
      <c r="G792" s="14">
        <v>75579</v>
      </c>
      <c r="H792" s="15">
        <v>0</v>
      </c>
      <c r="I792" s="12" t="s">
        <v>60</v>
      </c>
      <c r="J792" s="12" t="s">
        <v>61</v>
      </c>
      <c r="K792" s="17" t="s">
        <v>1121</v>
      </c>
    </row>
    <row r="793" spans="1:11">
      <c r="A793" s="11" t="s">
        <v>55</v>
      </c>
      <c r="B793" s="12" t="s">
        <v>94</v>
      </c>
      <c r="C793" s="12" t="s">
        <v>64</v>
      </c>
      <c r="D793" s="12" t="s">
        <v>65</v>
      </c>
      <c r="E793" s="12">
        <v>41</v>
      </c>
      <c r="F793" s="13">
        <v>42365</v>
      </c>
      <c r="G793" s="14">
        <v>129903</v>
      </c>
      <c r="H793" s="15">
        <v>0.13</v>
      </c>
      <c r="I793" s="12" t="s">
        <v>113</v>
      </c>
      <c r="J793" s="12" t="s">
        <v>184</v>
      </c>
      <c r="K793" s="17" t="s">
        <v>1121</v>
      </c>
    </row>
    <row r="794" spans="1:11">
      <c r="A794" s="11" t="s">
        <v>69</v>
      </c>
      <c r="B794" s="12" t="s">
        <v>70</v>
      </c>
      <c r="C794" s="12" t="s">
        <v>57</v>
      </c>
      <c r="D794" s="12" t="s">
        <v>58</v>
      </c>
      <c r="E794" s="12">
        <v>25</v>
      </c>
      <c r="F794" s="13">
        <v>44303</v>
      </c>
      <c r="G794" s="14">
        <v>186870</v>
      </c>
      <c r="H794" s="15">
        <v>0.2</v>
      </c>
      <c r="I794" s="12" t="s">
        <v>66</v>
      </c>
      <c r="J794" s="12" t="s">
        <v>101</v>
      </c>
      <c r="K794" s="17" t="s">
        <v>1121</v>
      </c>
    </row>
    <row r="795" spans="1:11">
      <c r="A795" s="11" t="s">
        <v>132</v>
      </c>
      <c r="B795" s="12" t="s">
        <v>82</v>
      </c>
      <c r="C795" s="12" t="s">
        <v>57</v>
      </c>
      <c r="D795" s="12" t="s">
        <v>65</v>
      </c>
      <c r="E795" s="12">
        <v>37</v>
      </c>
      <c r="F795" s="13">
        <v>40291</v>
      </c>
      <c r="G795" s="14">
        <v>57531</v>
      </c>
      <c r="H795" s="15">
        <v>0</v>
      </c>
      <c r="I795" s="12" t="s">
        <v>60</v>
      </c>
      <c r="J795" s="12" t="s">
        <v>73</v>
      </c>
      <c r="K795" s="17" t="s">
        <v>1121</v>
      </c>
    </row>
    <row r="796" spans="1:11">
      <c r="A796" s="11" t="s">
        <v>87</v>
      </c>
      <c r="B796" s="12" t="s">
        <v>70</v>
      </c>
      <c r="C796" s="12" t="s">
        <v>57</v>
      </c>
      <c r="D796" s="12" t="s">
        <v>65</v>
      </c>
      <c r="E796" s="12">
        <v>46</v>
      </c>
      <c r="F796" s="13">
        <v>40657</v>
      </c>
      <c r="G796" s="14">
        <v>55894</v>
      </c>
      <c r="H796" s="15">
        <v>0</v>
      </c>
      <c r="I796" s="12" t="s">
        <v>60</v>
      </c>
      <c r="J796" s="12" t="s">
        <v>61</v>
      </c>
      <c r="K796" s="17" t="s">
        <v>1121</v>
      </c>
    </row>
    <row r="797" spans="1:11">
      <c r="A797" s="11" t="s">
        <v>160</v>
      </c>
      <c r="B797" s="12" t="s">
        <v>98</v>
      </c>
      <c r="C797" s="12" t="s">
        <v>64</v>
      </c>
      <c r="D797" s="12" t="s">
        <v>58</v>
      </c>
      <c r="E797" s="12">
        <v>42</v>
      </c>
      <c r="F797" s="13">
        <v>41026</v>
      </c>
      <c r="G797" s="14">
        <v>72903</v>
      </c>
      <c r="H797" s="15">
        <v>0</v>
      </c>
      <c r="I797" s="12" t="s">
        <v>60</v>
      </c>
      <c r="J797" s="12" t="s">
        <v>79</v>
      </c>
      <c r="K797" s="17" t="s">
        <v>1121</v>
      </c>
    </row>
    <row r="798" spans="1:11">
      <c r="A798" s="11" t="s">
        <v>87</v>
      </c>
      <c r="B798" s="12" t="s">
        <v>70</v>
      </c>
      <c r="C798" s="12" t="s">
        <v>83</v>
      </c>
      <c r="D798" s="12" t="s">
        <v>65</v>
      </c>
      <c r="E798" s="12">
        <v>37</v>
      </c>
      <c r="F798" s="13">
        <v>42317</v>
      </c>
      <c r="G798" s="14">
        <v>45369</v>
      </c>
      <c r="H798" s="15">
        <v>0</v>
      </c>
      <c r="I798" s="12" t="s">
        <v>66</v>
      </c>
      <c r="J798" s="12" t="s">
        <v>126</v>
      </c>
      <c r="K798" s="17" t="s">
        <v>1121</v>
      </c>
    </row>
    <row r="799" spans="1:11">
      <c r="A799" s="11" t="s">
        <v>85</v>
      </c>
      <c r="B799" s="12" t="s">
        <v>70</v>
      </c>
      <c r="C799" s="12" t="s">
        <v>71</v>
      </c>
      <c r="D799" s="12" t="s">
        <v>65</v>
      </c>
      <c r="E799" s="12">
        <v>60</v>
      </c>
      <c r="F799" s="13">
        <v>40344</v>
      </c>
      <c r="G799" s="14">
        <v>106578</v>
      </c>
      <c r="H799" s="15">
        <v>0.09</v>
      </c>
      <c r="I799" s="12" t="s">
        <v>60</v>
      </c>
      <c r="J799" s="12" t="s">
        <v>88</v>
      </c>
      <c r="K799" s="17" t="s">
        <v>1121</v>
      </c>
    </row>
    <row r="800" spans="1:11">
      <c r="A800" s="11" t="s">
        <v>143</v>
      </c>
      <c r="B800" s="12" t="s">
        <v>94</v>
      </c>
      <c r="C800" s="12" t="s">
        <v>57</v>
      </c>
      <c r="D800" s="12" t="s">
        <v>58</v>
      </c>
      <c r="E800" s="12">
        <v>52</v>
      </c>
      <c r="F800" s="13">
        <v>36416</v>
      </c>
      <c r="G800" s="14">
        <v>92994</v>
      </c>
      <c r="H800" s="15">
        <v>0</v>
      </c>
      <c r="I800" s="12" t="s">
        <v>60</v>
      </c>
      <c r="J800" s="12" t="s">
        <v>73</v>
      </c>
      <c r="K800" s="17" t="s">
        <v>1121</v>
      </c>
    </row>
    <row r="801" spans="1:11">
      <c r="A801" s="11" t="s">
        <v>78</v>
      </c>
      <c r="B801" s="12" t="s">
        <v>82</v>
      </c>
      <c r="C801" s="12" t="s">
        <v>71</v>
      </c>
      <c r="D801" s="12" t="s">
        <v>65</v>
      </c>
      <c r="E801" s="12">
        <v>59</v>
      </c>
      <c r="F801" s="13">
        <v>35502</v>
      </c>
      <c r="G801" s="14">
        <v>83685</v>
      </c>
      <c r="H801" s="15">
        <v>0</v>
      </c>
      <c r="I801" s="12" t="s">
        <v>66</v>
      </c>
      <c r="J801" s="12" t="s">
        <v>126</v>
      </c>
      <c r="K801" s="17" t="s">
        <v>1121</v>
      </c>
    </row>
    <row r="802" spans="1:11">
      <c r="A802" s="11" t="s">
        <v>178</v>
      </c>
      <c r="B802" s="12" t="s">
        <v>56</v>
      </c>
      <c r="C802" s="12" t="s">
        <v>57</v>
      </c>
      <c r="D802" s="12" t="s">
        <v>65</v>
      </c>
      <c r="E802" s="12">
        <v>48</v>
      </c>
      <c r="F802" s="13">
        <v>40435</v>
      </c>
      <c r="G802" s="14">
        <v>99335</v>
      </c>
      <c r="H802" s="15">
        <v>0</v>
      </c>
      <c r="I802" s="12" t="s">
        <v>60</v>
      </c>
      <c r="J802" s="12" t="s">
        <v>79</v>
      </c>
      <c r="K802" s="17" t="s">
        <v>1121</v>
      </c>
    </row>
    <row r="803" spans="1:11">
      <c r="A803" s="11" t="s">
        <v>55</v>
      </c>
      <c r="B803" s="12" t="s">
        <v>94</v>
      </c>
      <c r="C803" s="12" t="s">
        <v>64</v>
      </c>
      <c r="D803" s="12" t="s">
        <v>65</v>
      </c>
      <c r="E803" s="12">
        <v>42</v>
      </c>
      <c r="F803" s="13">
        <v>41382</v>
      </c>
      <c r="G803" s="14">
        <v>131179</v>
      </c>
      <c r="H803" s="15">
        <v>0.15</v>
      </c>
      <c r="I803" s="12" t="s">
        <v>60</v>
      </c>
      <c r="J803" s="12" t="s">
        <v>110</v>
      </c>
      <c r="K803" s="17" t="s">
        <v>1121</v>
      </c>
    </row>
    <row r="804" spans="1:11">
      <c r="A804" s="11" t="s">
        <v>75</v>
      </c>
      <c r="B804" s="12" t="s">
        <v>56</v>
      </c>
      <c r="C804" s="12" t="s">
        <v>71</v>
      </c>
      <c r="D804" s="12" t="s">
        <v>65</v>
      </c>
      <c r="E804" s="12">
        <v>35</v>
      </c>
      <c r="F804" s="13">
        <v>42493</v>
      </c>
      <c r="G804" s="14">
        <v>73899</v>
      </c>
      <c r="H804" s="15">
        <v>0.05</v>
      </c>
      <c r="I804" s="12" t="s">
        <v>66</v>
      </c>
      <c r="J804" s="12" t="s">
        <v>138</v>
      </c>
      <c r="K804" s="17" t="s">
        <v>1121</v>
      </c>
    </row>
    <row r="805" spans="1:11">
      <c r="A805" s="11" t="s">
        <v>104</v>
      </c>
      <c r="B805" s="12" t="s">
        <v>90</v>
      </c>
      <c r="C805" s="12" t="s">
        <v>64</v>
      </c>
      <c r="D805" s="12" t="s">
        <v>65</v>
      </c>
      <c r="E805" s="12">
        <v>64</v>
      </c>
      <c r="F805" s="13">
        <v>41362</v>
      </c>
      <c r="G805" s="14">
        <v>252325</v>
      </c>
      <c r="H805" s="15">
        <v>0.4</v>
      </c>
      <c r="I805" s="12" t="s">
        <v>60</v>
      </c>
      <c r="J805" s="12" t="s">
        <v>110</v>
      </c>
      <c r="K805" s="17" t="s">
        <v>1121</v>
      </c>
    </row>
    <row r="806" spans="1:11">
      <c r="A806" s="11" t="s">
        <v>132</v>
      </c>
      <c r="B806" s="12" t="s">
        <v>70</v>
      </c>
      <c r="C806" s="12" t="s">
        <v>57</v>
      </c>
      <c r="D806" s="12" t="s">
        <v>58</v>
      </c>
      <c r="E806" s="12">
        <v>30</v>
      </c>
      <c r="F806" s="13">
        <v>42068</v>
      </c>
      <c r="G806" s="14">
        <v>52697</v>
      </c>
      <c r="H806" s="15">
        <v>0</v>
      </c>
      <c r="I806" s="12" t="s">
        <v>60</v>
      </c>
      <c r="J806" s="12" t="s">
        <v>61</v>
      </c>
      <c r="K806" s="17" t="s">
        <v>1121</v>
      </c>
    </row>
    <row r="807" spans="1:11">
      <c r="A807" s="11" t="s">
        <v>164</v>
      </c>
      <c r="B807" s="12" t="s">
        <v>98</v>
      </c>
      <c r="C807" s="12" t="s">
        <v>71</v>
      </c>
      <c r="D807" s="12" t="s">
        <v>58</v>
      </c>
      <c r="E807" s="12">
        <v>29</v>
      </c>
      <c r="F807" s="13">
        <v>44099</v>
      </c>
      <c r="G807" s="14">
        <v>123588</v>
      </c>
      <c r="H807" s="15">
        <v>0</v>
      </c>
      <c r="I807" s="12" t="s">
        <v>113</v>
      </c>
      <c r="J807" s="12" t="s">
        <v>184</v>
      </c>
      <c r="K807" s="17" t="s">
        <v>1121</v>
      </c>
    </row>
    <row r="808" spans="1:11">
      <c r="A808" s="11" t="s">
        <v>104</v>
      </c>
      <c r="B808" s="12" t="s">
        <v>90</v>
      </c>
      <c r="C808" s="12" t="s">
        <v>83</v>
      </c>
      <c r="D808" s="12" t="s">
        <v>58</v>
      </c>
      <c r="E808" s="12">
        <v>47</v>
      </c>
      <c r="F808" s="13">
        <v>44556</v>
      </c>
      <c r="G808" s="14">
        <v>243568</v>
      </c>
      <c r="H808" s="15">
        <v>0.33</v>
      </c>
      <c r="I808" s="12" t="s">
        <v>60</v>
      </c>
      <c r="J808" s="12" t="s">
        <v>91</v>
      </c>
      <c r="K808" s="17" t="s">
        <v>1121</v>
      </c>
    </row>
    <row r="809" spans="1:11">
      <c r="A809" s="11" t="s">
        <v>69</v>
      </c>
      <c r="B809" s="12" t="s">
        <v>82</v>
      </c>
      <c r="C809" s="12" t="s">
        <v>57</v>
      </c>
      <c r="D809" s="12" t="s">
        <v>65</v>
      </c>
      <c r="E809" s="12">
        <v>49</v>
      </c>
      <c r="F809" s="13">
        <v>37092</v>
      </c>
      <c r="G809" s="14">
        <v>199176</v>
      </c>
      <c r="H809" s="15">
        <v>0.24</v>
      </c>
      <c r="I809" s="12" t="s">
        <v>60</v>
      </c>
      <c r="J809" s="12" t="s">
        <v>79</v>
      </c>
      <c r="K809" s="17" t="s">
        <v>1121</v>
      </c>
    </row>
    <row r="810" spans="1:11">
      <c r="A810" s="11" t="s">
        <v>63</v>
      </c>
      <c r="B810" s="12" t="s">
        <v>56</v>
      </c>
      <c r="C810" s="12" t="s">
        <v>71</v>
      </c>
      <c r="D810" s="12" t="s">
        <v>58</v>
      </c>
      <c r="E810" s="12">
        <v>56</v>
      </c>
      <c r="F810" s="13">
        <v>35238</v>
      </c>
      <c r="G810" s="14">
        <v>82806</v>
      </c>
      <c r="H810" s="15">
        <v>0</v>
      </c>
      <c r="I810" s="12" t="s">
        <v>60</v>
      </c>
      <c r="J810" s="12" t="s">
        <v>61</v>
      </c>
      <c r="K810" s="17" t="s">
        <v>1121</v>
      </c>
    </row>
    <row r="811" spans="1:11">
      <c r="A811" s="11" t="s">
        <v>69</v>
      </c>
      <c r="B811" s="12" t="s">
        <v>105</v>
      </c>
      <c r="C811" s="12" t="s">
        <v>71</v>
      </c>
      <c r="D811" s="12" t="s">
        <v>58</v>
      </c>
      <c r="E811" s="12">
        <v>53</v>
      </c>
      <c r="F811" s="13">
        <v>35601</v>
      </c>
      <c r="G811" s="14">
        <v>164399</v>
      </c>
      <c r="H811" s="15">
        <v>0.25</v>
      </c>
      <c r="I811" s="12" t="s">
        <v>60</v>
      </c>
      <c r="J811" s="12" t="s">
        <v>61</v>
      </c>
      <c r="K811" s="17" t="s">
        <v>1121</v>
      </c>
    </row>
    <row r="812" spans="1:11">
      <c r="A812" s="11" t="s">
        <v>55</v>
      </c>
      <c r="B812" s="12" t="s">
        <v>94</v>
      </c>
      <c r="C812" s="12" t="s">
        <v>64</v>
      </c>
      <c r="D812" s="12" t="s">
        <v>58</v>
      </c>
      <c r="E812" s="12">
        <v>32</v>
      </c>
      <c r="F812" s="13">
        <v>42839</v>
      </c>
      <c r="G812" s="14">
        <v>154956</v>
      </c>
      <c r="H812" s="15">
        <v>0.13</v>
      </c>
      <c r="I812" s="12" t="s">
        <v>60</v>
      </c>
      <c r="J812" s="12" t="s">
        <v>79</v>
      </c>
      <c r="K812" s="17" t="s">
        <v>1121</v>
      </c>
    </row>
    <row r="813" spans="1:11">
      <c r="A813" s="11" t="s">
        <v>55</v>
      </c>
      <c r="B813" s="12" t="s">
        <v>105</v>
      </c>
      <c r="C813" s="12" t="s">
        <v>64</v>
      </c>
      <c r="D813" s="12" t="s">
        <v>65</v>
      </c>
      <c r="E813" s="12">
        <v>32</v>
      </c>
      <c r="F813" s="13">
        <v>42764</v>
      </c>
      <c r="G813" s="14">
        <v>143970</v>
      </c>
      <c r="H813" s="15">
        <v>0.12</v>
      </c>
      <c r="I813" s="12" t="s">
        <v>60</v>
      </c>
      <c r="J813" s="12" t="s">
        <v>61</v>
      </c>
      <c r="K813" s="17">
        <v>43078</v>
      </c>
    </row>
    <row r="814" spans="1:11">
      <c r="A814" s="11" t="s">
        <v>69</v>
      </c>
      <c r="B814" s="12" t="s">
        <v>82</v>
      </c>
      <c r="C814" s="12" t="s">
        <v>83</v>
      </c>
      <c r="D814" s="12" t="s">
        <v>65</v>
      </c>
      <c r="E814" s="12">
        <v>52</v>
      </c>
      <c r="F814" s="13">
        <v>44099</v>
      </c>
      <c r="G814" s="14">
        <v>163143</v>
      </c>
      <c r="H814" s="15">
        <v>0.28</v>
      </c>
      <c r="I814" s="12" t="s">
        <v>113</v>
      </c>
      <c r="J814" s="12" t="s">
        <v>184</v>
      </c>
      <c r="K814" s="17" t="s">
        <v>1121</v>
      </c>
    </row>
    <row r="815" spans="1:11">
      <c r="A815" s="11" t="s">
        <v>78</v>
      </c>
      <c r="B815" s="12" t="s">
        <v>90</v>
      </c>
      <c r="C815" s="12" t="s">
        <v>71</v>
      </c>
      <c r="D815" s="12" t="s">
        <v>58</v>
      </c>
      <c r="E815" s="12">
        <v>38</v>
      </c>
      <c r="F815" s="13">
        <v>44036</v>
      </c>
      <c r="G815" s="14">
        <v>89390</v>
      </c>
      <c r="H815" s="15">
        <v>0</v>
      </c>
      <c r="I815" s="12" t="s">
        <v>60</v>
      </c>
      <c r="J815" s="12" t="s">
        <v>61</v>
      </c>
      <c r="K815" s="17" t="s">
        <v>1121</v>
      </c>
    </row>
    <row r="816" spans="1:11">
      <c r="A816" s="11" t="s">
        <v>200</v>
      </c>
      <c r="B816" s="12" t="s">
        <v>56</v>
      </c>
      <c r="C816" s="12" t="s">
        <v>64</v>
      </c>
      <c r="D816" s="12" t="s">
        <v>65</v>
      </c>
      <c r="E816" s="12">
        <v>41</v>
      </c>
      <c r="F816" s="13">
        <v>43013</v>
      </c>
      <c r="G816" s="14">
        <v>67468</v>
      </c>
      <c r="H816" s="15">
        <v>0</v>
      </c>
      <c r="I816" s="12" t="s">
        <v>60</v>
      </c>
      <c r="J816" s="12" t="s">
        <v>88</v>
      </c>
      <c r="K816" s="17" t="s">
        <v>1121</v>
      </c>
    </row>
    <row r="817" spans="1:11">
      <c r="A817" s="11" t="s">
        <v>125</v>
      </c>
      <c r="B817" s="12" t="s">
        <v>98</v>
      </c>
      <c r="C817" s="12" t="s">
        <v>64</v>
      </c>
      <c r="D817" s="12" t="s">
        <v>58</v>
      </c>
      <c r="E817" s="12">
        <v>49</v>
      </c>
      <c r="F817" s="13">
        <v>42441</v>
      </c>
      <c r="G817" s="14">
        <v>100810</v>
      </c>
      <c r="H817" s="15">
        <v>0.12</v>
      </c>
      <c r="I817" s="12" t="s">
        <v>113</v>
      </c>
      <c r="J817" s="12" t="s">
        <v>117</v>
      </c>
      <c r="K817" s="17" t="s">
        <v>1121</v>
      </c>
    </row>
    <row r="818" spans="1:11">
      <c r="A818" s="11" t="s">
        <v>78</v>
      </c>
      <c r="B818" s="12" t="s">
        <v>70</v>
      </c>
      <c r="C818" s="12" t="s">
        <v>64</v>
      </c>
      <c r="D818" s="12" t="s">
        <v>58</v>
      </c>
      <c r="E818" s="12">
        <v>35</v>
      </c>
      <c r="F818" s="13">
        <v>43542</v>
      </c>
      <c r="G818" s="14">
        <v>74779</v>
      </c>
      <c r="H818" s="15">
        <v>0</v>
      </c>
      <c r="I818" s="12" t="s">
        <v>60</v>
      </c>
      <c r="J818" s="12" t="s">
        <v>79</v>
      </c>
      <c r="K818" s="17" t="s">
        <v>1121</v>
      </c>
    </row>
    <row r="819" spans="1:11">
      <c r="A819" s="11" t="s">
        <v>202</v>
      </c>
      <c r="B819" s="12" t="s">
        <v>56</v>
      </c>
      <c r="C819" s="12" t="s">
        <v>83</v>
      </c>
      <c r="D819" s="12" t="s">
        <v>58</v>
      </c>
      <c r="E819" s="12">
        <v>29</v>
      </c>
      <c r="F819" s="13">
        <v>43048</v>
      </c>
      <c r="G819" s="14">
        <v>63985</v>
      </c>
      <c r="H819" s="15">
        <v>0</v>
      </c>
      <c r="I819" s="12" t="s">
        <v>60</v>
      </c>
      <c r="J819" s="12" t="s">
        <v>88</v>
      </c>
      <c r="K819" s="17" t="s">
        <v>1121</v>
      </c>
    </row>
    <row r="820" spans="1:11">
      <c r="A820" s="11" t="s">
        <v>266</v>
      </c>
      <c r="B820" s="12" t="s">
        <v>56</v>
      </c>
      <c r="C820" s="12" t="s">
        <v>64</v>
      </c>
      <c r="D820" s="12" t="s">
        <v>58</v>
      </c>
      <c r="E820" s="12">
        <v>64</v>
      </c>
      <c r="F820" s="13">
        <v>38176</v>
      </c>
      <c r="G820" s="14">
        <v>77903</v>
      </c>
      <c r="H820" s="15">
        <v>0</v>
      </c>
      <c r="I820" s="12" t="s">
        <v>60</v>
      </c>
      <c r="J820" s="12" t="s">
        <v>61</v>
      </c>
      <c r="K820" s="17" t="s">
        <v>1121</v>
      </c>
    </row>
    <row r="821" spans="1:11">
      <c r="A821" s="11" t="s">
        <v>69</v>
      </c>
      <c r="B821" s="12" t="s">
        <v>105</v>
      </c>
      <c r="C821" s="12" t="s">
        <v>83</v>
      </c>
      <c r="D821" s="12" t="s">
        <v>65</v>
      </c>
      <c r="E821" s="12">
        <v>33</v>
      </c>
      <c r="F821" s="13">
        <v>42898</v>
      </c>
      <c r="G821" s="14">
        <v>164396</v>
      </c>
      <c r="H821" s="15">
        <v>0.29</v>
      </c>
      <c r="I821" s="12" t="s">
        <v>60</v>
      </c>
      <c r="J821" s="12" t="s">
        <v>110</v>
      </c>
      <c r="K821" s="17" t="s">
        <v>1121</v>
      </c>
    </row>
    <row r="822" spans="1:11">
      <c r="A822" s="11" t="s">
        <v>303</v>
      </c>
      <c r="B822" s="12" t="s">
        <v>56</v>
      </c>
      <c r="C822" s="12" t="s">
        <v>83</v>
      </c>
      <c r="D822" s="12" t="s">
        <v>65</v>
      </c>
      <c r="E822" s="12">
        <v>29</v>
      </c>
      <c r="F822" s="13">
        <v>44375</v>
      </c>
      <c r="G822" s="14">
        <v>71234</v>
      </c>
      <c r="H822" s="15">
        <v>0</v>
      </c>
      <c r="I822" s="12" t="s">
        <v>60</v>
      </c>
      <c r="J822" s="12" t="s">
        <v>61</v>
      </c>
      <c r="K822" s="17" t="s">
        <v>1121</v>
      </c>
    </row>
    <row r="823" spans="1:11">
      <c r="A823" s="11" t="s">
        <v>85</v>
      </c>
      <c r="B823" s="12" t="s">
        <v>70</v>
      </c>
      <c r="C823" s="12" t="s">
        <v>83</v>
      </c>
      <c r="D823" s="12" t="s">
        <v>65</v>
      </c>
      <c r="E823" s="12">
        <v>63</v>
      </c>
      <c r="F823" s="13">
        <v>38096</v>
      </c>
      <c r="G823" s="14">
        <v>122487</v>
      </c>
      <c r="H823" s="15">
        <v>0.08</v>
      </c>
      <c r="I823" s="12" t="s">
        <v>66</v>
      </c>
      <c r="J823" s="12" t="s">
        <v>101</v>
      </c>
      <c r="K823" s="17" t="s">
        <v>1121</v>
      </c>
    </row>
    <row r="824" spans="1:11">
      <c r="A824" s="11" t="s">
        <v>85</v>
      </c>
      <c r="B824" s="12" t="s">
        <v>94</v>
      </c>
      <c r="C824" s="12" t="s">
        <v>71</v>
      </c>
      <c r="D824" s="12" t="s">
        <v>58</v>
      </c>
      <c r="E824" s="12">
        <v>32</v>
      </c>
      <c r="F824" s="13">
        <v>42738</v>
      </c>
      <c r="G824" s="14">
        <v>101870</v>
      </c>
      <c r="H824" s="15">
        <v>0.1</v>
      </c>
      <c r="I824" s="12" t="s">
        <v>60</v>
      </c>
      <c r="J824" s="12" t="s">
        <v>79</v>
      </c>
      <c r="K824" s="17" t="s">
        <v>1121</v>
      </c>
    </row>
    <row r="825" spans="1:11">
      <c r="A825" s="11" t="s">
        <v>244</v>
      </c>
      <c r="B825" s="12" t="s">
        <v>56</v>
      </c>
      <c r="C825" s="12" t="s">
        <v>57</v>
      </c>
      <c r="D825" s="12" t="s">
        <v>65</v>
      </c>
      <c r="E825" s="12">
        <v>64</v>
      </c>
      <c r="F825" s="13">
        <v>44009</v>
      </c>
      <c r="G825" s="14">
        <v>40316</v>
      </c>
      <c r="H825" s="15">
        <v>0</v>
      </c>
      <c r="I825" s="12" t="s">
        <v>113</v>
      </c>
      <c r="J825" s="12" t="s">
        <v>114</v>
      </c>
      <c r="K825" s="17" t="s">
        <v>1121</v>
      </c>
    </row>
    <row r="826" spans="1:11">
      <c r="A826" s="11" t="s">
        <v>85</v>
      </c>
      <c r="B826" s="12" t="s">
        <v>56</v>
      </c>
      <c r="C826" s="12" t="s">
        <v>57</v>
      </c>
      <c r="D826" s="12" t="s">
        <v>58</v>
      </c>
      <c r="E826" s="12">
        <v>55</v>
      </c>
      <c r="F826" s="13">
        <v>38391</v>
      </c>
      <c r="G826" s="14">
        <v>115145</v>
      </c>
      <c r="H826" s="15">
        <v>0.05</v>
      </c>
      <c r="I826" s="12" t="s">
        <v>66</v>
      </c>
      <c r="J826" s="12" t="s">
        <v>67</v>
      </c>
      <c r="K826" s="17" t="s">
        <v>1121</v>
      </c>
    </row>
    <row r="827" spans="1:11">
      <c r="A827" s="11" t="s">
        <v>178</v>
      </c>
      <c r="B827" s="12" t="s">
        <v>56</v>
      </c>
      <c r="C827" s="12" t="s">
        <v>64</v>
      </c>
      <c r="D827" s="12" t="s">
        <v>58</v>
      </c>
      <c r="E827" s="12">
        <v>43</v>
      </c>
      <c r="F827" s="13">
        <v>39885</v>
      </c>
      <c r="G827" s="14">
        <v>62335</v>
      </c>
      <c r="H827" s="15">
        <v>0</v>
      </c>
      <c r="I827" s="12" t="s">
        <v>113</v>
      </c>
      <c r="J827" s="12" t="s">
        <v>114</v>
      </c>
      <c r="K827" s="17" t="s">
        <v>1121</v>
      </c>
    </row>
    <row r="828" spans="1:11">
      <c r="A828" s="11" t="s">
        <v>87</v>
      </c>
      <c r="B828" s="12" t="s">
        <v>70</v>
      </c>
      <c r="C828" s="12" t="s">
        <v>64</v>
      </c>
      <c r="D828" s="12" t="s">
        <v>65</v>
      </c>
      <c r="E828" s="12">
        <v>56</v>
      </c>
      <c r="F828" s="13">
        <v>38847</v>
      </c>
      <c r="G828" s="14">
        <v>41561</v>
      </c>
      <c r="H828" s="15">
        <v>0</v>
      </c>
      <c r="I828" s="12" t="s">
        <v>60</v>
      </c>
      <c r="J828" s="12" t="s">
        <v>91</v>
      </c>
      <c r="K828" s="17" t="s">
        <v>1121</v>
      </c>
    </row>
    <row r="829" spans="1:11">
      <c r="A829" s="11" t="s">
        <v>55</v>
      </c>
      <c r="B829" s="12" t="s">
        <v>70</v>
      </c>
      <c r="C829" s="12" t="s">
        <v>71</v>
      </c>
      <c r="D829" s="12" t="s">
        <v>58</v>
      </c>
      <c r="E829" s="12">
        <v>37</v>
      </c>
      <c r="F829" s="13">
        <v>40657</v>
      </c>
      <c r="G829" s="14">
        <v>131183</v>
      </c>
      <c r="H829" s="15">
        <v>0.14</v>
      </c>
      <c r="I829" s="12" t="s">
        <v>66</v>
      </c>
      <c r="J829" s="12" t="s">
        <v>101</v>
      </c>
      <c r="K829" s="17">
        <v>42445</v>
      </c>
    </row>
    <row r="830" spans="1:11">
      <c r="A830" s="11" t="s">
        <v>63</v>
      </c>
      <c r="B830" s="12" t="s">
        <v>56</v>
      </c>
      <c r="C830" s="12" t="s">
        <v>64</v>
      </c>
      <c r="D830" s="12" t="s">
        <v>58</v>
      </c>
      <c r="E830" s="12">
        <v>45</v>
      </c>
      <c r="F830" s="13">
        <v>37445</v>
      </c>
      <c r="G830" s="14">
        <v>92655</v>
      </c>
      <c r="H830" s="15">
        <v>0</v>
      </c>
      <c r="I830" s="12" t="s">
        <v>66</v>
      </c>
      <c r="J830" s="12" t="s">
        <v>138</v>
      </c>
      <c r="K830" s="17" t="s">
        <v>1121</v>
      </c>
    </row>
    <row r="831" spans="1:11">
      <c r="A831" s="11" t="s">
        <v>55</v>
      </c>
      <c r="B831" s="12" t="s">
        <v>82</v>
      </c>
      <c r="C831" s="12" t="s">
        <v>64</v>
      </c>
      <c r="D831" s="12" t="s">
        <v>58</v>
      </c>
      <c r="E831" s="12">
        <v>49</v>
      </c>
      <c r="F831" s="13">
        <v>35157</v>
      </c>
      <c r="G831" s="14">
        <v>157057</v>
      </c>
      <c r="H831" s="15">
        <v>0.12</v>
      </c>
      <c r="I831" s="12" t="s">
        <v>60</v>
      </c>
      <c r="J831" s="12" t="s">
        <v>88</v>
      </c>
      <c r="K831" s="17" t="s">
        <v>1121</v>
      </c>
    </row>
    <row r="832" spans="1:11">
      <c r="A832" s="11" t="s">
        <v>136</v>
      </c>
      <c r="B832" s="12" t="s">
        <v>56</v>
      </c>
      <c r="C832" s="12" t="s">
        <v>71</v>
      </c>
      <c r="D832" s="12" t="s">
        <v>58</v>
      </c>
      <c r="E832" s="12">
        <v>61</v>
      </c>
      <c r="F832" s="13">
        <v>38392</v>
      </c>
      <c r="G832" s="14">
        <v>64462</v>
      </c>
      <c r="H832" s="15">
        <v>0</v>
      </c>
      <c r="I832" s="12" t="s">
        <v>60</v>
      </c>
      <c r="J832" s="12" t="s">
        <v>73</v>
      </c>
      <c r="K832" s="17" t="s">
        <v>1121</v>
      </c>
    </row>
    <row r="833" spans="1:11">
      <c r="A833" s="11" t="s">
        <v>122</v>
      </c>
      <c r="B833" s="12" t="s">
        <v>98</v>
      </c>
      <c r="C833" s="12" t="s">
        <v>83</v>
      </c>
      <c r="D833" s="12" t="s">
        <v>58</v>
      </c>
      <c r="E833" s="12">
        <v>41</v>
      </c>
      <c r="F833" s="13">
        <v>38632</v>
      </c>
      <c r="G833" s="14">
        <v>79352</v>
      </c>
      <c r="H833" s="15">
        <v>0</v>
      </c>
      <c r="I833" s="12" t="s">
        <v>60</v>
      </c>
      <c r="J833" s="12" t="s">
        <v>61</v>
      </c>
      <c r="K833" s="17" t="s">
        <v>1121</v>
      </c>
    </row>
    <row r="834" spans="1:11">
      <c r="A834" s="11" t="s">
        <v>55</v>
      </c>
      <c r="B834" s="12" t="s">
        <v>105</v>
      </c>
      <c r="C834" s="12" t="s">
        <v>71</v>
      </c>
      <c r="D834" s="12" t="s">
        <v>58</v>
      </c>
      <c r="E834" s="12">
        <v>55</v>
      </c>
      <c r="F834" s="13">
        <v>36977</v>
      </c>
      <c r="G834" s="14">
        <v>157812</v>
      </c>
      <c r="H834" s="15">
        <v>0.11</v>
      </c>
      <c r="I834" s="12" t="s">
        <v>60</v>
      </c>
      <c r="J834" s="12" t="s">
        <v>88</v>
      </c>
      <c r="K834" s="17" t="s">
        <v>1121</v>
      </c>
    </row>
    <row r="835" spans="1:11">
      <c r="A835" s="11" t="s">
        <v>122</v>
      </c>
      <c r="B835" s="12" t="s">
        <v>98</v>
      </c>
      <c r="C835" s="12" t="s">
        <v>83</v>
      </c>
      <c r="D835" s="12" t="s">
        <v>65</v>
      </c>
      <c r="E835" s="12">
        <v>27</v>
      </c>
      <c r="F835" s="13">
        <v>43354</v>
      </c>
      <c r="G835" s="14">
        <v>80745</v>
      </c>
      <c r="H835" s="15">
        <v>0</v>
      </c>
      <c r="I835" s="12" t="s">
        <v>60</v>
      </c>
      <c r="J835" s="12" t="s">
        <v>73</v>
      </c>
      <c r="K835" s="17" t="s">
        <v>1121</v>
      </c>
    </row>
    <row r="836" spans="1:11">
      <c r="A836" s="11" t="s">
        <v>228</v>
      </c>
      <c r="B836" s="12" t="s">
        <v>56</v>
      </c>
      <c r="C836" s="12" t="s">
        <v>64</v>
      </c>
      <c r="D836" s="12" t="s">
        <v>58</v>
      </c>
      <c r="E836" s="12">
        <v>57</v>
      </c>
      <c r="F836" s="13">
        <v>35113</v>
      </c>
      <c r="G836" s="14">
        <v>75354</v>
      </c>
      <c r="H836" s="15">
        <v>0</v>
      </c>
      <c r="I836" s="12" t="s">
        <v>60</v>
      </c>
      <c r="J836" s="12" t="s">
        <v>91</v>
      </c>
      <c r="K836" s="17">
        <v>35413</v>
      </c>
    </row>
    <row r="837" spans="1:11">
      <c r="A837" s="11" t="s">
        <v>125</v>
      </c>
      <c r="B837" s="12" t="s">
        <v>98</v>
      </c>
      <c r="C837" s="12" t="s">
        <v>57</v>
      </c>
      <c r="D837" s="12" t="s">
        <v>65</v>
      </c>
      <c r="E837" s="12">
        <v>56</v>
      </c>
      <c r="F837" s="13">
        <v>43363</v>
      </c>
      <c r="G837" s="14">
        <v>78938</v>
      </c>
      <c r="H837" s="15">
        <v>0.14</v>
      </c>
      <c r="I837" s="12" t="s">
        <v>60</v>
      </c>
      <c r="J837" s="12" t="s">
        <v>79</v>
      </c>
      <c r="K837" s="17" t="s">
        <v>1121</v>
      </c>
    </row>
    <row r="838" spans="1:11">
      <c r="A838" s="11" t="s">
        <v>164</v>
      </c>
      <c r="B838" s="12" t="s">
        <v>98</v>
      </c>
      <c r="C838" s="12" t="s">
        <v>83</v>
      </c>
      <c r="D838" s="12" t="s">
        <v>65</v>
      </c>
      <c r="E838" s="12">
        <v>59</v>
      </c>
      <c r="F838" s="13">
        <v>39701</v>
      </c>
      <c r="G838" s="14">
        <v>96313</v>
      </c>
      <c r="H838" s="15">
        <v>0</v>
      </c>
      <c r="I838" s="12" t="s">
        <v>60</v>
      </c>
      <c r="J838" s="12" t="s">
        <v>91</v>
      </c>
      <c r="K838" s="17" t="s">
        <v>1121</v>
      </c>
    </row>
    <row r="839" spans="1:11">
      <c r="A839" s="11" t="s">
        <v>69</v>
      </c>
      <c r="B839" s="12" t="s">
        <v>98</v>
      </c>
      <c r="C839" s="12" t="s">
        <v>71</v>
      </c>
      <c r="D839" s="12" t="s">
        <v>65</v>
      </c>
      <c r="E839" s="12">
        <v>45</v>
      </c>
      <c r="F839" s="13">
        <v>40511</v>
      </c>
      <c r="G839" s="14">
        <v>153767</v>
      </c>
      <c r="H839" s="15">
        <v>0.27</v>
      </c>
      <c r="I839" s="12" t="s">
        <v>60</v>
      </c>
      <c r="J839" s="12" t="s">
        <v>79</v>
      </c>
      <c r="K839" s="17" t="s">
        <v>1121</v>
      </c>
    </row>
    <row r="840" spans="1:11">
      <c r="A840" s="11" t="s">
        <v>85</v>
      </c>
      <c r="B840" s="12" t="s">
        <v>105</v>
      </c>
      <c r="C840" s="12" t="s">
        <v>57</v>
      </c>
      <c r="D840" s="12" t="s">
        <v>58</v>
      </c>
      <c r="E840" s="12">
        <v>42</v>
      </c>
      <c r="F840" s="13">
        <v>42266</v>
      </c>
      <c r="G840" s="14">
        <v>103423</v>
      </c>
      <c r="H840" s="15">
        <v>0.06</v>
      </c>
      <c r="I840" s="12" t="s">
        <v>60</v>
      </c>
      <c r="J840" s="12" t="s">
        <v>110</v>
      </c>
      <c r="K840" s="17" t="s">
        <v>1121</v>
      </c>
    </row>
    <row r="841" spans="1:11">
      <c r="A841" s="11" t="s">
        <v>97</v>
      </c>
      <c r="B841" s="12" t="s">
        <v>98</v>
      </c>
      <c r="C841" s="12" t="s">
        <v>83</v>
      </c>
      <c r="D841" s="12" t="s">
        <v>58</v>
      </c>
      <c r="E841" s="12">
        <v>25</v>
      </c>
      <c r="F841" s="13">
        <v>44370</v>
      </c>
      <c r="G841" s="14">
        <v>86464</v>
      </c>
      <c r="H841" s="15">
        <v>0</v>
      </c>
      <c r="I841" s="12" t="s">
        <v>66</v>
      </c>
      <c r="J841" s="12" t="s">
        <v>101</v>
      </c>
      <c r="K841" s="17" t="s">
        <v>1121</v>
      </c>
    </row>
    <row r="842" spans="1:11">
      <c r="A842" s="11" t="s">
        <v>97</v>
      </c>
      <c r="B842" s="12" t="s">
        <v>98</v>
      </c>
      <c r="C842" s="12" t="s">
        <v>83</v>
      </c>
      <c r="D842" s="12" t="s">
        <v>58</v>
      </c>
      <c r="E842" s="12">
        <v>29</v>
      </c>
      <c r="F842" s="13">
        <v>43114</v>
      </c>
      <c r="G842" s="14">
        <v>80516</v>
      </c>
      <c r="H842" s="15">
        <v>0</v>
      </c>
      <c r="I842" s="12" t="s">
        <v>113</v>
      </c>
      <c r="J842" s="12" t="s">
        <v>184</v>
      </c>
      <c r="K842" s="17" t="s">
        <v>1121</v>
      </c>
    </row>
    <row r="843" spans="1:11">
      <c r="A843" s="11" t="s">
        <v>85</v>
      </c>
      <c r="B843" s="12" t="s">
        <v>94</v>
      </c>
      <c r="C843" s="12" t="s">
        <v>71</v>
      </c>
      <c r="D843" s="12" t="s">
        <v>58</v>
      </c>
      <c r="E843" s="12">
        <v>33</v>
      </c>
      <c r="F843" s="13">
        <v>41507</v>
      </c>
      <c r="G843" s="14">
        <v>105390</v>
      </c>
      <c r="H843" s="15">
        <v>0.06</v>
      </c>
      <c r="I843" s="12" t="s">
        <v>60</v>
      </c>
      <c r="J843" s="12" t="s">
        <v>110</v>
      </c>
      <c r="K843" s="17" t="s">
        <v>1121</v>
      </c>
    </row>
    <row r="844" spans="1:11">
      <c r="A844" s="11" t="s">
        <v>178</v>
      </c>
      <c r="B844" s="12" t="s">
        <v>56</v>
      </c>
      <c r="C844" s="12" t="s">
        <v>64</v>
      </c>
      <c r="D844" s="12" t="s">
        <v>58</v>
      </c>
      <c r="E844" s="12">
        <v>50</v>
      </c>
      <c r="F844" s="13">
        <v>44445</v>
      </c>
      <c r="G844" s="14">
        <v>83418</v>
      </c>
      <c r="H844" s="15">
        <v>0</v>
      </c>
      <c r="I844" s="12" t="s">
        <v>66</v>
      </c>
      <c r="J844" s="12" t="s">
        <v>101</v>
      </c>
      <c r="K844" s="17" t="s">
        <v>1121</v>
      </c>
    </row>
    <row r="845" spans="1:11">
      <c r="A845" s="11" t="s">
        <v>266</v>
      </c>
      <c r="B845" s="12" t="s">
        <v>56</v>
      </c>
      <c r="C845" s="12" t="s">
        <v>71</v>
      </c>
      <c r="D845" s="12" t="s">
        <v>58</v>
      </c>
      <c r="E845" s="12">
        <v>45</v>
      </c>
      <c r="F845" s="13">
        <v>43042</v>
      </c>
      <c r="G845" s="14">
        <v>66660</v>
      </c>
      <c r="H845" s="15">
        <v>0</v>
      </c>
      <c r="I845" s="12" t="s">
        <v>60</v>
      </c>
      <c r="J845" s="12" t="s">
        <v>91</v>
      </c>
      <c r="K845" s="17" t="s">
        <v>1121</v>
      </c>
    </row>
    <row r="846" spans="1:11">
      <c r="A846" s="11" t="s">
        <v>85</v>
      </c>
      <c r="B846" s="12" t="s">
        <v>94</v>
      </c>
      <c r="C846" s="12" t="s">
        <v>71</v>
      </c>
      <c r="D846" s="12" t="s">
        <v>65</v>
      </c>
      <c r="E846" s="12">
        <v>59</v>
      </c>
      <c r="F846" s="13">
        <v>42165</v>
      </c>
      <c r="G846" s="14">
        <v>101985</v>
      </c>
      <c r="H846" s="15">
        <v>0.07</v>
      </c>
      <c r="I846" s="12" t="s">
        <v>60</v>
      </c>
      <c r="J846" s="12" t="s">
        <v>88</v>
      </c>
      <c r="K846" s="17" t="s">
        <v>1121</v>
      </c>
    </row>
    <row r="847" spans="1:11">
      <c r="A847" s="11" t="s">
        <v>104</v>
      </c>
      <c r="B847" s="12" t="s">
        <v>70</v>
      </c>
      <c r="C847" s="12" t="s">
        <v>83</v>
      </c>
      <c r="D847" s="12" t="s">
        <v>65</v>
      </c>
      <c r="E847" s="12">
        <v>29</v>
      </c>
      <c r="F847" s="13">
        <v>43439</v>
      </c>
      <c r="G847" s="14">
        <v>199504</v>
      </c>
      <c r="H847" s="15">
        <v>0.3</v>
      </c>
      <c r="I847" s="12" t="s">
        <v>60</v>
      </c>
      <c r="J847" s="12" t="s">
        <v>91</v>
      </c>
      <c r="K847" s="17" t="s">
        <v>1121</v>
      </c>
    </row>
    <row r="848" spans="1:11">
      <c r="A848" s="11" t="s">
        <v>55</v>
      </c>
      <c r="B848" s="12" t="s">
        <v>82</v>
      </c>
      <c r="C848" s="12" t="s">
        <v>83</v>
      </c>
      <c r="D848" s="12" t="s">
        <v>58</v>
      </c>
      <c r="E848" s="12">
        <v>52</v>
      </c>
      <c r="F848" s="13">
        <v>38995</v>
      </c>
      <c r="G848" s="14">
        <v>147966</v>
      </c>
      <c r="H848" s="15">
        <v>0.11</v>
      </c>
      <c r="I848" s="12" t="s">
        <v>113</v>
      </c>
      <c r="J848" s="12" t="s">
        <v>117</v>
      </c>
      <c r="K848" s="17">
        <v>43608</v>
      </c>
    </row>
    <row r="849" spans="1:11">
      <c r="A849" s="11" t="s">
        <v>166</v>
      </c>
      <c r="B849" s="12" t="s">
        <v>94</v>
      </c>
      <c r="C849" s="12" t="s">
        <v>71</v>
      </c>
      <c r="D849" s="12" t="s">
        <v>65</v>
      </c>
      <c r="E849" s="12">
        <v>58</v>
      </c>
      <c r="F849" s="13">
        <v>41810</v>
      </c>
      <c r="G849" s="14">
        <v>41728</v>
      </c>
      <c r="H849" s="15">
        <v>0</v>
      </c>
      <c r="I849" s="12" t="s">
        <v>66</v>
      </c>
      <c r="J849" s="12" t="s">
        <v>67</v>
      </c>
      <c r="K849" s="17" t="s">
        <v>1121</v>
      </c>
    </row>
    <row r="850" spans="1:11">
      <c r="A850" s="11" t="s">
        <v>78</v>
      </c>
      <c r="B850" s="12" t="s">
        <v>90</v>
      </c>
      <c r="C850" s="12" t="s">
        <v>71</v>
      </c>
      <c r="D850" s="12" t="s">
        <v>65</v>
      </c>
      <c r="E850" s="12">
        <v>62</v>
      </c>
      <c r="F850" s="13">
        <v>40591</v>
      </c>
      <c r="G850" s="14">
        <v>94422</v>
      </c>
      <c r="H850" s="15">
        <v>0</v>
      </c>
      <c r="I850" s="12" t="s">
        <v>60</v>
      </c>
      <c r="J850" s="12" t="s">
        <v>79</v>
      </c>
      <c r="K850" s="17" t="s">
        <v>1121</v>
      </c>
    </row>
    <row r="851" spans="1:11">
      <c r="A851" s="11" t="s">
        <v>69</v>
      </c>
      <c r="B851" s="12" t="s">
        <v>82</v>
      </c>
      <c r="C851" s="12" t="s">
        <v>83</v>
      </c>
      <c r="D851" s="12" t="s">
        <v>65</v>
      </c>
      <c r="E851" s="12">
        <v>31</v>
      </c>
      <c r="F851" s="13">
        <v>42184</v>
      </c>
      <c r="G851" s="14">
        <v>191026</v>
      </c>
      <c r="H851" s="15">
        <v>0.16</v>
      </c>
      <c r="I851" s="12" t="s">
        <v>60</v>
      </c>
      <c r="J851" s="12" t="s">
        <v>110</v>
      </c>
      <c r="K851" s="17" t="s">
        <v>1121</v>
      </c>
    </row>
    <row r="852" spans="1:11">
      <c r="A852" s="11" t="s">
        <v>104</v>
      </c>
      <c r="B852" s="12" t="s">
        <v>56</v>
      </c>
      <c r="C852" s="12" t="s">
        <v>57</v>
      </c>
      <c r="D852" s="12" t="s">
        <v>65</v>
      </c>
      <c r="E852" s="12">
        <v>42</v>
      </c>
      <c r="F852" s="13">
        <v>40511</v>
      </c>
      <c r="G852" s="14">
        <v>186725</v>
      </c>
      <c r="H852" s="15">
        <v>0.32</v>
      </c>
      <c r="I852" s="12" t="s">
        <v>113</v>
      </c>
      <c r="J852" s="12" t="s">
        <v>114</v>
      </c>
      <c r="K852" s="17" t="s">
        <v>1121</v>
      </c>
    </row>
    <row r="853" spans="1:11">
      <c r="A853" s="11" t="s">
        <v>166</v>
      </c>
      <c r="B853" s="12" t="s">
        <v>94</v>
      </c>
      <c r="C853" s="12" t="s">
        <v>57</v>
      </c>
      <c r="D853" s="12" t="s">
        <v>58</v>
      </c>
      <c r="E853" s="12">
        <v>56</v>
      </c>
      <c r="F853" s="13">
        <v>40045</v>
      </c>
      <c r="G853" s="14">
        <v>52800</v>
      </c>
      <c r="H853" s="15">
        <v>0</v>
      </c>
      <c r="I853" s="12" t="s">
        <v>60</v>
      </c>
      <c r="J853" s="12" t="s">
        <v>79</v>
      </c>
      <c r="K853" s="17" t="s">
        <v>1121</v>
      </c>
    </row>
    <row r="854" spans="1:11">
      <c r="A854" s="11" t="s">
        <v>164</v>
      </c>
      <c r="B854" s="12" t="s">
        <v>98</v>
      </c>
      <c r="C854" s="12" t="s">
        <v>71</v>
      </c>
      <c r="D854" s="12" t="s">
        <v>65</v>
      </c>
      <c r="E854" s="12">
        <v>54</v>
      </c>
      <c r="F854" s="13">
        <v>40517</v>
      </c>
      <c r="G854" s="14">
        <v>113982</v>
      </c>
      <c r="H854" s="15">
        <v>0</v>
      </c>
      <c r="I854" s="12" t="s">
        <v>60</v>
      </c>
      <c r="J854" s="12" t="s">
        <v>61</v>
      </c>
      <c r="K854" s="17" t="s">
        <v>1121</v>
      </c>
    </row>
    <row r="855" spans="1:11">
      <c r="A855" s="11" t="s">
        <v>81</v>
      </c>
      <c r="B855" s="12" t="s">
        <v>82</v>
      </c>
      <c r="C855" s="12" t="s">
        <v>57</v>
      </c>
      <c r="D855" s="12" t="s">
        <v>58</v>
      </c>
      <c r="E855" s="12">
        <v>54</v>
      </c>
      <c r="F855" s="13">
        <v>44271</v>
      </c>
      <c r="G855" s="14">
        <v>56239</v>
      </c>
      <c r="H855" s="15">
        <v>0</v>
      </c>
      <c r="I855" s="12" t="s">
        <v>66</v>
      </c>
      <c r="J855" s="12" t="s">
        <v>67</v>
      </c>
      <c r="K855" s="17" t="s">
        <v>1121</v>
      </c>
    </row>
    <row r="856" spans="1:11">
      <c r="A856" s="11" t="s">
        <v>87</v>
      </c>
      <c r="B856" s="12" t="s">
        <v>82</v>
      </c>
      <c r="C856" s="12" t="s">
        <v>64</v>
      </c>
      <c r="D856" s="12" t="s">
        <v>65</v>
      </c>
      <c r="E856" s="12">
        <v>26</v>
      </c>
      <c r="F856" s="13">
        <v>44257</v>
      </c>
      <c r="G856" s="14">
        <v>44732</v>
      </c>
      <c r="H856" s="15">
        <v>0</v>
      </c>
      <c r="I856" s="12" t="s">
        <v>113</v>
      </c>
      <c r="J856" s="12" t="s">
        <v>117</v>
      </c>
      <c r="K856" s="17" t="s">
        <v>1121</v>
      </c>
    </row>
    <row r="857" spans="1:11">
      <c r="A857" s="11" t="s">
        <v>69</v>
      </c>
      <c r="B857" s="12" t="s">
        <v>105</v>
      </c>
      <c r="C857" s="12" t="s">
        <v>83</v>
      </c>
      <c r="D857" s="12" t="s">
        <v>65</v>
      </c>
      <c r="E857" s="12">
        <v>49</v>
      </c>
      <c r="F857" s="13">
        <v>41816</v>
      </c>
      <c r="G857" s="14">
        <v>153961</v>
      </c>
      <c r="H857" s="15">
        <v>0.25</v>
      </c>
      <c r="I857" s="12" t="s">
        <v>66</v>
      </c>
      <c r="J857" s="12" t="s">
        <v>101</v>
      </c>
      <c r="K857" s="17" t="s">
        <v>1121</v>
      </c>
    </row>
    <row r="858" spans="1:11">
      <c r="A858" s="11" t="s">
        <v>200</v>
      </c>
      <c r="B858" s="12" t="s">
        <v>56</v>
      </c>
      <c r="C858" s="12" t="s">
        <v>71</v>
      </c>
      <c r="D858" s="12" t="s">
        <v>58</v>
      </c>
      <c r="E858" s="12">
        <v>45</v>
      </c>
      <c r="F858" s="13">
        <v>39069</v>
      </c>
      <c r="G858" s="14">
        <v>68337</v>
      </c>
      <c r="H858" s="15">
        <v>0</v>
      </c>
      <c r="I858" s="12" t="s">
        <v>66</v>
      </c>
      <c r="J858" s="12" t="s">
        <v>67</v>
      </c>
      <c r="K858" s="17" t="s">
        <v>1121</v>
      </c>
    </row>
    <row r="859" spans="1:11">
      <c r="A859" s="11" t="s">
        <v>55</v>
      </c>
      <c r="B859" s="12" t="s">
        <v>94</v>
      </c>
      <c r="C859" s="12" t="s">
        <v>83</v>
      </c>
      <c r="D859" s="12" t="s">
        <v>65</v>
      </c>
      <c r="E859" s="12">
        <v>45</v>
      </c>
      <c r="F859" s="13">
        <v>40305</v>
      </c>
      <c r="G859" s="14">
        <v>145093</v>
      </c>
      <c r="H859" s="15">
        <v>0.12</v>
      </c>
      <c r="I859" s="12" t="s">
        <v>60</v>
      </c>
      <c r="J859" s="12" t="s">
        <v>73</v>
      </c>
      <c r="K859" s="17" t="s">
        <v>1121</v>
      </c>
    </row>
    <row r="860" spans="1:11">
      <c r="A860" s="11" t="s">
        <v>303</v>
      </c>
      <c r="B860" s="12" t="s">
        <v>56</v>
      </c>
      <c r="C860" s="12" t="s">
        <v>71</v>
      </c>
      <c r="D860" s="12" t="s">
        <v>58</v>
      </c>
      <c r="E860" s="12">
        <v>26</v>
      </c>
      <c r="F860" s="13">
        <v>44266</v>
      </c>
      <c r="G860" s="14">
        <v>74170</v>
      </c>
      <c r="H860" s="15">
        <v>0</v>
      </c>
      <c r="I860" s="12" t="s">
        <v>60</v>
      </c>
      <c r="J860" s="12" t="s">
        <v>91</v>
      </c>
      <c r="K860" s="17" t="s">
        <v>1121</v>
      </c>
    </row>
    <row r="861" spans="1:11">
      <c r="A861" s="11" t="s">
        <v>160</v>
      </c>
      <c r="B861" s="12" t="s">
        <v>98</v>
      </c>
      <c r="C861" s="12" t="s">
        <v>57</v>
      </c>
      <c r="D861" s="12" t="s">
        <v>65</v>
      </c>
      <c r="E861" s="12">
        <v>59</v>
      </c>
      <c r="F861" s="13">
        <v>35153</v>
      </c>
      <c r="G861" s="14">
        <v>62605</v>
      </c>
      <c r="H861" s="15">
        <v>0</v>
      </c>
      <c r="I861" s="12" t="s">
        <v>60</v>
      </c>
      <c r="J861" s="12" t="s">
        <v>91</v>
      </c>
      <c r="K861" s="17" t="s">
        <v>1121</v>
      </c>
    </row>
    <row r="862" spans="1:11">
      <c r="A862" s="11" t="s">
        <v>85</v>
      </c>
      <c r="B862" s="12" t="s">
        <v>56</v>
      </c>
      <c r="C862" s="12" t="s">
        <v>71</v>
      </c>
      <c r="D862" s="12" t="s">
        <v>58</v>
      </c>
      <c r="E862" s="12">
        <v>51</v>
      </c>
      <c r="F862" s="13">
        <v>43903</v>
      </c>
      <c r="G862" s="14">
        <v>107195</v>
      </c>
      <c r="H862" s="15">
        <v>0.09</v>
      </c>
      <c r="I862" s="12" t="s">
        <v>60</v>
      </c>
      <c r="J862" s="12" t="s">
        <v>91</v>
      </c>
      <c r="K862" s="17" t="s">
        <v>1121</v>
      </c>
    </row>
    <row r="863" spans="1:11">
      <c r="A863" s="11" t="s">
        <v>55</v>
      </c>
      <c r="B863" s="12" t="s">
        <v>105</v>
      </c>
      <c r="C863" s="12" t="s">
        <v>71</v>
      </c>
      <c r="D863" s="12" t="s">
        <v>65</v>
      </c>
      <c r="E863" s="12">
        <v>45</v>
      </c>
      <c r="F863" s="13">
        <v>43111</v>
      </c>
      <c r="G863" s="14">
        <v>127422</v>
      </c>
      <c r="H863" s="15">
        <v>0.15</v>
      </c>
      <c r="I863" s="12" t="s">
        <v>60</v>
      </c>
      <c r="J863" s="12" t="s">
        <v>110</v>
      </c>
      <c r="K863" s="17" t="s">
        <v>1121</v>
      </c>
    </row>
    <row r="864" spans="1:11">
      <c r="A864" s="11" t="s">
        <v>69</v>
      </c>
      <c r="B864" s="12" t="s">
        <v>90</v>
      </c>
      <c r="C864" s="12" t="s">
        <v>57</v>
      </c>
      <c r="D864" s="12" t="s">
        <v>58</v>
      </c>
      <c r="E864" s="12">
        <v>35</v>
      </c>
      <c r="F864" s="13">
        <v>42912</v>
      </c>
      <c r="G864" s="14">
        <v>161269</v>
      </c>
      <c r="H864" s="15">
        <v>0.27</v>
      </c>
      <c r="I864" s="12" t="s">
        <v>60</v>
      </c>
      <c r="J864" s="12" t="s">
        <v>88</v>
      </c>
      <c r="K864" s="17" t="s">
        <v>1121</v>
      </c>
    </row>
    <row r="865" spans="1:11">
      <c r="A865" s="11" t="s">
        <v>104</v>
      </c>
      <c r="B865" s="12" t="s">
        <v>105</v>
      </c>
      <c r="C865" s="12" t="s">
        <v>83</v>
      </c>
      <c r="D865" s="12" t="s">
        <v>58</v>
      </c>
      <c r="E865" s="12">
        <v>32</v>
      </c>
      <c r="F865" s="13">
        <v>41675</v>
      </c>
      <c r="G865" s="14">
        <v>203445</v>
      </c>
      <c r="H865" s="15">
        <v>0.34</v>
      </c>
      <c r="I865" s="12" t="s">
        <v>113</v>
      </c>
      <c r="J865" s="12" t="s">
        <v>114</v>
      </c>
      <c r="K865" s="17" t="s">
        <v>1121</v>
      </c>
    </row>
    <row r="866" spans="1:11">
      <c r="A866" s="11" t="s">
        <v>55</v>
      </c>
      <c r="B866" s="12" t="s">
        <v>94</v>
      </c>
      <c r="C866" s="12" t="s">
        <v>57</v>
      </c>
      <c r="D866" s="12" t="s">
        <v>58</v>
      </c>
      <c r="E866" s="12">
        <v>37</v>
      </c>
      <c r="F866" s="13">
        <v>40560</v>
      </c>
      <c r="G866" s="14">
        <v>131353</v>
      </c>
      <c r="H866" s="15">
        <v>0.11</v>
      </c>
      <c r="I866" s="12" t="s">
        <v>66</v>
      </c>
      <c r="J866" s="12" t="s">
        <v>101</v>
      </c>
      <c r="K866" s="17" t="s">
        <v>1121</v>
      </c>
    </row>
    <row r="867" spans="1:11">
      <c r="A867" s="11" t="s">
        <v>314</v>
      </c>
      <c r="B867" s="12" t="s">
        <v>56</v>
      </c>
      <c r="C867" s="12" t="s">
        <v>64</v>
      </c>
      <c r="D867" s="12" t="s">
        <v>65</v>
      </c>
      <c r="E867" s="12">
        <v>45</v>
      </c>
      <c r="F867" s="13">
        <v>40253</v>
      </c>
      <c r="G867" s="14">
        <v>88182</v>
      </c>
      <c r="H867" s="15">
        <v>0</v>
      </c>
      <c r="I867" s="12" t="s">
        <v>66</v>
      </c>
      <c r="J867" s="12" t="s">
        <v>138</v>
      </c>
      <c r="K867" s="17" t="s">
        <v>1121</v>
      </c>
    </row>
    <row r="868" spans="1:11">
      <c r="A868" s="11" t="s">
        <v>136</v>
      </c>
      <c r="B868" s="12" t="s">
        <v>56</v>
      </c>
      <c r="C868" s="12" t="s">
        <v>71</v>
      </c>
      <c r="D868" s="12" t="s">
        <v>65</v>
      </c>
      <c r="E868" s="12">
        <v>61</v>
      </c>
      <c r="F868" s="13">
        <v>43703</v>
      </c>
      <c r="G868" s="14">
        <v>75780</v>
      </c>
      <c r="H868" s="15">
        <v>0</v>
      </c>
      <c r="I868" s="12" t="s">
        <v>60</v>
      </c>
      <c r="J868" s="12" t="s">
        <v>61</v>
      </c>
      <c r="K868" s="17" t="s">
        <v>1121</v>
      </c>
    </row>
    <row r="869" spans="1:11">
      <c r="A869" s="11" t="s">
        <v>132</v>
      </c>
      <c r="B869" s="12" t="s">
        <v>82</v>
      </c>
      <c r="C869" s="12" t="s">
        <v>57</v>
      </c>
      <c r="D869" s="12" t="s">
        <v>58</v>
      </c>
      <c r="E869" s="12">
        <v>45</v>
      </c>
      <c r="F869" s="13">
        <v>43557</v>
      </c>
      <c r="G869" s="14">
        <v>52621</v>
      </c>
      <c r="H869" s="15">
        <v>0</v>
      </c>
      <c r="I869" s="12" t="s">
        <v>66</v>
      </c>
      <c r="J869" s="12" t="s">
        <v>126</v>
      </c>
      <c r="K869" s="17" t="s">
        <v>1121</v>
      </c>
    </row>
    <row r="870" spans="1:11">
      <c r="A870" s="11" t="s">
        <v>125</v>
      </c>
      <c r="B870" s="12" t="s">
        <v>98</v>
      </c>
      <c r="C870" s="12" t="s">
        <v>57</v>
      </c>
      <c r="D870" s="12" t="s">
        <v>65</v>
      </c>
      <c r="E870" s="12">
        <v>60</v>
      </c>
      <c r="F870" s="13">
        <v>43146</v>
      </c>
      <c r="G870" s="14">
        <v>106079</v>
      </c>
      <c r="H870" s="15">
        <v>0.14</v>
      </c>
      <c r="I870" s="12" t="s">
        <v>60</v>
      </c>
      <c r="J870" s="12" t="s">
        <v>91</v>
      </c>
      <c r="K870" s="17">
        <v>44295</v>
      </c>
    </row>
    <row r="871" spans="1:11">
      <c r="A871" s="11" t="s">
        <v>178</v>
      </c>
      <c r="B871" s="12" t="s">
        <v>56</v>
      </c>
      <c r="C871" s="12" t="s">
        <v>83</v>
      </c>
      <c r="D871" s="12" t="s">
        <v>65</v>
      </c>
      <c r="E871" s="12">
        <v>30</v>
      </c>
      <c r="F871" s="13">
        <v>42777</v>
      </c>
      <c r="G871" s="14">
        <v>92058</v>
      </c>
      <c r="H871" s="15">
        <v>0</v>
      </c>
      <c r="I871" s="12" t="s">
        <v>60</v>
      </c>
      <c r="J871" s="12" t="s">
        <v>91</v>
      </c>
      <c r="K871" s="17" t="s">
        <v>1121</v>
      </c>
    </row>
    <row r="872" spans="1:11">
      <c r="A872" s="11" t="s">
        <v>160</v>
      </c>
      <c r="B872" s="12" t="s">
        <v>98</v>
      </c>
      <c r="C872" s="12" t="s">
        <v>64</v>
      </c>
      <c r="D872" s="12" t="s">
        <v>65</v>
      </c>
      <c r="E872" s="12">
        <v>64</v>
      </c>
      <c r="F872" s="13">
        <v>43527</v>
      </c>
      <c r="G872" s="14">
        <v>67114</v>
      </c>
      <c r="H872" s="15">
        <v>0</v>
      </c>
      <c r="I872" s="12" t="s">
        <v>60</v>
      </c>
      <c r="J872" s="12" t="s">
        <v>79</v>
      </c>
      <c r="K872" s="17" t="s">
        <v>1121</v>
      </c>
    </row>
    <row r="873" spans="1:11">
      <c r="A873" s="11" t="s">
        <v>132</v>
      </c>
      <c r="B873" s="12" t="s">
        <v>70</v>
      </c>
      <c r="C873" s="12" t="s">
        <v>57</v>
      </c>
      <c r="D873" s="12" t="s">
        <v>58</v>
      </c>
      <c r="E873" s="12">
        <v>25</v>
      </c>
      <c r="F873" s="13">
        <v>44024</v>
      </c>
      <c r="G873" s="14">
        <v>56565</v>
      </c>
      <c r="H873" s="15">
        <v>0</v>
      </c>
      <c r="I873" s="12" t="s">
        <v>113</v>
      </c>
      <c r="J873" s="12" t="s">
        <v>184</v>
      </c>
      <c r="K873" s="17" t="s">
        <v>1121</v>
      </c>
    </row>
    <row r="874" spans="1:11">
      <c r="A874" s="11" t="s">
        <v>154</v>
      </c>
      <c r="B874" s="12" t="s">
        <v>94</v>
      </c>
      <c r="C874" s="12" t="s">
        <v>64</v>
      </c>
      <c r="D874" s="12" t="s">
        <v>58</v>
      </c>
      <c r="E874" s="12">
        <v>61</v>
      </c>
      <c r="F874" s="13">
        <v>40683</v>
      </c>
      <c r="G874" s="14">
        <v>64937</v>
      </c>
      <c r="H874" s="15">
        <v>0</v>
      </c>
      <c r="I874" s="12" t="s">
        <v>60</v>
      </c>
      <c r="J874" s="12" t="s">
        <v>79</v>
      </c>
      <c r="K874" s="17" t="s">
        <v>1121</v>
      </c>
    </row>
    <row r="875" spans="1:11">
      <c r="A875" s="11" t="s">
        <v>85</v>
      </c>
      <c r="B875" s="12" t="s">
        <v>105</v>
      </c>
      <c r="C875" s="12" t="s">
        <v>64</v>
      </c>
      <c r="D875" s="12" t="s">
        <v>58</v>
      </c>
      <c r="E875" s="12">
        <v>65</v>
      </c>
      <c r="F875" s="13">
        <v>38967</v>
      </c>
      <c r="G875" s="14">
        <v>127626</v>
      </c>
      <c r="H875" s="15">
        <v>0.1</v>
      </c>
      <c r="I875" s="12" t="s">
        <v>60</v>
      </c>
      <c r="J875" s="12" t="s">
        <v>88</v>
      </c>
      <c r="K875" s="17" t="s">
        <v>1121</v>
      </c>
    </row>
    <row r="876" spans="1:11">
      <c r="A876" s="11" t="s">
        <v>200</v>
      </c>
      <c r="B876" s="12" t="s">
        <v>56</v>
      </c>
      <c r="C876" s="12" t="s">
        <v>83</v>
      </c>
      <c r="D876" s="12" t="s">
        <v>65</v>
      </c>
      <c r="E876" s="12">
        <v>61</v>
      </c>
      <c r="F876" s="13">
        <v>38013</v>
      </c>
      <c r="G876" s="14">
        <v>88478</v>
      </c>
      <c r="H876" s="15">
        <v>0</v>
      </c>
      <c r="I876" s="12" t="s">
        <v>60</v>
      </c>
      <c r="J876" s="12" t="s">
        <v>91</v>
      </c>
      <c r="K876" s="17" t="s">
        <v>1121</v>
      </c>
    </row>
    <row r="877" spans="1:11">
      <c r="A877" s="11" t="s">
        <v>75</v>
      </c>
      <c r="B877" s="12" t="s">
        <v>56</v>
      </c>
      <c r="C877" s="12" t="s">
        <v>71</v>
      </c>
      <c r="D877" s="12" t="s">
        <v>58</v>
      </c>
      <c r="E877" s="12">
        <v>48</v>
      </c>
      <c r="F877" s="13">
        <v>41749</v>
      </c>
      <c r="G877" s="14">
        <v>91679</v>
      </c>
      <c r="H877" s="15">
        <v>0.07</v>
      </c>
      <c r="I877" s="12" t="s">
        <v>66</v>
      </c>
      <c r="J877" s="12" t="s">
        <v>67</v>
      </c>
      <c r="K877" s="17" t="s">
        <v>1121</v>
      </c>
    </row>
    <row r="878" spans="1:11">
      <c r="A878" s="11" t="s">
        <v>69</v>
      </c>
      <c r="B878" s="12" t="s">
        <v>82</v>
      </c>
      <c r="C878" s="12" t="s">
        <v>83</v>
      </c>
      <c r="D878" s="12" t="s">
        <v>65</v>
      </c>
      <c r="E878" s="12">
        <v>58</v>
      </c>
      <c r="F878" s="13">
        <v>33682</v>
      </c>
      <c r="G878" s="14">
        <v>199848</v>
      </c>
      <c r="H878" s="15">
        <v>0.16</v>
      </c>
      <c r="I878" s="12" t="s">
        <v>66</v>
      </c>
      <c r="J878" s="12" t="s">
        <v>67</v>
      </c>
      <c r="K878" s="17" t="s">
        <v>1121</v>
      </c>
    </row>
    <row r="879" spans="1:11">
      <c r="A879" s="11" t="s">
        <v>202</v>
      </c>
      <c r="B879" s="12" t="s">
        <v>56</v>
      </c>
      <c r="C879" s="12" t="s">
        <v>64</v>
      </c>
      <c r="D879" s="12" t="s">
        <v>65</v>
      </c>
      <c r="E879" s="12">
        <v>34</v>
      </c>
      <c r="F879" s="13">
        <v>43414</v>
      </c>
      <c r="G879" s="14">
        <v>61944</v>
      </c>
      <c r="H879" s="15">
        <v>0</v>
      </c>
      <c r="I879" s="12" t="s">
        <v>66</v>
      </c>
      <c r="J879" s="12" t="s">
        <v>101</v>
      </c>
      <c r="K879" s="17" t="s">
        <v>1121</v>
      </c>
    </row>
    <row r="880" spans="1:11">
      <c r="A880" s="11" t="s">
        <v>55</v>
      </c>
      <c r="B880" s="12" t="s">
        <v>82</v>
      </c>
      <c r="C880" s="12" t="s">
        <v>71</v>
      </c>
      <c r="D880" s="12" t="s">
        <v>58</v>
      </c>
      <c r="E880" s="12">
        <v>30</v>
      </c>
      <c r="F880" s="13">
        <v>42960</v>
      </c>
      <c r="G880" s="14">
        <v>154624</v>
      </c>
      <c r="H880" s="15">
        <v>0.15</v>
      </c>
      <c r="I880" s="12" t="s">
        <v>60</v>
      </c>
      <c r="J880" s="12" t="s">
        <v>91</v>
      </c>
      <c r="K880" s="17" t="s">
        <v>1121</v>
      </c>
    </row>
    <row r="881" spans="1:11">
      <c r="A881" s="11" t="s">
        <v>78</v>
      </c>
      <c r="B881" s="12" t="s">
        <v>90</v>
      </c>
      <c r="C881" s="12" t="s">
        <v>57</v>
      </c>
      <c r="D881" s="12" t="s">
        <v>65</v>
      </c>
      <c r="E881" s="12">
        <v>50</v>
      </c>
      <c r="F881" s="13">
        <v>40109</v>
      </c>
      <c r="G881" s="14">
        <v>79447</v>
      </c>
      <c r="H881" s="15">
        <v>0</v>
      </c>
      <c r="I881" s="12" t="s">
        <v>66</v>
      </c>
      <c r="J881" s="12" t="s">
        <v>101</v>
      </c>
      <c r="K881" s="17" t="s">
        <v>1121</v>
      </c>
    </row>
    <row r="882" spans="1:11">
      <c r="A882" s="11" t="s">
        <v>78</v>
      </c>
      <c r="B882" s="12" t="s">
        <v>82</v>
      </c>
      <c r="C882" s="12" t="s">
        <v>64</v>
      </c>
      <c r="D882" s="12" t="s">
        <v>65</v>
      </c>
      <c r="E882" s="12">
        <v>51</v>
      </c>
      <c r="F882" s="13">
        <v>35852</v>
      </c>
      <c r="G882" s="14">
        <v>71111</v>
      </c>
      <c r="H882" s="15">
        <v>0</v>
      </c>
      <c r="I882" s="12" t="s">
        <v>113</v>
      </c>
      <c r="J882" s="12" t="s">
        <v>117</v>
      </c>
      <c r="K882" s="17" t="s">
        <v>1121</v>
      </c>
    </row>
    <row r="883" spans="1:11">
      <c r="A883" s="11" t="s">
        <v>55</v>
      </c>
      <c r="B883" s="12" t="s">
        <v>82</v>
      </c>
      <c r="C883" s="12" t="s">
        <v>57</v>
      </c>
      <c r="D883" s="12" t="s">
        <v>65</v>
      </c>
      <c r="E883" s="12">
        <v>53</v>
      </c>
      <c r="F883" s="13">
        <v>41931</v>
      </c>
      <c r="G883" s="14">
        <v>159538</v>
      </c>
      <c r="H883" s="15">
        <v>0.11</v>
      </c>
      <c r="I883" s="12" t="s">
        <v>60</v>
      </c>
      <c r="J883" s="12" t="s">
        <v>88</v>
      </c>
      <c r="K883" s="17" t="s">
        <v>1121</v>
      </c>
    </row>
    <row r="884" spans="1:11">
      <c r="A884" s="11" t="s">
        <v>97</v>
      </c>
      <c r="B884" s="12" t="s">
        <v>98</v>
      </c>
      <c r="C884" s="12" t="s">
        <v>83</v>
      </c>
      <c r="D884" s="12" t="s">
        <v>58</v>
      </c>
      <c r="E884" s="12">
        <v>47</v>
      </c>
      <c r="F884" s="13">
        <v>43375</v>
      </c>
      <c r="G884" s="14">
        <v>111404</v>
      </c>
      <c r="H884" s="15">
        <v>0</v>
      </c>
      <c r="I884" s="12" t="s">
        <v>113</v>
      </c>
      <c r="J884" s="12" t="s">
        <v>117</v>
      </c>
      <c r="K884" s="17" t="s">
        <v>1121</v>
      </c>
    </row>
    <row r="885" spans="1:11">
      <c r="A885" s="11" t="s">
        <v>69</v>
      </c>
      <c r="B885" s="12" t="s">
        <v>105</v>
      </c>
      <c r="C885" s="12" t="s">
        <v>71</v>
      </c>
      <c r="D885" s="12" t="s">
        <v>65</v>
      </c>
      <c r="E885" s="12">
        <v>25</v>
      </c>
      <c r="F885" s="13">
        <v>44058</v>
      </c>
      <c r="G885" s="14">
        <v>172007</v>
      </c>
      <c r="H885" s="15">
        <v>0.26</v>
      </c>
      <c r="I885" s="12" t="s">
        <v>60</v>
      </c>
      <c r="J885" s="12" t="s">
        <v>88</v>
      </c>
      <c r="K885" s="17" t="s">
        <v>1121</v>
      </c>
    </row>
    <row r="886" spans="1:11">
      <c r="A886" s="11" t="s">
        <v>104</v>
      </c>
      <c r="B886" s="12" t="s">
        <v>105</v>
      </c>
      <c r="C886" s="12" t="s">
        <v>64</v>
      </c>
      <c r="D886" s="12" t="s">
        <v>58</v>
      </c>
      <c r="E886" s="12">
        <v>37</v>
      </c>
      <c r="F886" s="13">
        <v>40745</v>
      </c>
      <c r="G886" s="14">
        <v>219474</v>
      </c>
      <c r="H886" s="15">
        <v>0.36</v>
      </c>
      <c r="I886" s="12" t="s">
        <v>113</v>
      </c>
      <c r="J886" s="12" t="s">
        <v>114</v>
      </c>
      <c r="K886" s="17" t="s">
        <v>1121</v>
      </c>
    </row>
    <row r="887" spans="1:11">
      <c r="A887" s="11" t="s">
        <v>69</v>
      </c>
      <c r="B887" s="12" t="s">
        <v>70</v>
      </c>
      <c r="C887" s="12" t="s">
        <v>83</v>
      </c>
      <c r="D887" s="12" t="s">
        <v>65</v>
      </c>
      <c r="E887" s="12">
        <v>41</v>
      </c>
      <c r="F887" s="13">
        <v>43600</v>
      </c>
      <c r="G887" s="14">
        <v>174415</v>
      </c>
      <c r="H887" s="15">
        <v>0.23</v>
      </c>
      <c r="I887" s="12" t="s">
        <v>60</v>
      </c>
      <c r="J887" s="12" t="s">
        <v>88</v>
      </c>
      <c r="K887" s="17" t="s">
        <v>1121</v>
      </c>
    </row>
    <row r="888" spans="1:11">
      <c r="A888" s="11" t="s">
        <v>200</v>
      </c>
      <c r="B888" s="12" t="s">
        <v>56</v>
      </c>
      <c r="C888" s="12" t="s">
        <v>71</v>
      </c>
      <c r="D888" s="12" t="s">
        <v>58</v>
      </c>
      <c r="E888" s="12">
        <v>36</v>
      </c>
      <c r="F888" s="13">
        <v>44217</v>
      </c>
      <c r="G888" s="14">
        <v>90333</v>
      </c>
      <c r="H888" s="15">
        <v>0</v>
      </c>
      <c r="I888" s="12" t="s">
        <v>113</v>
      </c>
      <c r="J888" s="12" t="s">
        <v>117</v>
      </c>
      <c r="K888" s="17" t="s">
        <v>1121</v>
      </c>
    </row>
    <row r="889" spans="1:11">
      <c r="A889" s="11" t="s">
        <v>154</v>
      </c>
      <c r="B889" s="12" t="s">
        <v>94</v>
      </c>
      <c r="C889" s="12" t="s">
        <v>71</v>
      </c>
      <c r="D889" s="12" t="s">
        <v>65</v>
      </c>
      <c r="E889" s="12">
        <v>25</v>
      </c>
      <c r="F889" s="13">
        <v>44217</v>
      </c>
      <c r="G889" s="14">
        <v>67299</v>
      </c>
      <c r="H889" s="15">
        <v>0</v>
      </c>
      <c r="I889" s="12" t="s">
        <v>60</v>
      </c>
      <c r="J889" s="12" t="s">
        <v>79</v>
      </c>
      <c r="K889" s="17" t="s">
        <v>1121</v>
      </c>
    </row>
    <row r="890" spans="1:11">
      <c r="A890" s="11" t="s">
        <v>244</v>
      </c>
      <c r="B890" s="12" t="s">
        <v>56</v>
      </c>
      <c r="C890" s="12" t="s">
        <v>57</v>
      </c>
      <c r="D890" s="12" t="s">
        <v>58</v>
      </c>
      <c r="E890" s="12">
        <v>52</v>
      </c>
      <c r="F890" s="13">
        <v>38406</v>
      </c>
      <c r="G890" s="14">
        <v>45286</v>
      </c>
      <c r="H890" s="15">
        <v>0</v>
      </c>
      <c r="I890" s="12" t="s">
        <v>60</v>
      </c>
      <c r="J890" s="12" t="s">
        <v>73</v>
      </c>
      <c r="K890" s="17" t="s">
        <v>1121</v>
      </c>
    </row>
    <row r="891" spans="1:11">
      <c r="A891" s="11" t="s">
        <v>69</v>
      </c>
      <c r="B891" s="12" t="s">
        <v>105</v>
      </c>
      <c r="C891" s="12" t="s">
        <v>57</v>
      </c>
      <c r="D891" s="12" t="s">
        <v>65</v>
      </c>
      <c r="E891" s="12">
        <v>48</v>
      </c>
      <c r="F891" s="13">
        <v>39302</v>
      </c>
      <c r="G891" s="14">
        <v>194723</v>
      </c>
      <c r="H891" s="15">
        <v>0.25</v>
      </c>
      <c r="I891" s="12" t="s">
        <v>60</v>
      </c>
      <c r="J891" s="12" t="s">
        <v>79</v>
      </c>
      <c r="K891" s="17" t="s">
        <v>1121</v>
      </c>
    </row>
    <row r="892" spans="1:11">
      <c r="A892" s="11" t="s">
        <v>85</v>
      </c>
      <c r="B892" s="12" t="s">
        <v>82</v>
      </c>
      <c r="C892" s="12" t="s">
        <v>57</v>
      </c>
      <c r="D892" s="12" t="s">
        <v>65</v>
      </c>
      <c r="E892" s="12">
        <v>49</v>
      </c>
      <c r="F892" s="13">
        <v>41131</v>
      </c>
      <c r="G892" s="14">
        <v>109850</v>
      </c>
      <c r="H892" s="15">
        <v>0.07</v>
      </c>
      <c r="I892" s="12" t="s">
        <v>66</v>
      </c>
      <c r="J892" s="12" t="s">
        <v>126</v>
      </c>
      <c r="K892" s="17">
        <v>43865</v>
      </c>
    </row>
    <row r="893" spans="1:11">
      <c r="A893" s="11" t="s">
        <v>166</v>
      </c>
      <c r="B893" s="12" t="s">
        <v>94</v>
      </c>
      <c r="C893" s="12" t="s">
        <v>57</v>
      </c>
      <c r="D893" s="12" t="s">
        <v>58</v>
      </c>
      <c r="E893" s="12">
        <v>62</v>
      </c>
      <c r="F893" s="13">
        <v>41748</v>
      </c>
      <c r="G893" s="14">
        <v>45295</v>
      </c>
      <c r="H893" s="15">
        <v>0</v>
      </c>
      <c r="I893" s="12" t="s">
        <v>113</v>
      </c>
      <c r="J893" s="12" t="s">
        <v>184</v>
      </c>
      <c r="K893" s="17" t="s">
        <v>1121</v>
      </c>
    </row>
    <row r="894" spans="1:11">
      <c r="A894" s="11" t="s">
        <v>326</v>
      </c>
      <c r="B894" s="12" t="s">
        <v>56</v>
      </c>
      <c r="C894" s="12" t="s">
        <v>64</v>
      </c>
      <c r="D894" s="12" t="s">
        <v>58</v>
      </c>
      <c r="E894" s="12">
        <v>36</v>
      </c>
      <c r="F894" s="13">
        <v>40413</v>
      </c>
      <c r="G894" s="14">
        <v>61310</v>
      </c>
      <c r="H894" s="15">
        <v>0</v>
      </c>
      <c r="I894" s="12" t="s">
        <v>60</v>
      </c>
      <c r="J894" s="12" t="s">
        <v>79</v>
      </c>
      <c r="K894" s="17" t="s">
        <v>1121</v>
      </c>
    </row>
    <row r="895" spans="1:11">
      <c r="A895" s="11" t="s">
        <v>228</v>
      </c>
      <c r="B895" s="12" t="s">
        <v>56</v>
      </c>
      <c r="C895" s="12" t="s">
        <v>57</v>
      </c>
      <c r="D895" s="12" t="s">
        <v>65</v>
      </c>
      <c r="E895" s="12">
        <v>55</v>
      </c>
      <c r="F895" s="13">
        <v>42683</v>
      </c>
      <c r="G895" s="14">
        <v>87851</v>
      </c>
      <c r="H895" s="15">
        <v>0</v>
      </c>
      <c r="I895" s="12" t="s">
        <v>66</v>
      </c>
      <c r="J895" s="12" t="s">
        <v>67</v>
      </c>
      <c r="K895" s="17" t="s">
        <v>1121</v>
      </c>
    </row>
    <row r="896" spans="1:11">
      <c r="A896" s="11" t="s">
        <v>166</v>
      </c>
      <c r="B896" s="12" t="s">
        <v>94</v>
      </c>
      <c r="C896" s="12" t="s">
        <v>71</v>
      </c>
      <c r="D896" s="12" t="s">
        <v>58</v>
      </c>
      <c r="E896" s="12">
        <v>31</v>
      </c>
      <c r="F896" s="13">
        <v>43171</v>
      </c>
      <c r="G896" s="14">
        <v>47913</v>
      </c>
      <c r="H896" s="15">
        <v>0</v>
      </c>
      <c r="I896" s="12" t="s">
        <v>60</v>
      </c>
      <c r="J896" s="12" t="s">
        <v>61</v>
      </c>
      <c r="K896" s="17" t="s">
        <v>1121</v>
      </c>
    </row>
    <row r="897" spans="1:11">
      <c r="A897" s="11" t="s">
        <v>166</v>
      </c>
      <c r="B897" s="12" t="s">
        <v>94</v>
      </c>
      <c r="C897" s="12" t="s">
        <v>71</v>
      </c>
      <c r="D897" s="12" t="s">
        <v>58</v>
      </c>
      <c r="E897" s="12">
        <v>53</v>
      </c>
      <c r="F897" s="13">
        <v>42985</v>
      </c>
      <c r="G897" s="14">
        <v>46727</v>
      </c>
      <c r="H897" s="15">
        <v>0</v>
      </c>
      <c r="I897" s="12" t="s">
        <v>60</v>
      </c>
      <c r="J897" s="12" t="s">
        <v>110</v>
      </c>
      <c r="K897" s="17">
        <v>43251</v>
      </c>
    </row>
    <row r="898" spans="1:11">
      <c r="A898" s="11" t="s">
        <v>55</v>
      </c>
      <c r="B898" s="12" t="s">
        <v>94</v>
      </c>
      <c r="C898" s="12" t="s">
        <v>71</v>
      </c>
      <c r="D898" s="12" t="s">
        <v>65</v>
      </c>
      <c r="E898" s="12">
        <v>27</v>
      </c>
      <c r="F898" s="13">
        <v>44302</v>
      </c>
      <c r="G898" s="14">
        <v>133400</v>
      </c>
      <c r="H898" s="15">
        <v>0.11</v>
      </c>
      <c r="I898" s="12" t="s">
        <v>60</v>
      </c>
      <c r="J898" s="12" t="s">
        <v>79</v>
      </c>
      <c r="K898" s="17" t="s">
        <v>1121</v>
      </c>
    </row>
    <row r="899" spans="1:11">
      <c r="A899" s="11" t="s">
        <v>266</v>
      </c>
      <c r="B899" s="12" t="s">
        <v>56</v>
      </c>
      <c r="C899" s="12" t="s">
        <v>71</v>
      </c>
      <c r="D899" s="12" t="s">
        <v>58</v>
      </c>
      <c r="E899" s="12">
        <v>39</v>
      </c>
      <c r="F899" s="13">
        <v>43943</v>
      </c>
      <c r="G899" s="14">
        <v>90535</v>
      </c>
      <c r="H899" s="15">
        <v>0</v>
      </c>
      <c r="I899" s="12" t="s">
        <v>60</v>
      </c>
      <c r="J899" s="12" t="s">
        <v>88</v>
      </c>
      <c r="K899" s="17" t="s">
        <v>1121</v>
      </c>
    </row>
    <row r="900" spans="1:11">
      <c r="A900" s="11" t="s">
        <v>78</v>
      </c>
      <c r="B900" s="12" t="s">
        <v>105</v>
      </c>
      <c r="C900" s="12" t="s">
        <v>71</v>
      </c>
      <c r="D900" s="12" t="s">
        <v>65</v>
      </c>
      <c r="E900" s="12">
        <v>55</v>
      </c>
      <c r="F900" s="13">
        <v>38909</v>
      </c>
      <c r="G900" s="14">
        <v>93343</v>
      </c>
      <c r="H900" s="15">
        <v>0</v>
      </c>
      <c r="I900" s="12" t="s">
        <v>66</v>
      </c>
      <c r="J900" s="12" t="s">
        <v>67</v>
      </c>
      <c r="K900" s="17" t="s">
        <v>1121</v>
      </c>
    </row>
    <row r="901" spans="1:11">
      <c r="A901" s="11" t="s">
        <v>154</v>
      </c>
      <c r="B901" s="12" t="s">
        <v>94</v>
      </c>
      <c r="C901" s="12" t="s">
        <v>83</v>
      </c>
      <c r="D901" s="12" t="s">
        <v>58</v>
      </c>
      <c r="E901" s="12">
        <v>44</v>
      </c>
      <c r="F901" s="13">
        <v>38771</v>
      </c>
      <c r="G901" s="14">
        <v>63705</v>
      </c>
      <c r="H901" s="15">
        <v>0</v>
      </c>
      <c r="I901" s="12" t="s">
        <v>60</v>
      </c>
      <c r="J901" s="12" t="s">
        <v>88</v>
      </c>
      <c r="K901" s="17" t="s">
        <v>1121</v>
      </c>
    </row>
    <row r="902" spans="1:11">
      <c r="A902" s="11" t="s">
        <v>104</v>
      </c>
      <c r="B902" s="12" t="s">
        <v>82</v>
      </c>
      <c r="C902" s="12" t="s">
        <v>83</v>
      </c>
      <c r="D902" s="12" t="s">
        <v>65</v>
      </c>
      <c r="E902" s="12">
        <v>48</v>
      </c>
      <c r="F902" s="13">
        <v>36584</v>
      </c>
      <c r="G902" s="14">
        <v>258081</v>
      </c>
      <c r="H902" s="15">
        <v>0.3</v>
      </c>
      <c r="I902" s="12" t="s">
        <v>60</v>
      </c>
      <c r="J902" s="12" t="s">
        <v>73</v>
      </c>
      <c r="K902" s="17" t="s">
        <v>1121</v>
      </c>
    </row>
    <row r="903" spans="1:11">
      <c r="A903" s="11" t="s">
        <v>166</v>
      </c>
      <c r="B903" s="12" t="s">
        <v>94</v>
      </c>
      <c r="C903" s="12" t="s">
        <v>57</v>
      </c>
      <c r="D903" s="12" t="s">
        <v>65</v>
      </c>
      <c r="E903" s="12">
        <v>48</v>
      </c>
      <c r="F903" s="13">
        <v>44095</v>
      </c>
      <c r="G903" s="14">
        <v>54654</v>
      </c>
      <c r="H903" s="15">
        <v>0</v>
      </c>
      <c r="I903" s="12" t="s">
        <v>60</v>
      </c>
      <c r="J903" s="12" t="s">
        <v>79</v>
      </c>
      <c r="K903" s="17" t="s">
        <v>1121</v>
      </c>
    </row>
    <row r="904" spans="1:11">
      <c r="A904" s="11" t="s">
        <v>87</v>
      </c>
      <c r="B904" s="12" t="s">
        <v>82</v>
      </c>
      <c r="C904" s="12" t="s">
        <v>64</v>
      </c>
      <c r="D904" s="12" t="s">
        <v>65</v>
      </c>
      <c r="E904" s="12">
        <v>54</v>
      </c>
      <c r="F904" s="13">
        <v>36062</v>
      </c>
      <c r="G904" s="14">
        <v>58006</v>
      </c>
      <c r="H904" s="15">
        <v>0</v>
      </c>
      <c r="I904" s="12" t="s">
        <v>60</v>
      </c>
      <c r="J904" s="12" t="s">
        <v>61</v>
      </c>
      <c r="K904" s="17" t="s">
        <v>1121</v>
      </c>
    </row>
    <row r="905" spans="1:11">
      <c r="A905" s="11" t="s">
        <v>55</v>
      </c>
      <c r="B905" s="12" t="s">
        <v>70</v>
      </c>
      <c r="C905" s="12" t="s">
        <v>64</v>
      </c>
      <c r="D905" s="12" t="s">
        <v>58</v>
      </c>
      <c r="E905" s="12">
        <v>42</v>
      </c>
      <c r="F905" s="13">
        <v>40620</v>
      </c>
      <c r="G905" s="14">
        <v>150034</v>
      </c>
      <c r="H905" s="15">
        <v>0.12</v>
      </c>
      <c r="I905" s="12" t="s">
        <v>66</v>
      </c>
      <c r="J905" s="12" t="s">
        <v>126</v>
      </c>
      <c r="K905" s="17" t="s">
        <v>1121</v>
      </c>
    </row>
    <row r="906" spans="1:11">
      <c r="A906" s="11" t="s">
        <v>69</v>
      </c>
      <c r="B906" s="12" t="s">
        <v>94</v>
      </c>
      <c r="C906" s="12" t="s">
        <v>71</v>
      </c>
      <c r="D906" s="12" t="s">
        <v>58</v>
      </c>
      <c r="E906" s="12">
        <v>38</v>
      </c>
      <c r="F906" s="13">
        <v>39232</v>
      </c>
      <c r="G906" s="14">
        <v>198562</v>
      </c>
      <c r="H906" s="15">
        <v>0.22</v>
      </c>
      <c r="I906" s="12" t="s">
        <v>60</v>
      </c>
      <c r="J906" s="12" t="s">
        <v>61</v>
      </c>
      <c r="K906" s="17" t="s">
        <v>1121</v>
      </c>
    </row>
    <row r="907" spans="1:11">
      <c r="A907" s="11" t="s">
        <v>81</v>
      </c>
      <c r="B907" s="12" t="s">
        <v>82</v>
      </c>
      <c r="C907" s="12" t="s">
        <v>57</v>
      </c>
      <c r="D907" s="12" t="s">
        <v>58</v>
      </c>
      <c r="E907" s="12">
        <v>40</v>
      </c>
      <c r="F907" s="13">
        <v>39960</v>
      </c>
      <c r="G907" s="14">
        <v>62411</v>
      </c>
      <c r="H907" s="15">
        <v>0</v>
      </c>
      <c r="I907" s="12" t="s">
        <v>60</v>
      </c>
      <c r="J907" s="12" t="s">
        <v>88</v>
      </c>
      <c r="K907" s="17">
        <v>44422</v>
      </c>
    </row>
    <row r="908" spans="1:11">
      <c r="A908" s="11" t="s">
        <v>125</v>
      </c>
      <c r="B908" s="12" t="s">
        <v>98</v>
      </c>
      <c r="C908" s="12" t="s">
        <v>57</v>
      </c>
      <c r="D908" s="12" t="s">
        <v>65</v>
      </c>
      <c r="E908" s="12">
        <v>57</v>
      </c>
      <c r="F908" s="13">
        <v>33612</v>
      </c>
      <c r="G908" s="14">
        <v>111299</v>
      </c>
      <c r="H908" s="15">
        <v>0.12</v>
      </c>
      <c r="I908" s="12" t="s">
        <v>60</v>
      </c>
      <c r="J908" s="12" t="s">
        <v>88</v>
      </c>
      <c r="K908" s="17" t="s">
        <v>1121</v>
      </c>
    </row>
    <row r="909" spans="1:11">
      <c r="A909" s="11" t="s">
        <v>87</v>
      </c>
      <c r="B909" s="12" t="s">
        <v>105</v>
      </c>
      <c r="C909" s="12" t="s">
        <v>57</v>
      </c>
      <c r="D909" s="12" t="s">
        <v>58</v>
      </c>
      <c r="E909" s="12">
        <v>43</v>
      </c>
      <c r="F909" s="13">
        <v>43659</v>
      </c>
      <c r="G909" s="14">
        <v>41545</v>
      </c>
      <c r="H909" s="15">
        <v>0</v>
      </c>
      <c r="I909" s="12" t="s">
        <v>60</v>
      </c>
      <c r="J909" s="12" t="s">
        <v>88</v>
      </c>
      <c r="K909" s="17" t="s">
        <v>1121</v>
      </c>
    </row>
    <row r="910" spans="1:11">
      <c r="A910" s="11" t="s">
        <v>202</v>
      </c>
      <c r="B910" s="12" t="s">
        <v>56</v>
      </c>
      <c r="C910" s="12" t="s">
        <v>64</v>
      </c>
      <c r="D910" s="12" t="s">
        <v>65</v>
      </c>
      <c r="E910" s="12">
        <v>26</v>
      </c>
      <c r="F910" s="13">
        <v>43569</v>
      </c>
      <c r="G910" s="14">
        <v>74467</v>
      </c>
      <c r="H910" s="15">
        <v>0</v>
      </c>
      <c r="I910" s="12" t="s">
        <v>60</v>
      </c>
      <c r="J910" s="12" t="s">
        <v>110</v>
      </c>
      <c r="K910" s="17">
        <v>44211</v>
      </c>
    </row>
    <row r="911" spans="1:11">
      <c r="A911" s="11" t="s">
        <v>85</v>
      </c>
      <c r="B911" s="12" t="s">
        <v>90</v>
      </c>
      <c r="C911" s="12" t="s">
        <v>57</v>
      </c>
      <c r="D911" s="12" t="s">
        <v>65</v>
      </c>
      <c r="E911" s="12">
        <v>44</v>
      </c>
      <c r="F911" s="13">
        <v>37296</v>
      </c>
      <c r="G911" s="14">
        <v>117545</v>
      </c>
      <c r="H911" s="15">
        <v>0.06</v>
      </c>
      <c r="I911" s="12" t="s">
        <v>60</v>
      </c>
      <c r="J911" s="12" t="s">
        <v>79</v>
      </c>
      <c r="K911" s="17" t="s">
        <v>1121</v>
      </c>
    </row>
    <row r="912" spans="1:11">
      <c r="A912" s="11" t="s">
        <v>85</v>
      </c>
      <c r="B912" s="12" t="s">
        <v>94</v>
      </c>
      <c r="C912" s="12" t="s">
        <v>71</v>
      </c>
      <c r="D912" s="12" t="s">
        <v>65</v>
      </c>
      <c r="E912" s="12">
        <v>50</v>
      </c>
      <c r="F912" s="13">
        <v>40983</v>
      </c>
      <c r="G912" s="14">
        <v>117226</v>
      </c>
      <c r="H912" s="15">
        <v>0.08</v>
      </c>
      <c r="I912" s="12" t="s">
        <v>60</v>
      </c>
      <c r="J912" s="12" t="s">
        <v>79</v>
      </c>
      <c r="K912" s="17" t="s">
        <v>1121</v>
      </c>
    </row>
    <row r="913" spans="1:11">
      <c r="A913" s="11" t="s">
        <v>87</v>
      </c>
      <c r="B913" s="12" t="s">
        <v>90</v>
      </c>
      <c r="C913" s="12" t="s">
        <v>83</v>
      </c>
      <c r="D913" s="12" t="s">
        <v>58</v>
      </c>
      <c r="E913" s="12">
        <v>26</v>
      </c>
      <c r="F913" s="13">
        <v>43489</v>
      </c>
      <c r="G913" s="14">
        <v>55767</v>
      </c>
      <c r="H913" s="15">
        <v>0</v>
      </c>
      <c r="I913" s="12" t="s">
        <v>60</v>
      </c>
      <c r="J913" s="12" t="s">
        <v>79</v>
      </c>
      <c r="K913" s="17" t="s">
        <v>1121</v>
      </c>
    </row>
    <row r="914" spans="1:11">
      <c r="A914" s="11" t="s">
        <v>132</v>
      </c>
      <c r="B914" s="12" t="s">
        <v>82</v>
      </c>
      <c r="C914" s="12" t="s">
        <v>64</v>
      </c>
      <c r="D914" s="12" t="s">
        <v>58</v>
      </c>
      <c r="E914" s="12">
        <v>29</v>
      </c>
      <c r="F914" s="13">
        <v>42691</v>
      </c>
      <c r="G914" s="14">
        <v>60930</v>
      </c>
      <c r="H914" s="15">
        <v>0</v>
      </c>
      <c r="I914" s="12" t="s">
        <v>60</v>
      </c>
      <c r="J914" s="12" t="s">
        <v>91</v>
      </c>
      <c r="K914" s="17" t="s">
        <v>1121</v>
      </c>
    </row>
    <row r="915" spans="1:11">
      <c r="A915" s="11" t="s">
        <v>69</v>
      </c>
      <c r="B915" s="12" t="s">
        <v>82</v>
      </c>
      <c r="C915" s="12" t="s">
        <v>71</v>
      </c>
      <c r="D915" s="12" t="s">
        <v>58</v>
      </c>
      <c r="E915" s="12">
        <v>27</v>
      </c>
      <c r="F915" s="13">
        <v>43397</v>
      </c>
      <c r="G915" s="14">
        <v>154973</v>
      </c>
      <c r="H915" s="15">
        <v>0.29</v>
      </c>
      <c r="I915" s="12" t="s">
        <v>113</v>
      </c>
      <c r="J915" s="12" t="s">
        <v>184</v>
      </c>
      <c r="K915" s="17" t="s">
        <v>1121</v>
      </c>
    </row>
    <row r="916" spans="1:11">
      <c r="A916" s="11" t="s">
        <v>178</v>
      </c>
      <c r="B916" s="12" t="s">
        <v>56</v>
      </c>
      <c r="C916" s="12" t="s">
        <v>64</v>
      </c>
      <c r="D916" s="12" t="s">
        <v>58</v>
      </c>
      <c r="E916" s="12">
        <v>33</v>
      </c>
      <c r="F916" s="13">
        <v>43029</v>
      </c>
      <c r="G916" s="14">
        <v>69332</v>
      </c>
      <c r="H916" s="15">
        <v>0</v>
      </c>
      <c r="I916" s="12" t="s">
        <v>60</v>
      </c>
      <c r="J916" s="12" t="s">
        <v>110</v>
      </c>
      <c r="K916" s="17" t="s">
        <v>1121</v>
      </c>
    </row>
    <row r="917" spans="1:11">
      <c r="A917" s="11" t="s">
        <v>97</v>
      </c>
      <c r="B917" s="12" t="s">
        <v>98</v>
      </c>
      <c r="C917" s="12" t="s">
        <v>57</v>
      </c>
      <c r="D917" s="12" t="s">
        <v>58</v>
      </c>
      <c r="E917" s="12">
        <v>59</v>
      </c>
      <c r="F917" s="13">
        <v>36990</v>
      </c>
      <c r="G917" s="14">
        <v>119699</v>
      </c>
      <c r="H917" s="15">
        <v>0</v>
      </c>
      <c r="I917" s="12" t="s">
        <v>66</v>
      </c>
      <c r="J917" s="12" t="s">
        <v>101</v>
      </c>
      <c r="K917" s="17" t="s">
        <v>1121</v>
      </c>
    </row>
    <row r="918" spans="1:11">
      <c r="A918" s="11" t="s">
        <v>69</v>
      </c>
      <c r="B918" s="12" t="s">
        <v>94</v>
      </c>
      <c r="C918" s="12" t="s">
        <v>71</v>
      </c>
      <c r="D918" s="12" t="s">
        <v>58</v>
      </c>
      <c r="E918" s="12">
        <v>40</v>
      </c>
      <c r="F918" s="13">
        <v>44094</v>
      </c>
      <c r="G918" s="14">
        <v>198176</v>
      </c>
      <c r="H918" s="15">
        <v>0.17</v>
      </c>
      <c r="I918" s="12" t="s">
        <v>113</v>
      </c>
      <c r="J918" s="12" t="s">
        <v>114</v>
      </c>
      <c r="K918" s="17" t="s">
        <v>1121</v>
      </c>
    </row>
    <row r="919" spans="1:11">
      <c r="A919" s="11" t="s">
        <v>132</v>
      </c>
      <c r="B919" s="12" t="s">
        <v>70</v>
      </c>
      <c r="C919" s="12" t="s">
        <v>57</v>
      </c>
      <c r="D919" s="12" t="s">
        <v>58</v>
      </c>
      <c r="E919" s="12">
        <v>45</v>
      </c>
      <c r="F919" s="13">
        <v>41127</v>
      </c>
      <c r="G919" s="14">
        <v>58586</v>
      </c>
      <c r="H919" s="15">
        <v>0</v>
      </c>
      <c r="I919" s="12" t="s">
        <v>113</v>
      </c>
      <c r="J919" s="12" t="s">
        <v>184</v>
      </c>
      <c r="K919" s="17" t="s">
        <v>1121</v>
      </c>
    </row>
    <row r="920" spans="1:11">
      <c r="A920" s="11" t="s">
        <v>225</v>
      </c>
      <c r="B920" s="12" t="s">
        <v>82</v>
      </c>
      <c r="C920" s="12" t="s">
        <v>83</v>
      </c>
      <c r="D920" s="12" t="s">
        <v>65</v>
      </c>
      <c r="E920" s="12">
        <v>38</v>
      </c>
      <c r="F920" s="13">
        <v>40875</v>
      </c>
      <c r="G920" s="14">
        <v>74010</v>
      </c>
      <c r="H920" s="15">
        <v>0</v>
      </c>
      <c r="I920" s="12" t="s">
        <v>60</v>
      </c>
      <c r="J920" s="12" t="s">
        <v>73</v>
      </c>
      <c r="K920" s="17" t="s">
        <v>1121</v>
      </c>
    </row>
    <row r="921" spans="1:11">
      <c r="A921" s="11" t="s">
        <v>225</v>
      </c>
      <c r="B921" s="12" t="s">
        <v>82</v>
      </c>
      <c r="C921" s="12" t="s">
        <v>71</v>
      </c>
      <c r="D921" s="12" t="s">
        <v>65</v>
      </c>
      <c r="E921" s="12">
        <v>32</v>
      </c>
      <c r="F921" s="13">
        <v>43864</v>
      </c>
      <c r="G921" s="14">
        <v>96598</v>
      </c>
      <c r="H921" s="15">
        <v>0</v>
      </c>
      <c r="I921" s="12" t="s">
        <v>60</v>
      </c>
      <c r="J921" s="12" t="s">
        <v>79</v>
      </c>
      <c r="K921" s="17" t="s">
        <v>1121</v>
      </c>
    </row>
    <row r="922" spans="1:11">
      <c r="A922" s="11" t="s">
        <v>85</v>
      </c>
      <c r="B922" s="12" t="s">
        <v>82</v>
      </c>
      <c r="C922" s="12" t="s">
        <v>71</v>
      </c>
      <c r="D922" s="12" t="s">
        <v>58</v>
      </c>
      <c r="E922" s="12">
        <v>64</v>
      </c>
      <c r="F922" s="13">
        <v>37762</v>
      </c>
      <c r="G922" s="14">
        <v>106444</v>
      </c>
      <c r="H922" s="15">
        <v>0.05</v>
      </c>
      <c r="I922" s="12" t="s">
        <v>60</v>
      </c>
      <c r="J922" s="12" t="s">
        <v>79</v>
      </c>
      <c r="K922" s="17" t="s">
        <v>1121</v>
      </c>
    </row>
    <row r="923" spans="1:11">
      <c r="A923" s="11" t="s">
        <v>69</v>
      </c>
      <c r="B923" s="12" t="s">
        <v>70</v>
      </c>
      <c r="C923" s="12" t="s">
        <v>83</v>
      </c>
      <c r="D923" s="12" t="s">
        <v>65</v>
      </c>
      <c r="E923" s="12">
        <v>31</v>
      </c>
      <c r="F923" s="13">
        <v>42957</v>
      </c>
      <c r="G923" s="14">
        <v>156931</v>
      </c>
      <c r="H923" s="15">
        <v>0.28</v>
      </c>
      <c r="I923" s="12" t="s">
        <v>60</v>
      </c>
      <c r="J923" s="12" t="s">
        <v>61</v>
      </c>
      <c r="K923" s="17" t="s">
        <v>1121</v>
      </c>
    </row>
    <row r="924" spans="1:11">
      <c r="A924" s="11" t="s">
        <v>69</v>
      </c>
      <c r="B924" s="12" t="s">
        <v>105</v>
      </c>
      <c r="C924" s="12" t="s">
        <v>57</v>
      </c>
      <c r="D924" s="12" t="s">
        <v>58</v>
      </c>
      <c r="E924" s="12">
        <v>43</v>
      </c>
      <c r="F924" s="13">
        <v>41928</v>
      </c>
      <c r="G924" s="14">
        <v>171360</v>
      </c>
      <c r="H924" s="15">
        <v>0.23</v>
      </c>
      <c r="I924" s="12" t="s">
        <v>113</v>
      </c>
      <c r="J924" s="12" t="s">
        <v>114</v>
      </c>
      <c r="K924" s="17" t="s">
        <v>1121</v>
      </c>
    </row>
    <row r="925" spans="1:11">
      <c r="A925" s="11" t="s">
        <v>136</v>
      </c>
      <c r="B925" s="12" t="s">
        <v>56</v>
      </c>
      <c r="C925" s="12" t="s">
        <v>57</v>
      </c>
      <c r="D925" s="12" t="s">
        <v>58</v>
      </c>
      <c r="E925" s="12">
        <v>45</v>
      </c>
      <c r="F925" s="13">
        <v>39908</v>
      </c>
      <c r="G925" s="14">
        <v>64505</v>
      </c>
      <c r="H925" s="15">
        <v>0</v>
      </c>
      <c r="I925" s="12" t="s">
        <v>60</v>
      </c>
      <c r="J925" s="12" t="s">
        <v>88</v>
      </c>
      <c r="K925" s="17" t="s">
        <v>1121</v>
      </c>
    </row>
    <row r="926" spans="1:11">
      <c r="A926" s="11" t="s">
        <v>125</v>
      </c>
      <c r="B926" s="12" t="s">
        <v>98</v>
      </c>
      <c r="C926" s="12" t="s">
        <v>71</v>
      </c>
      <c r="D926" s="12" t="s">
        <v>65</v>
      </c>
      <c r="E926" s="12">
        <v>32</v>
      </c>
      <c r="F926" s="13">
        <v>44478</v>
      </c>
      <c r="G926" s="14">
        <v>102298</v>
      </c>
      <c r="H926" s="15">
        <v>0.13</v>
      </c>
      <c r="I926" s="12" t="s">
        <v>113</v>
      </c>
      <c r="J926" s="12" t="s">
        <v>117</v>
      </c>
      <c r="K926" s="17" t="s">
        <v>1121</v>
      </c>
    </row>
    <row r="927" spans="1:11">
      <c r="A927" s="11" t="s">
        <v>55</v>
      </c>
      <c r="B927" s="12" t="s">
        <v>82</v>
      </c>
      <c r="C927" s="12" t="s">
        <v>83</v>
      </c>
      <c r="D927" s="12" t="s">
        <v>58</v>
      </c>
      <c r="E927" s="12">
        <v>27</v>
      </c>
      <c r="F927" s="13">
        <v>43721</v>
      </c>
      <c r="G927" s="14">
        <v>133297</v>
      </c>
      <c r="H927" s="15">
        <v>0.13</v>
      </c>
      <c r="I927" s="12" t="s">
        <v>113</v>
      </c>
      <c r="J927" s="12" t="s">
        <v>117</v>
      </c>
      <c r="K927" s="17" t="s">
        <v>1121</v>
      </c>
    </row>
    <row r="928" spans="1:11">
      <c r="A928" s="11" t="s">
        <v>55</v>
      </c>
      <c r="B928" s="12" t="s">
        <v>94</v>
      </c>
      <c r="C928" s="12" t="s">
        <v>71</v>
      </c>
      <c r="D928" s="12" t="s">
        <v>58</v>
      </c>
      <c r="E928" s="12">
        <v>25</v>
      </c>
      <c r="F928" s="13">
        <v>44272</v>
      </c>
      <c r="G928" s="14">
        <v>155080</v>
      </c>
      <c r="H928" s="15">
        <v>0.1</v>
      </c>
      <c r="I928" s="12" t="s">
        <v>60</v>
      </c>
      <c r="J928" s="12" t="s">
        <v>91</v>
      </c>
      <c r="K928" s="17" t="s">
        <v>1121</v>
      </c>
    </row>
    <row r="929" spans="1:11">
      <c r="A929" s="11" t="s">
        <v>78</v>
      </c>
      <c r="B929" s="12" t="s">
        <v>82</v>
      </c>
      <c r="C929" s="12" t="s">
        <v>71</v>
      </c>
      <c r="D929" s="12" t="s">
        <v>65</v>
      </c>
      <c r="E929" s="12">
        <v>31</v>
      </c>
      <c r="F929" s="13">
        <v>43325</v>
      </c>
      <c r="G929" s="14">
        <v>81828</v>
      </c>
      <c r="H929" s="15">
        <v>0</v>
      </c>
      <c r="I929" s="12" t="s">
        <v>60</v>
      </c>
      <c r="J929" s="12" t="s">
        <v>88</v>
      </c>
      <c r="K929" s="17" t="s">
        <v>1121</v>
      </c>
    </row>
    <row r="930" spans="1:11">
      <c r="A930" s="11" t="s">
        <v>55</v>
      </c>
      <c r="B930" s="12" t="s">
        <v>105</v>
      </c>
      <c r="C930" s="12" t="s">
        <v>83</v>
      </c>
      <c r="D930" s="12" t="s">
        <v>58</v>
      </c>
      <c r="E930" s="12">
        <v>65</v>
      </c>
      <c r="F930" s="13">
        <v>36823</v>
      </c>
      <c r="G930" s="14">
        <v>149417</v>
      </c>
      <c r="H930" s="15">
        <v>0.13</v>
      </c>
      <c r="I930" s="12" t="s">
        <v>66</v>
      </c>
      <c r="J930" s="12" t="s">
        <v>138</v>
      </c>
      <c r="K930" s="17" t="s">
        <v>1121</v>
      </c>
    </row>
    <row r="931" spans="1:11">
      <c r="A931" s="11" t="s">
        <v>85</v>
      </c>
      <c r="B931" s="12" t="s">
        <v>82</v>
      </c>
      <c r="C931" s="12" t="s">
        <v>83</v>
      </c>
      <c r="D931" s="12" t="s">
        <v>65</v>
      </c>
      <c r="E931" s="12">
        <v>50</v>
      </c>
      <c r="F931" s="13">
        <v>41024</v>
      </c>
      <c r="G931" s="14">
        <v>113269</v>
      </c>
      <c r="H931" s="15">
        <v>0.09</v>
      </c>
      <c r="I931" s="12" t="s">
        <v>113</v>
      </c>
      <c r="J931" s="12" t="s">
        <v>184</v>
      </c>
      <c r="K931" s="17" t="s">
        <v>1121</v>
      </c>
    </row>
    <row r="932" spans="1:11">
      <c r="A932" s="11" t="s">
        <v>55</v>
      </c>
      <c r="B932" s="12" t="s">
        <v>56</v>
      </c>
      <c r="C932" s="12" t="s">
        <v>64</v>
      </c>
      <c r="D932" s="12" t="s">
        <v>65</v>
      </c>
      <c r="E932" s="12">
        <v>46</v>
      </c>
      <c r="F932" s="13">
        <v>43085</v>
      </c>
      <c r="G932" s="14">
        <v>136716</v>
      </c>
      <c r="H932" s="15">
        <v>0.12</v>
      </c>
      <c r="I932" s="12" t="s">
        <v>60</v>
      </c>
      <c r="J932" s="12" t="s">
        <v>91</v>
      </c>
      <c r="K932" s="17" t="s">
        <v>1121</v>
      </c>
    </row>
    <row r="933" spans="1:11">
      <c r="A933" s="11" t="s">
        <v>55</v>
      </c>
      <c r="B933" s="12" t="s">
        <v>82</v>
      </c>
      <c r="C933" s="12" t="s">
        <v>71</v>
      </c>
      <c r="D933" s="12" t="s">
        <v>65</v>
      </c>
      <c r="E933" s="12">
        <v>54</v>
      </c>
      <c r="F933" s="13">
        <v>40836</v>
      </c>
      <c r="G933" s="14">
        <v>122644</v>
      </c>
      <c r="H933" s="15">
        <v>0.12</v>
      </c>
      <c r="I933" s="12" t="s">
        <v>60</v>
      </c>
      <c r="J933" s="12" t="s">
        <v>91</v>
      </c>
      <c r="K933" s="17" t="s">
        <v>1121</v>
      </c>
    </row>
    <row r="934" spans="1:11">
      <c r="A934" s="11" t="s">
        <v>85</v>
      </c>
      <c r="B934" s="12" t="s">
        <v>82</v>
      </c>
      <c r="C934" s="12" t="s">
        <v>57</v>
      </c>
      <c r="D934" s="12" t="s">
        <v>58</v>
      </c>
      <c r="E934" s="12">
        <v>50</v>
      </c>
      <c r="F934" s="13">
        <v>36653</v>
      </c>
      <c r="G934" s="14">
        <v>106428</v>
      </c>
      <c r="H934" s="15">
        <v>0.07</v>
      </c>
      <c r="I934" s="12" t="s">
        <v>60</v>
      </c>
      <c r="J934" s="12" t="s">
        <v>73</v>
      </c>
      <c r="K934" s="17" t="s">
        <v>1121</v>
      </c>
    </row>
    <row r="935" spans="1:11">
      <c r="A935" s="11" t="s">
        <v>104</v>
      </c>
      <c r="B935" s="12" t="s">
        <v>70</v>
      </c>
      <c r="C935" s="12" t="s">
        <v>83</v>
      </c>
      <c r="D935" s="12" t="s">
        <v>65</v>
      </c>
      <c r="E935" s="12">
        <v>36</v>
      </c>
      <c r="F935" s="13">
        <v>39830</v>
      </c>
      <c r="G935" s="14">
        <v>238236</v>
      </c>
      <c r="H935" s="15">
        <v>0.31</v>
      </c>
      <c r="I935" s="12" t="s">
        <v>60</v>
      </c>
      <c r="J935" s="12" t="s">
        <v>61</v>
      </c>
      <c r="K935" s="17" t="s">
        <v>1121</v>
      </c>
    </row>
    <row r="936" spans="1:11">
      <c r="A936" s="11" t="s">
        <v>69</v>
      </c>
      <c r="B936" s="12" t="s">
        <v>70</v>
      </c>
      <c r="C936" s="12" t="s">
        <v>83</v>
      </c>
      <c r="D936" s="12" t="s">
        <v>58</v>
      </c>
      <c r="E936" s="12">
        <v>64</v>
      </c>
      <c r="F936" s="13">
        <v>41264</v>
      </c>
      <c r="G936" s="14">
        <v>153253</v>
      </c>
      <c r="H936" s="15">
        <v>0.24</v>
      </c>
      <c r="I936" s="12" t="s">
        <v>60</v>
      </c>
      <c r="J936" s="12" t="s">
        <v>91</v>
      </c>
      <c r="K936" s="17" t="s">
        <v>1121</v>
      </c>
    </row>
    <row r="937" spans="1:11">
      <c r="A937" s="11" t="s">
        <v>85</v>
      </c>
      <c r="B937" s="12" t="s">
        <v>90</v>
      </c>
      <c r="C937" s="12" t="s">
        <v>64</v>
      </c>
      <c r="D937" s="12" t="s">
        <v>58</v>
      </c>
      <c r="E937" s="12">
        <v>34</v>
      </c>
      <c r="F937" s="13">
        <v>41915</v>
      </c>
      <c r="G937" s="14">
        <v>103707</v>
      </c>
      <c r="H937" s="15">
        <v>0.09</v>
      </c>
      <c r="I937" s="12" t="s">
        <v>60</v>
      </c>
      <c r="J937" s="12" t="s">
        <v>110</v>
      </c>
      <c r="K937" s="17" t="s">
        <v>1121</v>
      </c>
    </row>
    <row r="938" spans="1:11">
      <c r="A938" s="11" t="s">
        <v>104</v>
      </c>
      <c r="B938" s="12" t="s">
        <v>90</v>
      </c>
      <c r="C938" s="12" t="s">
        <v>71</v>
      </c>
      <c r="D938" s="12" t="s">
        <v>58</v>
      </c>
      <c r="E938" s="12">
        <v>41</v>
      </c>
      <c r="F938" s="13">
        <v>41130</v>
      </c>
      <c r="G938" s="14">
        <v>245360</v>
      </c>
      <c r="H938" s="15">
        <v>0.37</v>
      </c>
      <c r="I938" s="12" t="s">
        <v>60</v>
      </c>
      <c r="J938" s="12" t="s">
        <v>91</v>
      </c>
      <c r="K938" s="17" t="s">
        <v>1121</v>
      </c>
    </row>
    <row r="939" spans="1:11">
      <c r="A939" s="11" t="s">
        <v>216</v>
      </c>
      <c r="B939" s="12" t="s">
        <v>98</v>
      </c>
      <c r="C939" s="12" t="s">
        <v>71</v>
      </c>
      <c r="D939" s="12" t="s">
        <v>65</v>
      </c>
      <c r="E939" s="12">
        <v>25</v>
      </c>
      <c r="F939" s="13">
        <v>44385</v>
      </c>
      <c r="G939" s="14">
        <v>67275</v>
      </c>
      <c r="H939" s="15">
        <v>0</v>
      </c>
      <c r="I939" s="12" t="s">
        <v>60</v>
      </c>
      <c r="J939" s="12" t="s">
        <v>110</v>
      </c>
      <c r="K939" s="17" t="s">
        <v>1121</v>
      </c>
    </row>
    <row r="940" spans="1:11">
      <c r="A940" s="11" t="s">
        <v>85</v>
      </c>
      <c r="B940" s="12" t="s">
        <v>56</v>
      </c>
      <c r="C940" s="12" t="s">
        <v>64</v>
      </c>
      <c r="D940" s="12" t="s">
        <v>65</v>
      </c>
      <c r="E940" s="12">
        <v>45</v>
      </c>
      <c r="F940" s="13">
        <v>42026</v>
      </c>
      <c r="G940" s="14">
        <v>101288</v>
      </c>
      <c r="H940" s="15">
        <v>0.1</v>
      </c>
      <c r="I940" s="12" t="s">
        <v>60</v>
      </c>
      <c r="J940" s="12" t="s">
        <v>79</v>
      </c>
      <c r="K940" s="17" t="s">
        <v>1121</v>
      </c>
    </row>
    <row r="941" spans="1:11">
      <c r="A941" s="11" t="s">
        <v>69</v>
      </c>
      <c r="B941" s="12" t="s">
        <v>94</v>
      </c>
      <c r="C941" s="12" t="s">
        <v>71</v>
      </c>
      <c r="D941" s="12" t="s">
        <v>58</v>
      </c>
      <c r="E941" s="12">
        <v>52</v>
      </c>
      <c r="F941" s="13">
        <v>34209</v>
      </c>
      <c r="G941" s="14">
        <v>177443</v>
      </c>
      <c r="H941" s="15">
        <v>0.25</v>
      </c>
      <c r="I941" s="12" t="s">
        <v>113</v>
      </c>
      <c r="J941" s="12" t="s">
        <v>184</v>
      </c>
      <c r="K941" s="17" t="s">
        <v>1121</v>
      </c>
    </row>
    <row r="942" spans="1:11">
      <c r="A942" s="11" t="s">
        <v>178</v>
      </c>
      <c r="B942" s="12" t="s">
        <v>56</v>
      </c>
      <c r="C942" s="12" t="s">
        <v>64</v>
      </c>
      <c r="D942" s="12" t="s">
        <v>58</v>
      </c>
      <c r="E942" s="12">
        <v>37</v>
      </c>
      <c r="F942" s="13">
        <v>42487</v>
      </c>
      <c r="G942" s="14">
        <v>91400</v>
      </c>
      <c r="H942" s="15">
        <v>0</v>
      </c>
      <c r="I942" s="12" t="s">
        <v>60</v>
      </c>
      <c r="J942" s="12" t="s">
        <v>73</v>
      </c>
      <c r="K942" s="17" t="s">
        <v>1121</v>
      </c>
    </row>
    <row r="943" spans="1:11">
      <c r="A943" s="11" t="s">
        <v>104</v>
      </c>
      <c r="B943" s="12" t="s">
        <v>94</v>
      </c>
      <c r="C943" s="12" t="s">
        <v>83</v>
      </c>
      <c r="D943" s="12" t="s">
        <v>65</v>
      </c>
      <c r="E943" s="12">
        <v>44</v>
      </c>
      <c r="F943" s="13">
        <v>39335</v>
      </c>
      <c r="G943" s="14">
        <v>181247</v>
      </c>
      <c r="H943" s="15">
        <v>0.33</v>
      </c>
      <c r="I943" s="12" t="s">
        <v>113</v>
      </c>
      <c r="J943" s="12" t="s">
        <v>184</v>
      </c>
      <c r="K943" s="17" t="s">
        <v>1121</v>
      </c>
    </row>
    <row r="944" spans="1:11">
      <c r="A944" s="11" t="s">
        <v>55</v>
      </c>
      <c r="B944" s="12" t="s">
        <v>94</v>
      </c>
      <c r="C944" s="12" t="s">
        <v>57</v>
      </c>
      <c r="D944" s="12" t="s">
        <v>65</v>
      </c>
      <c r="E944" s="12">
        <v>42</v>
      </c>
      <c r="F944" s="13">
        <v>37914</v>
      </c>
      <c r="G944" s="14">
        <v>135558</v>
      </c>
      <c r="H944" s="15">
        <v>0.14</v>
      </c>
      <c r="I944" s="12" t="s">
        <v>60</v>
      </c>
      <c r="J944" s="12" t="s">
        <v>79</v>
      </c>
      <c r="K944" s="17" t="s">
        <v>1121</v>
      </c>
    </row>
    <row r="945" spans="1:11">
      <c r="A945" s="11" t="s">
        <v>87</v>
      </c>
      <c r="B945" s="12" t="s">
        <v>90</v>
      </c>
      <c r="C945" s="12" t="s">
        <v>71</v>
      </c>
      <c r="D945" s="12" t="s">
        <v>65</v>
      </c>
      <c r="E945" s="12">
        <v>49</v>
      </c>
      <c r="F945" s="13">
        <v>40894</v>
      </c>
      <c r="G945" s="14">
        <v>56878</v>
      </c>
      <c r="H945" s="15">
        <v>0</v>
      </c>
      <c r="I945" s="12" t="s">
        <v>60</v>
      </c>
      <c r="J945" s="12" t="s">
        <v>61</v>
      </c>
      <c r="K945" s="17" t="s">
        <v>1121</v>
      </c>
    </row>
    <row r="946" spans="1:11">
      <c r="A946" s="11" t="s">
        <v>303</v>
      </c>
      <c r="B946" s="12" t="s">
        <v>56</v>
      </c>
      <c r="C946" s="12" t="s">
        <v>71</v>
      </c>
      <c r="D946" s="12" t="s">
        <v>65</v>
      </c>
      <c r="E946" s="12">
        <v>34</v>
      </c>
      <c r="F946" s="13">
        <v>43728</v>
      </c>
      <c r="G946" s="14">
        <v>94735</v>
      </c>
      <c r="H946" s="15">
        <v>0</v>
      </c>
      <c r="I946" s="12" t="s">
        <v>66</v>
      </c>
      <c r="J946" s="12" t="s">
        <v>126</v>
      </c>
      <c r="K946" s="17" t="s">
        <v>1121</v>
      </c>
    </row>
    <row r="947" spans="1:11">
      <c r="A947" s="11" t="s">
        <v>132</v>
      </c>
      <c r="B947" s="12" t="s">
        <v>82</v>
      </c>
      <c r="C947" s="12" t="s">
        <v>64</v>
      </c>
      <c r="D947" s="12" t="s">
        <v>65</v>
      </c>
      <c r="E947" s="12">
        <v>39</v>
      </c>
      <c r="F947" s="13">
        <v>39229</v>
      </c>
      <c r="G947" s="14">
        <v>51234</v>
      </c>
      <c r="H947" s="15">
        <v>0</v>
      </c>
      <c r="I947" s="12" t="s">
        <v>60</v>
      </c>
      <c r="J947" s="12" t="s">
        <v>61</v>
      </c>
      <c r="K947" s="17" t="s">
        <v>1121</v>
      </c>
    </row>
    <row r="948" spans="1:11">
      <c r="A948" s="11" t="s">
        <v>104</v>
      </c>
      <c r="B948" s="12" t="s">
        <v>94</v>
      </c>
      <c r="C948" s="12" t="s">
        <v>71</v>
      </c>
      <c r="D948" s="12" t="s">
        <v>65</v>
      </c>
      <c r="E948" s="12">
        <v>31</v>
      </c>
      <c r="F948" s="13">
        <v>42018</v>
      </c>
      <c r="G948" s="14">
        <v>230025</v>
      </c>
      <c r="H948" s="15">
        <v>0.34</v>
      </c>
      <c r="I948" s="12" t="s">
        <v>60</v>
      </c>
      <c r="J948" s="12" t="s">
        <v>79</v>
      </c>
      <c r="K948" s="17" t="s">
        <v>1121</v>
      </c>
    </row>
    <row r="949" spans="1:11">
      <c r="A949" s="11" t="s">
        <v>55</v>
      </c>
      <c r="B949" s="12" t="s">
        <v>94</v>
      </c>
      <c r="C949" s="12" t="s">
        <v>71</v>
      </c>
      <c r="D949" s="12" t="s">
        <v>58</v>
      </c>
      <c r="E949" s="12">
        <v>36</v>
      </c>
      <c r="F949" s="13">
        <v>40248</v>
      </c>
      <c r="G949" s="14">
        <v>134006</v>
      </c>
      <c r="H949" s="15">
        <v>0.13</v>
      </c>
      <c r="I949" s="12" t="s">
        <v>66</v>
      </c>
      <c r="J949" s="12" t="s">
        <v>126</v>
      </c>
      <c r="K949" s="17" t="s">
        <v>1121</v>
      </c>
    </row>
    <row r="950" spans="1:11">
      <c r="A950" s="11" t="s">
        <v>85</v>
      </c>
      <c r="B950" s="12" t="s">
        <v>70</v>
      </c>
      <c r="C950" s="12" t="s">
        <v>83</v>
      </c>
      <c r="D950" s="12" t="s">
        <v>58</v>
      </c>
      <c r="E950" s="12">
        <v>61</v>
      </c>
      <c r="F950" s="13">
        <v>40092</v>
      </c>
      <c r="G950" s="14">
        <v>103096</v>
      </c>
      <c r="H950" s="15">
        <v>0.07</v>
      </c>
      <c r="I950" s="12" t="s">
        <v>66</v>
      </c>
      <c r="J950" s="12" t="s">
        <v>126</v>
      </c>
      <c r="K950" s="17" t="s">
        <v>1121</v>
      </c>
    </row>
    <row r="951" spans="1:11">
      <c r="A951" s="11" t="s">
        <v>87</v>
      </c>
      <c r="B951" s="12" t="s">
        <v>90</v>
      </c>
      <c r="C951" s="12" t="s">
        <v>64</v>
      </c>
      <c r="D951" s="12" t="s">
        <v>65</v>
      </c>
      <c r="E951" s="12">
        <v>29</v>
      </c>
      <c r="F951" s="13">
        <v>42602</v>
      </c>
      <c r="G951" s="14">
        <v>58703</v>
      </c>
      <c r="H951" s="15">
        <v>0</v>
      </c>
      <c r="I951" s="12" t="s">
        <v>60</v>
      </c>
      <c r="J951" s="12" t="s">
        <v>110</v>
      </c>
      <c r="K951" s="17" t="s">
        <v>1121</v>
      </c>
    </row>
    <row r="952" spans="1:11">
      <c r="A952" s="11" t="s">
        <v>55</v>
      </c>
      <c r="B952" s="12" t="s">
        <v>56</v>
      </c>
      <c r="C952" s="12" t="s">
        <v>71</v>
      </c>
      <c r="D952" s="12" t="s">
        <v>65</v>
      </c>
      <c r="E952" s="12">
        <v>33</v>
      </c>
      <c r="F952" s="13">
        <v>41267</v>
      </c>
      <c r="G952" s="14">
        <v>132544</v>
      </c>
      <c r="H952" s="15">
        <v>0.1</v>
      </c>
      <c r="I952" s="12" t="s">
        <v>113</v>
      </c>
      <c r="J952" s="12" t="s">
        <v>117</v>
      </c>
      <c r="K952" s="17" t="s">
        <v>1121</v>
      </c>
    </row>
    <row r="953" spans="1:11">
      <c r="A953" s="11" t="s">
        <v>85</v>
      </c>
      <c r="B953" s="12" t="s">
        <v>70</v>
      </c>
      <c r="C953" s="12" t="s">
        <v>64</v>
      </c>
      <c r="D953" s="12" t="s">
        <v>65</v>
      </c>
      <c r="E953" s="12">
        <v>32</v>
      </c>
      <c r="F953" s="13">
        <v>43936</v>
      </c>
      <c r="G953" s="14">
        <v>126671</v>
      </c>
      <c r="H953" s="15">
        <v>0.09</v>
      </c>
      <c r="I953" s="12" t="s">
        <v>60</v>
      </c>
      <c r="J953" s="12" t="s">
        <v>88</v>
      </c>
      <c r="K953" s="17" t="s">
        <v>1121</v>
      </c>
    </row>
    <row r="954" spans="1:11">
      <c r="A954" s="11" t="s">
        <v>81</v>
      </c>
      <c r="B954" s="12" t="s">
        <v>82</v>
      </c>
      <c r="C954" s="12" t="s">
        <v>57</v>
      </c>
      <c r="D954" s="12" t="s">
        <v>58</v>
      </c>
      <c r="E954" s="12">
        <v>33</v>
      </c>
      <c r="F954" s="13">
        <v>44218</v>
      </c>
      <c r="G954" s="14">
        <v>56405</v>
      </c>
      <c r="H954" s="15">
        <v>0</v>
      </c>
      <c r="I954" s="12" t="s">
        <v>60</v>
      </c>
      <c r="J954" s="12" t="s">
        <v>73</v>
      </c>
      <c r="K954" s="17" t="s">
        <v>1121</v>
      </c>
    </row>
    <row r="955" spans="1:11">
      <c r="A955" s="11" t="s">
        <v>75</v>
      </c>
      <c r="B955" s="12" t="s">
        <v>56</v>
      </c>
      <c r="C955" s="12" t="s">
        <v>71</v>
      </c>
      <c r="D955" s="12" t="s">
        <v>58</v>
      </c>
      <c r="E955" s="12">
        <v>36</v>
      </c>
      <c r="F955" s="13">
        <v>41972</v>
      </c>
      <c r="G955" s="14">
        <v>88730</v>
      </c>
      <c r="H955" s="15">
        <v>0.08</v>
      </c>
      <c r="I955" s="12" t="s">
        <v>66</v>
      </c>
      <c r="J955" s="12" t="s">
        <v>67</v>
      </c>
      <c r="K955" s="17" t="s">
        <v>1121</v>
      </c>
    </row>
    <row r="956" spans="1:11">
      <c r="A956" s="11" t="s">
        <v>132</v>
      </c>
      <c r="B956" s="12" t="s">
        <v>70</v>
      </c>
      <c r="C956" s="12" t="s">
        <v>64</v>
      </c>
      <c r="D956" s="12" t="s">
        <v>65</v>
      </c>
      <c r="E956" s="12">
        <v>39</v>
      </c>
      <c r="F956" s="13">
        <v>39708</v>
      </c>
      <c r="G956" s="14">
        <v>62861</v>
      </c>
      <c r="H956" s="15">
        <v>0</v>
      </c>
      <c r="I956" s="12" t="s">
        <v>60</v>
      </c>
      <c r="J956" s="12" t="s">
        <v>61</v>
      </c>
      <c r="K956" s="17" t="s">
        <v>1121</v>
      </c>
    </row>
    <row r="957" spans="1:11">
      <c r="A957" s="11" t="s">
        <v>69</v>
      </c>
      <c r="B957" s="12" t="s">
        <v>94</v>
      </c>
      <c r="C957" s="12" t="s">
        <v>83</v>
      </c>
      <c r="D957" s="12" t="s">
        <v>58</v>
      </c>
      <c r="E957" s="12">
        <v>53</v>
      </c>
      <c r="F957" s="13">
        <v>38919</v>
      </c>
      <c r="G957" s="14">
        <v>151246</v>
      </c>
      <c r="H957" s="15">
        <v>0.21</v>
      </c>
      <c r="I957" s="12" t="s">
        <v>113</v>
      </c>
      <c r="J957" s="12" t="s">
        <v>184</v>
      </c>
      <c r="K957" s="17" t="s">
        <v>1121</v>
      </c>
    </row>
    <row r="958" spans="1:11">
      <c r="A958" s="11" t="s">
        <v>55</v>
      </c>
      <c r="B958" s="12" t="s">
        <v>56</v>
      </c>
      <c r="C958" s="12" t="s">
        <v>64</v>
      </c>
      <c r="D958" s="12" t="s">
        <v>58</v>
      </c>
      <c r="E958" s="12">
        <v>53</v>
      </c>
      <c r="F958" s="13">
        <v>35532</v>
      </c>
      <c r="G958" s="14">
        <v>154388</v>
      </c>
      <c r="H958" s="15">
        <v>0.1</v>
      </c>
      <c r="I958" s="12" t="s">
        <v>60</v>
      </c>
      <c r="J958" s="12" t="s">
        <v>61</v>
      </c>
      <c r="K958" s="17" t="s">
        <v>1121</v>
      </c>
    </row>
    <row r="959" spans="1:11">
      <c r="A959" s="11" t="s">
        <v>69</v>
      </c>
      <c r="B959" s="12" t="s">
        <v>94</v>
      </c>
      <c r="C959" s="12" t="s">
        <v>64</v>
      </c>
      <c r="D959" s="12" t="s">
        <v>58</v>
      </c>
      <c r="E959" s="12">
        <v>54</v>
      </c>
      <c r="F959" s="13">
        <v>34603</v>
      </c>
      <c r="G959" s="14">
        <v>162978</v>
      </c>
      <c r="H959" s="15">
        <v>0.17</v>
      </c>
      <c r="I959" s="12" t="s">
        <v>60</v>
      </c>
      <c r="J959" s="12" t="s">
        <v>88</v>
      </c>
      <c r="K959" s="17">
        <v>38131</v>
      </c>
    </row>
    <row r="960" spans="1:11">
      <c r="A960" s="11" t="s">
        <v>266</v>
      </c>
      <c r="B960" s="12" t="s">
        <v>56</v>
      </c>
      <c r="C960" s="12" t="s">
        <v>71</v>
      </c>
      <c r="D960" s="12" t="s">
        <v>65</v>
      </c>
      <c r="E960" s="12">
        <v>55</v>
      </c>
      <c r="F960" s="13">
        <v>34290</v>
      </c>
      <c r="G960" s="14">
        <v>80170</v>
      </c>
      <c r="H960" s="15">
        <v>0</v>
      </c>
      <c r="I960" s="12" t="s">
        <v>60</v>
      </c>
      <c r="J960" s="12" t="s">
        <v>88</v>
      </c>
      <c r="K960" s="17" t="s">
        <v>1121</v>
      </c>
    </row>
    <row r="961" spans="1:11">
      <c r="A961" s="11" t="s">
        <v>78</v>
      </c>
      <c r="B961" s="12" t="s">
        <v>90</v>
      </c>
      <c r="C961" s="12" t="s">
        <v>64</v>
      </c>
      <c r="D961" s="12" t="s">
        <v>58</v>
      </c>
      <c r="E961" s="12">
        <v>44</v>
      </c>
      <c r="F961" s="13">
        <v>44314</v>
      </c>
      <c r="G961" s="14">
        <v>98520</v>
      </c>
      <c r="H961" s="15">
        <v>0</v>
      </c>
      <c r="I961" s="12" t="s">
        <v>60</v>
      </c>
      <c r="J961" s="12" t="s">
        <v>88</v>
      </c>
      <c r="K961" s="17" t="s">
        <v>1121</v>
      </c>
    </row>
    <row r="962" spans="1:11">
      <c r="A962" s="11" t="s">
        <v>85</v>
      </c>
      <c r="B962" s="12" t="s">
        <v>70</v>
      </c>
      <c r="C962" s="12" t="s">
        <v>64</v>
      </c>
      <c r="D962" s="12" t="s">
        <v>65</v>
      </c>
      <c r="E962" s="12">
        <v>52</v>
      </c>
      <c r="F962" s="13">
        <v>36523</v>
      </c>
      <c r="G962" s="14">
        <v>116527</v>
      </c>
      <c r="H962" s="15">
        <v>0.07</v>
      </c>
      <c r="I962" s="12" t="s">
        <v>60</v>
      </c>
      <c r="J962" s="12" t="s">
        <v>79</v>
      </c>
      <c r="K962" s="17" t="s">
        <v>1121</v>
      </c>
    </row>
    <row r="963" spans="1:11">
      <c r="A963" s="11" t="s">
        <v>69</v>
      </c>
      <c r="B963" s="12" t="s">
        <v>82</v>
      </c>
      <c r="C963" s="12" t="s">
        <v>57</v>
      </c>
      <c r="D963" s="12" t="s">
        <v>65</v>
      </c>
      <c r="E963" s="12">
        <v>27</v>
      </c>
      <c r="F963" s="13">
        <v>43776</v>
      </c>
      <c r="G963" s="14">
        <v>174607</v>
      </c>
      <c r="H963" s="15">
        <v>0.29</v>
      </c>
      <c r="I963" s="12" t="s">
        <v>60</v>
      </c>
      <c r="J963" s="12" t="s">
        <v>110</v>
      </c>
      <c r="K963" s="17" t="s">
        <v>1121</v>
      </c>
    </row>
    <row r="964" spans="1:11">
      <c r="A964" s="11" t="s">
        <v>132</v>
      </c>
      <c r="B964" s="12" t="s">
        <v>90</v>
      </c>
      <c r="C964" s="12" t="s">
        <v>57</v>
      </c>
      <c r="D964" s="12" t="s">
        <v>65</v>
      </c>
      <c r="E964" s="12">
        <v>58</v>
      </c>
      <c r="F964" s="13">
        <v>38819</v>
      </c>
      <c r="G964" s="14">
        <v>64202</v>
      </c>
      <c r="H964" s="15">
        <v>0</v>
      </c>
      <c r="I964" s="12" t="s">
        <v>60</v>
      </c>
      <c r="J964" s="12" t="s">
        <v>110</v>
      </c>
      <c r="K964" s="17" t="s">
        <v>1121</v>
      </c>
    </row>
    <row r="965" spans="1:11">
      <c r="A965" s="11" t="s">
        <v>132</v>
      </c>
      <c r="B965" s="12" t="s">
        <v>90</v>
      </c>
      <c r="C965" s="12" t="s">
        <v>83</v>
      </c>
      <c r="D965" s="12" t="s">
        <v>65</v>
      </c>
      <c r="E965" s="12">
        <v>49</v>
      </c>
      <c r="F965" s="13">
        <v>43671</v>
      </c>
      <c r="G965" s="14">
        <v>50883</v>
      </c>
      <c r="H965" s="15">
        <v>0</v>
      </c>
      <c r="I965" s="12" t="s">
        <v>66</v>
      </c>
      <c r="J965" s="12" t="s">
        <v>67</v>
      </c>
      <c r="K965" s="17">
        <v>44257</v>
      </c>
    </row>
    <row r="966" spans="1:11">
      <c r="A966" s="11" t="s">
        <v>200</v>
      </c>
      <c r="B966" s="12" t="s">
        <v>56</v>
      </c>
      <c r="C966" s="12" t="s">
        <v>71</v>
      </c>
      <c r="D966" s="12" t="s">
        <v>58</v>
      </c>
      <c r="E966" s="12">
        <v>36</v>
      </c>
      <c r="F966" s="13">
        <v>42677</v>
      </c>
      <c r="G966" s="14">
        <v>94618</v>
      </c>
      <c r="H966" s="15">
        <v>0</v>
      </c>
      <c r="I966" s="12" t="s">
        <v>60</v>
      </c>
      <c r="J966" s="12" t="s">
        <v>110</v>
      </c>
      <c r="K966" s="17" t="s">
        <v>1121</v>
      </c>
    </row>
    <row r="967" spans="1:11">
      <c r="A967" s="11" t="s">
        <v>69</v>
      </c>
      <c r="B967" s="12" t="s">
        <v>105</v>
      </c>
      <c r="C967" s="12" t="s">
        <v>57</v>
      </c>
      <c r="D967" s="12" t="s">
        <v>65</v>
      </c>
      <c r="E967" s="12">
        <v>26</v>
      </c>
      <c r="F967" s="13">
        <v>43753</v>
      </c>
      <c r="G967" s="14">
        <v>151556</v>
      </c>
      <c r="H967" s="15">
        <v>0.2</v>
      </c>
      <c r="I967" s="12" t="s">
        <v>60</v>
      </c>
      <c r="J967" s="12" t="s">
        <v>88</v>
      </c>
      <c r="K967" s="17" t="s">
        <v>1121</v>
      </c>
    </row>
    <row r="968" spans="1:11">
      <c r="A968" s="11" t="s">
        <v>216</v>
      </c>
      <c r="B968" s="12" t="s">
        <v>98</v>
      </c>
      <c r="C968" s="12" t="s">
        <v>57</v>
      </c>
      <c r="D968" s="12" t="s">
        <v>58</v>
      </c>
      <c r="E968" s="12">
        <v>37</v>
      </c>
      <c r="F968" s="13">
        <v>43898</v>
      </c>
      <c r="G968" s="14">
        <v>80659</v>
      </c>
      <c r="H968" s="15">
        <v>0</v>
      </c>
      <c r="I968" s="12" t="s">
        <v>60</v>
      </c>
      <c r="J968" s="12" t="s">
        <v>79</v>
      </c>
      <c r="K968" s="17" t="s">
        <v>1121</v>
      </c>
    </row>
    <row r="969" spans="1:11">
      <c r="A969" s="11" t="s">
        <v>69</v>
      </c>
      <c r="B969" s="12" t="s">
        <v>94</v>
      </c>
      <c r="C969" s="12" t="s">
        <v>71</v>
      </c>
      <c r="D969" s="12" t="s">
        <v>65</v>
      </c>
      <c r="E969" s="12">
        <v>47</v>
      </c>
      <c r="F969" s="13">
        <v>43772</v>
      </c>
      <c r="G969" s="14">
        <v>195385</v>
      </c>
      <c r="H969" s="15">
        <v>0.21</v>
      </c>
      <c r="I969" s="12" t="s">
        <v>66</v>
      </c>
      <c r="J969" s="12" t="s">
        <v>138</v>
      </c>
      <c r="K969" s="17" t="s">
        <v>1121</v>
      </c>
    </row>
    <row r="970" spans="1:11">
      <c r="A970" s="11" t="s">
        <v>244</v>
      </c>
      <c r="B970" s="12" t="s">
        <v>56</v>
      </c>
      <c r="C970" s="12" t="s">
        <v>71</v>
      </c>
      <c r="D970" s="12" t="s">
        <v>65</v>
      </c>
      <c r="E970" s="12">
        <v>29</v>
      </c>
      <c r="F970" s="13">
        <v>42509</v>
      </c>
      <c r="G970" s="14">
        <v>52693</v>
      </c>
      <c r="H970" s="15">
        <v>0</v>
      </c>
      <c r="I970" s="12" t="s">
        <v>113</v>
      </c>
      <c r="J970" s="12" t="s">
        <v>117</v>
      </c>
      <c r="K970" s="17" t="s">
        <v>1121</v>
      </c>
    </row>
    <row r="971" spans="1:11">
      <c r="A971" s="11" t="s">
        <v>326</v>
      </c>
      <c r="B971" s="12" t="s">
        <v>56</v>
      </c>
      <c r="C971" s="12" t="s">
        <v>57</v>
      </c>
      <c r="D971" s="12" t="s">
        <v>58</v>
      </c>
      <c r="E971" s="12">
        <v>58</v>
      </c>
      <c r="F971" s="13">
        <v>42486</v>
      </c>
      <c r="G971" s="14">
        <v>72045</v>
      </c>
      <c r="H971" s="15">
        <v>0</v>
      </c>
      <c r="I971" s="12" t="s">
        <v>60</v>
      </c>
      <c r="J971" s="12" t="s">
        <v>79</v>
      </c>
      <c r="K971" s="17" t="s">
        <v>1121</v>
      </c>
    </row>
    <row r="972" spans="1:11">
      <c r="A972" s="11" t="s">
        <v>132</v>
      </c>
      <c r="B972" s="12" t="s">
        <v>105</v>
      </c>
      <c r="C972" s="12" t="s">
        <v>64</v>
      </c>
      <c r="D972" s="12" t="s">
        <v>65</v>
      </c>
      <c r="E972" s="12">
        <v>47</v>
      </c>
      <c r="F972" s="13">
        <v>38684</v>
      </c>
      <c r="G972" s="14">
        <v>62749</v>
      </c>
      <c r="H972" s="15">
        <v>0</v>
      </c>
      <c r="I972" s="12" t="s">
        <v>113</v>
      </c>
      <c r="J972" s="12" t="s">
        <v>114</v>
      </c>
      <c r="K972" s="17" t="s">
        <v>1121</v>
      </c>
    </row>
    <row r="973" spans="1:11">
      <c r="A973" s="11" t="s">
        <v>55</v>
      </c>
      <c r="B973" s="12" t="s">
        <v>105</v>
      </c>
      <c r="C973" s="12" t="s">
        <v>71</v>
      </c>
      <c r="D973" s="12" t="s">
        <v>65</v>
      </c>
      <c r="E973" s="12">
        <v>52</v>
      </c>
      <c r="F973" s="13">
        <v>43255</v>
      </c>
      <c r="G973" s="14">
        <v>154884</v>
      </c>
      <c r="H973" s="15">
        <v>0.1</v>
      </c>
      <c r="I973" s="12" t="s">
        <v>66</v>
      </c>
      <c r="J973" s="12" t="s">
        <v>101</v>
      </c>
      <c r="K973" s="17" t="s">
        <v>1121</v>
      </c>
    </row>
    <row r="974" spans="1:11">
      <c r="A974" s="11" t="s">
        <v>200</v>
      </c>
      <c r="B974" s="12" t="s">
        <v>56</v>
      </c>
      <c r="C974" s="12" t="s">
        <v>57</v>
      </c>
      <c r="D974" s="12" t="s">
        <v>65</v>
      </c>
      <c r="E974" s="12">
        <v>61</v>
      </c>
      <c r="F974" s="13">
        <v>42437</v>
      </c>
      <c r="G974" s="14">
        <v>96566</v>
      </c>
      <c r="H974" s="15">
        <v>0</v>
      </c>
      <c r="I974" s="12" t="s">
        <v>60</v>
      </c>
      <c r="J974" s="12" t="s">
        <v>110</v>
      </c>
      <c r="K974" s="17" t="s">
        <v>1121</v>
      </c>
    </row>
    <row r="975" spans="1:11">
      <c r="A975" s="11" t="s">
        <v>244</v>
      </c>
      <c r="B975" s="12" t="s">
        <v>56</v>
      </c>
      <c r="C975" s="12" t="s">
        <v>57</v>
      </c>
      <c r="D975" s="12" t="s">
        <v>65</v>
      </c>
      <c r="E975" s="12">
        <v>45</v>
      </c>
      <c r="F975" s="13">
        <v>37126</v>
      </c>
      <c r="G975" s="14">
        <v>54994</v>
      </c>
      <c r="H975" s="15">
        <v>0</v>
      </c>
      <c r="I975" s="12" t="s">
        <v>60</v>
      </c>
      <c r="J975" s="12" t="s">
        <v>110</v>
      </c>
      <c r="K975" s="17" t="s">
        <v>1121</v>
      </c>
    </row>
    <row r="976" spans="1:11">
      <c r="A976" s="11" t="s">
        <v>326</v>
      </c>
      <c r="B976" s="12" t="s">
        <v>56</v>
      </c>
      <c r="C976" s="12" t="s">
        <v>83</v>
      </c>
      <c r="D976" s="12" t="s">
        <v>58</v>
      </c>
      <c r="E976" s="12">
        <v>40</v>
      </c>
      <c r="F976" s="13">
        <v>40944</v>
      </c>
      <c r="G976" s="14">
        <v>61523</v>
      </c>
      <c r="H976" s="15">
        <v>0</v>
      </c>
      <c r="I976" s="12" t="s">
        <v>60</v>
      </c>
      <c r="J976" s="12" t="s">
        <v>110</v>
      </c>
      <c r="K976" s="17" t="s">
        <v>1121</v>
      </c>
    </row>
    <row r="977" spans="1:11">
      <c r="A977" s="11" t="s">
        <v>104</v>
      </c>
      <c r="B977" s="12" t="s">
        <v>94</v>
      </c>
      <c r="C977" s="12" t="s">
        <v>83</v>
      </c>
      <c r="D977" s="12" t="s">
        <v>65</v>
      </c>
      <c r="E977" s="12">
        <v>45</v>
      </c>
      <c r="F977" s="13">
        <v>40524</v>
      </c>
      <c r="G977" s="14">
        <v>190512</v>
      </c>
      <c r="H977" s="15">
        <v>0.32</v>
      </c>
      <c r="I977" s="12" t="s">
        <v>60</v>
      </c>
      <c r="J977" s="12" t="s">
        <v>110</v>
      </c>
      <c r="K977" s="17" t="s">
        <v>1121</v>
      </c>
    </row>
    <row r="978" spans="1:11">
      <c r="A978" s="11" t="s">
        <v>97</v>
      </c>
      <c r="B978" s="12" t="s">
        <v>98</v>
      </c>
      <c r="C978" s="12" t="s">
        <v>71</v>
      </c>
      <c r="D978" s="12" t="s">
        <v>58</v>
      </c>
      <c r="E978" s="12">
        <v>37</v>
      </c>
      <c r="F978" s="13">
        <v>41318</v>
      </c>
      <c r="G978" s="14">
        <v>124827</v>
      </c>
      <c r="H978" s="15">
        <v>0</v>
      </c>
      <c r="I978" s="12" t="s">
        <v>66</v>
      </c>
      <c r="J978" s="12" t="s">
        <v>126</v>
      </c>
      <c r="K978" s="17" t="s">
        <v>1121</v>
      </c>
    </row>
    <row r="979" spans="1:11">
      <c r="A979" s="11" t="s">
        <v>85</v>
      </c>
      <c r="B979" s="12" t="s">
        <v>90</v>
      </c>
      <c r="C979" s="12" t="s">
        <v>64</v>
      </c>
      <c r="D979" s="12" t="s">
        <v>65</v>
      </c>
      <c r="E979" s="12">
        <v>57</v>
      </c>
      <c r="F979" s="13">
        <v>43484</v>
      </c>
      <c r="G979" s="14">
        <v>101577</v>
      </c>
      <c r="H979" s="15">
        <v>0.05</v>
      </c>
      <c r="I979" s="12" t="s">
        <v>60</v>
      </c>
      <c r="J979" s="12" t="s">
        <v>73</v>
      </c>
      <c r="K979" s="17" t="s">
        <v>1121</v>
      </c>
    </row>
    <row r="980" spans="1:11">
      <c r="A980" s="11" t="s">
        <v>85</v>
      </c>
      <c r="B980" s="12" t="s">
        <v>90</v>
      </c>
      <c r="C980" s="12" t="s">
        <v>64</v>
      </c>
      <c r="D980" s="12" t="s">
        <v>58</v>
      </c>
      <c r="E980" s="12">
        <v>44</v>
      </c>
      <c r="F980" s="13">
        <v>38642</v>
      </c>
      <c r="G980" s="14">
        <v>105223</v>
      </c>
      <c r="H980" s="15">
        <v>0.1</v>
      </c>
      <c r="I980" s="12" t="s">
        <v>60</v>
      </c>
      <c r="J980" s="12" t="s">
        <v>79</v>
      </c>
      <c r="K980" s="17" t="s">
        <v>1121</v>
      </c>
    </row>
    <row r="981" spans="1:11">
      <c r="A981" s="11" t="s">
        <v>303</v>
      </c>
      <c r="B981" s="12" t="s">
        <v>56</v>
      </c>
      <c r="C981" s="12" t="s">
        <v>83</v>
      </c>
      <c r="D981" s="12" t="s">
        <v>65</v>
      </c>
      <c r="E981" s="12">
        <v>48</v>
      </c>
      <c r="F981" s="13">
        <v>39635</v>
      </c>
      <c r="G981" s="14">
        <v>94815</v>
      </c>
      <c r="H981" s="15">
        <v>0</v>
      </c>
      <c r="I981" s="12" t="s">
        <v>60</v>
      </c>
      <c r="J981" s="12" t="s">
        <v>73</v>
      </c>
      <c r="K981" s="17" t="s">
        <v>1121</v>
      </c>
    </row>
    <row r="982" spans="1:11">
      <c r="A982" s="11" t="s">
        <v>85</v>
      </c>
      <c r="B982" s="12" t="s">
        <v>90</v>
      </c>
      <c r="C982" s="12" t="s">
        <v>71</v>
      </c>
      <c r="D982" s="12" t="s">
        <v>58</v>
      </c>
      <c r="E982" s="12">
        <v>25</v>
      </c>
      <c r="F982" s="13">
        <v>44545</v>
      </c>
      <c r="G982" s="14">
        <v>114893</v>
      </c>
      <c r="H982" s="15">
        <v>0.06</v>
      </c>
      <c r="I982" s="12" t="s">
        <v>66</v>
      </c>
      <c r="J982" s="12" t="s">
        <v>138</v>
      </c>
      <c r="K982" s="17" t="s">
        <v>1121</v>
      </c>
    </row>
    <row r="983" spans="1:11">
      <c r="A983" s="11" t="s">
        <v>78</v>
      </c>
      <c r="B983" s="12" t="s">
        <v>105</v>
      </c>
      <c r="C983" s="12" t="s">
        <v>71</v>
      </c>
      <c r="D983" s="12" t="s">
        <v>58</v>
      </c>
      <c r="E983" s="12">
        <v>35</v>
      </c>
      <c r="F983" s="13">
        <v>42745</v>
      </c>
      <c r="G983" s="14">
        <v>80622</v>
      </c>
      <c r="H983" s="15">
        <v>0</v>
      </c>
      <c r="I983" s="12" t="s">
        <v>60</v>
      </c>
      <c r="J983" s="12" t="s">
        <v>91</v>
      </c>
      <c r="K983" s="17" t="s">
        <v>1121</v>
      </c>
    </row>
    <row r="984" spans="1:11">
      <c r="A984" s="11" t="s">
        <v>104</v>
      </c>
      <c r="B984" s="12" t="s">
        <v>56</v>
      </c>
      <c r="C984" s="12" t="s">
        <v>71</v>
      </c>
      <c r="D984" s="12" t="s">
        <v>58</v>
      </c>
      <c r="E984" s="12">
        <v>57</v>
      </c>
      <c r="F984" s="13">
        <v>42685</v>
      </c>
      <c r="G984" s="14">
        <v>246589</v>
      </c>
      <c r="H984" s="15">
        <v>0.33</v>
      </c>
      <c r="I984" s="12" t="s">
        <v>60</v>
      </c>
      <c r="J984" s="12" t="s">
        <v>79</v>
      </c>
      <c r="K984" s="17">
        <v>42820</v>
      </c>
    </row>
    <row r="985" spans="1:11">
      <c r="A985" s="11" t="s">
        <v>85</v>
      </c>
      <c r="B985" s="12" t="s">
        <v>105</v>
      </c>
      <c r="C985" s="12" t="s">
        <v>71</v>
      </c>
      <c r="D985" s="12" t="s">
        <v>65</v>
      </c>
      <c r="E985" s="12">
        <v>49</v>
      </c>
      <c r="F985" s="13">
        <v>43240</v>
      </c>
      <c r="G985" s="14">
        <v>119397</v>
      </c>
      <c r="H985" s="15">
        <v>0.09</v>
      </c>
      <c r="I985" s="12" t="s">
        <v>66</v>
      </c>
      <c r="J985" s="12" t="s">
        <v>126</v>
      </c>
      <c r="K985" s="17">
        <v>43538</v>
      </c>
    </row>
    <row r="986" spans="1:11">
      <c r="A986" s="11" t="s">
        <v>69</v>
      </c>
      <c r="B986" s="12" t="s">
        <v>82</v>
      </c>
      <c r="C986" s="12" t="s">
        <v>83</v>
      </c>
      <c r="D986" s="12" t="s">
        <v>58</v>
      </c>
      <c r="E986" s="12">
        <v>25</v>
      </c>
      <c r="F986" s="13">
        <v>44549</v>
      </c>
      <c r="G986" s="14">
        <v>150666</v>
      </c>
      <c r="H986" s="15">
        <v>0.23</v>
      </c>
      <c r="I986" s="12" t="s">
        <v>66</v>
      </c>
      <c r="J986" s="12" t="s">
        <v>138</v>
      </c>
      <c r="K986" s="17" t="s">
        <v>1121</v>
      </c>
    </row>
    <row r="987" spans="1:11">
      <c r="A987" s="11" t="s">
        <v>55</v>
      </c>
      <c r="B987" s="12" t="s">
        <v>56</v>
      </c>
      <c r="C987" s="12" t="s">
        <v>57</v>
      </c>
      <c r="D987" s="12" t="s">
        <v>58</v>
      </c>
      <c r="E987" s="12">
        <v>46</v>
      </c>
      <c r="F987" s="13">
        <v>37265</v>
      </c>
      <c r="G987" s="14">
        <v>148035</v>
      </c>
      <c r="H987" s="15">
        <v>0.14</v>
      </c>
      <c r="I987" s="12" t="s">
        <v>60</v>
      </c>
      <c r="J987" s="12" t="s">
        <v>79</v>
      </c>
      <c r="K987" s="17" t="s">
        <v>1121</v>
      </c>
    </row>
    <row r="988" spans="1:11">
      <c r="A988" s="11" t="s">
        <v>69</v>
      </c>
      <c r="B988" s="12" t="s">
        <v>70</v>
      </c>
      <c r="C988" s="12" t="s">
        <v>83</v>
      </c>
      <c r="D988" s="12" t="s">
        <v>65</v>
      </c>
      <c r="E988" s="12">
        <v>60</v>
      </c>
      <c r="F988" s="13">
        <v>42891</v>
      </c>
      <c r="G988" s="14">
        <v>158898</v>
      </c>
      <c r="H988" s="15">
        <v>0.18</v>
      </c>
      <c r="I988" s="12" t="s">
        <v>60</v>
      </c>
      <c r="J988" s="12" t="s">
        <v>88</v>
      </c>
      <c r="K988" s="17" t="s">
        <v>1121</v>
      </c>
    </row>
    <row r="989" spans="1:11">
      <c r="A989" s="11" t="s">
        <v>160</v>
      </c>
      <c r="B989" s="12" t="s">
        <v>98</v>
      </c>
      <c r="C989" s="12" t="s">
        <v>83</v>
      </c>
      <c r="D989" s="12" t="s">
        <v>58</v>
      </c>
      <c r="E989" s="12">
        <v>45</v>
      </c>
      <c r="F989" s="13">
        <v>40967</v>
      </c>
      <c r="G989" s="14">
        <v>89659</v>
      </c>
      <c r="H989" s="15">
        <v>0</v>
      </c>
      <c r="I989" s="12" t="s">
        <v>66</v>
      </c>
      <c r="J989" s="12" t="s">
        <v>126</v>
      </c>
      <c r="K989" s="17" t="s">
        <v>1121</v>
      </c>
    </row>
    <row r="990" spans="1:11">
      <c r="A990" s="11" t="s">
        <v>69</v>
      </c>
      <c r="B990" s="12" t="s">
        <v>82</v>
      </c>
      <c r="C990" s="12" t="s">
        <v>71</v>
      </c>
      <c r="D990" s="12" t="s">
        <v>58</v>
      </c>
      <c r="E990" s="12">
        <v>39</v>
      </c>
      <c r="F990" s="13">
        <v>39201</v>
      </c>
      <c r="G990" s="14">
        <v>171487</v>
      </c>
      <c r="H990" s="15">
        <v>0.23</v>
      </c>
      <c r="I990" s="12" t="s">
        <v>60</v>
      </c>
      <c r="J990" s="12" t="s">
        <v>79</v>
      </c>
      <c r="K990" s="17" t="s">
        <v>1121</v>
      </c>
    </row>
    <row r="991" spans="1:11">
      <c r="A991" s="11" t="s">
        <v>104</v>
      </c>
      <c r="B991" s="12" t="s">
        <v>82</v>
      </c>
      <c r="C991" s="12" t="s">
        <v>64</v>
      </c>
      <c r="D991" s="12" t="s">
        <v>58</v>
      </c>
      <c r="E991" s="12">
        <v>43</v>
      </c>
      <c r="F991" s="13">
        <v>42603</v>
      </c>
      <c r="G991" s="14">
        <v>258498</v>
      </c>
      <c r="H991" s="15">
        <v>0.35</v>
      </c>
      <c r="I991" s="12" t="s">
        <v>60</v>
      </c>
      <c r="J991" s="12" t="s">
        <v>110</v>
      </c>
      <c r="K991" s="17" t="s">
        <v>1121</v>
      </c>
    </row>
    <row r="992" spans="1:11">
      <c r="A992" s="11" t="s">
        <v>55</v>
      </c>
      <c r="B992" s="12" t="s">
        <v>56</v>
      </c>
      <c r="C992" s="12" t="s">
        <v>57</v>
      </c>
      <c r="D992" s="12" t="s">
        <v>65</v>
      </c>
      <c r="E992" s="12">
        <v>37</v>
      </c>
      <c r="F992" s="13">
        <v>40511</v>
      </c>
      <c r="G992" s="14">
        <v>146961</v>
      </c>
      <c r="H992" s="15">
        <v>0.11</v>
      </c>
      <c r="I992" s="12" t="s">
        <v>60</v>
      </c>
      <c r="J992" s="12" t="s">
        <v>110</v>
      </c>
      <c r="K992" s="17" t="s">
        <v>1121</v>
      </c>
    </row>
    <row r="993" spans="1:11">
      <c r="A993" s="11" t="s">
        <v>143</v>
      </c>
      <c r="B993" s="12" t="s">
        <v>94</v>
      </c>
      <c r="C993" s="12" t="s">
        <v>57</v>
      </c>
      <c r="D993" s="12" t="s">
        <v>65</v>
      </c>
      <c r="E993" s="12">
        <v>48</v>
      </c>
      <c r="F993" s="13">
        <v>35907</v>
      </c>
      <c r="G993" s="14">
        <v>85369</v>
      </c>
      <c r="H993" s="15">
        <v>0</v>
      </c>
      <c r="I993" s="12" t="s">
        <v>113</v>
      </c>
      <c r="J993" s="12" t="s">
        <v>114</v>
      </c>
      <c r="K993" s="17">
        <v>38318</v>
      </c>
    </row>
    <row r="994" spans="1:11">
      <c r="A994" s="11" t="s">
        <v>63</v>
      </c>
      <c r="B994" s="12" t="s">
        <v>56</v>
      </c>
      <c r="C994" s="12" t="s">
        <v>64</v>
      </c>
      <c r="D994" s="12" t="s">
        <v>65</v>
      </c>
      <c r="E994" s="12">
        <v>30</v>
      </c>
      <c r="F994" s="13">
        <v>42169</v>
      </c>
      <c r="G994" s="14">
        <v>67489</v>
      </c>
      <c r="H994" s="15">
        <v>0</v>
      </c>
      <c r="I994" s="12" t="s">
        <v>60</v>
      </c>
      <c r="J994" s="12" t="s">
        <v>73</v>
      </c>
      <c r="K994" s="17" t="s">
        <v>1121</v>
      </c>
    </row>
    <row r="995" spans="1:11">
      <c r="A995" s="11" t="s">
        <v>69</v>
      </c>
      <c r="B995" s="12" t="s">
        <v>56</v>
      </c>
      <c r="C995" s="12" t="s">
        <v>64</v>
      </c>
      <c r="D995" s="12" t="s">
        <v>58</v>
      </c>
      <c r="E995" s="12">
        <v>46</v>
      </c>
      <c r="F995" s="13">
        <v>43379</v>
      </c>
      <c r="G995" s="14">
        <v>166259</v>
      </c>
      <c r="H995" s="15">
        <v>0.17</v>
      </c>
      <c r="I995" s="12" t="s">
        <v>60</v>
      </c>
      <c r="J995" s="12" t="s">
        <v>73</v>
      </c>
      <c r="K995" s="17" t="s">
        <v>1121</v>
      </c>
    </row>
    <row r="996" spans="1:11">
      <c r="A996" s="11" t="s">
        <v>244</v>
      </c>
      <c r="B996" s="12" t="s">
        <v>56</v>
      </c>
      <c r="C996" s="12" t="s">
        <v>83</v>
      </c>
      <c r="D996" s="12" t="s">
        <v>58</v>
      </c>
      <c r="E996" s="12">
        <v>55</v>
      </c>
      <c r="F996" s="13">
        <v>39820</v>
      </c>
      <c r="G996" s="14">
        <v>47032</v>
      </c>
      <c r="H996" s="15">
        <v>0</v>
      </c>
      <c r="I996" s="12" t="s">
        <v>60</v>
      </c>
      <c r="J996" s="12" t="s">
        <v>110</v>
      </c>
      <c r="K996" s="17" t="s">
        <v>1121</v>
      </c>
    </row>
    <row r="997" spans="1:11">
      <c r="A997" s="11" t="s">
        <v>78</v>
      </c>
      <c r="B997" s="12" t="s">
        <v>105</v>
      </c>
      <c r="C997" s="12" t="s">
        <v>71</v>
      </c>
      <c r="D997" s="12" t="s">
        <v>65</v>
      </c>
      <c r="E997" s="12">
        <v>33</v>
      </c>
      <c r="F997" s="13">
        <v>42631</v>
      </c>
      <c r="G997" s="14">
        <v>98427</v>
      </c>
      <c r="H997" s="15">
        <v>0</v>
      </c>
      <c r="I997" s="12" t="s">
        <v>60</v>
      </c>
      <c r="J997" s="12" t="s">
        <v>110</v>
      </c>
      <c r="K997" s="17" t="s">
        <v>1121</v>
      </c>
    </row>
    <row r="998" spans="1:11">
      <c r="A998" s="11" t="s">
        <v>87</v>
      </c>
      <c r="B998" s="12" t="s">
        <v>70</v>
      </c>
      <c r="C998" s="12" t="s">
        <v>71</v>
      </c>
      <c r="D998" s="12" t="s">
        <v>58</v>
      </c>
      <c r="E998" s="12">
        <v>44</v>
      </c>
      <c r="F998" s="13">
        <v>40329</v>
      </c>
      <c r="G998" s="14">
        <v>47387</v>
      </c>
      <c r="H998" s="15">
        <v>0</v>
      </c>
      <c r="I998" s="12" t="s">
        <v>66</v>
      </c>
      <c r="J998" s="12" t="s">
        <v>138</v>
      </c>
      <c r="K998" s="17">
        <v>43108</v>
      </c>
    </row>
    <row r="999" spans="1:11">
      <c r="A999" s="11" t="s">
        <v>69</v>
      </c>
      <c r="B999" s="12" t="s">
        <v>105</v>
      </c>
      <c r="C999" s="12" t="s">
        <v>71</v>
      </c>
      <c r="D999" s="12" t="s">
        <v>65</v>
      </c>
      <c r="E999" s="12">
        <v>31</v>
      </c>
      <c r="F999" s="13">
        <v>43626</v>
      </c>
      <c r="G999" s="14">
        <v>176710</v>
      </c>
      <c r="H999" s="15">
        <v>0.15</v>
      </c>
      <c r="I999" s="12" t="s">
        <v>60</v>
      </c>
      <c r="J999" s="12" t="s">
        <v>88</v>
      </c>
      <c r="K999" s="17" t="s">
        <v>1121</v>
      </c>
    </row>
    <row r="1000" spans="1:11">
      <c r="A1000" s="11" t="s">
        <v>78</v>
      </c>
      <c r="B1000" s="12" t="s">
        <v>70</v>
      </c>
      <c r="C1000" s="12" t="s">
        <v>71</v>
      </c>
      <c r="D1000" s="12" t="s">
        <v>58</v>
      </c>
      <c r="E1000" s="12">
        <v>33</v>
      </c>
      <c r="F1000" s="13">
        <v>40936</v>
      </c>
      <c r="G1000" s="14">
        <v>95960</v>
      </c>
      <c r="H1000" s="15">
        <v>0</v>
      </c>
      <c r="I1000" s="12" t="s">
        <v>66</v>
      </c>
      <c r="J1000" s="12" t="s">
        <v>138</v>
      </c>
      <c r="K1000" s="17" t="s">
        <v>1121</v>
      </c>
    </row>
    <row r="1001" spans="1:11">
      <c r="A1001" s="18" t="s">
        <v>104</v>
      </c>
      <c r="B1001" s="19" t="s">
        <v>90</v>
      </c>
      <c r="C1001" s="19" t="s">
        <v>83</v>
      </c>
      <c r="D1001" s="19" t="s">
        <v>58</v>
      </c>
      <c r="E1001" s="19">
        <v>63</v>
      </c>
      <c r="F1001" s="20">
        <v>44038</v>
      </c>
      <c r="G1001" s="21">
        <v>216195</v>
      </c>
      <c r="H1001" s="22">
        <v>0.31</v>
      </c>
      <c r="I1001" s="19" t="s">
        <v>60</v>
      </c>
      <c r="J1001" s="19" t="s">
        <v>88</v>
      </c>
      <c r="K1001" s="23" t="s">
        <v>1121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E28"/>
  <sheetViews>
    <sheetView workbookViewId="0">
      <selection activeCell="F17" sqref="F17"/>
    </sheetView>
  </sheetViews>
  <sheetFormatPr defaultColWidth="9" defaultRowHeight="14.4" outlineLevelCol="4"/>
  <cols>
    <col min="2" max="2" width="12.5555555555556" customWidth="1"/>
    <col min="3" max="3" width="10" customWidth="1"/>
  </cols>
  <sheetData>
    <row r="3" spans="2:5">
      <c r="B3" s="6" t="s">
        <v>21</v>
      </c>
      <c r="C3" s="6" t="s">
        <v>22</v>
      </c>
      <c r="D3" s="6"/>
      <c r="E3" s="6"/>
    </row>
    <row r="4" spans="2:3">
      <c r="B4" t="s">
        <v>24</v>
      </c>
      <c r="C4">
        <f>COUNTA(emp[Employee ID])</f>
        <v>1000</v>
      </c>
    </row>
    <row r="5" spans="2:3">
      <c r="B5" t="s">
        <v>26</v>
      </c>
      <c r="C5">
        <f>SUM(emp[Total Annual Salary])</f>
        <v>129043322</v>
      </c>
    </row>
    <row r="6" spans="2:3">
      <c r="B6" t="s">
        <v>28</v>
      </c>
      <c r="C6">
        <f>SUM(emp[Exit status])</f>
        <v>85</v>
      </c>
    </row>
    <row r="7" spans="2:3">
      <c r="B7" t="s">
        <v>29</v>
      </c>
      <c r="C7">
        <f>COUNTA(B15:B27)</f>
        <v>13</v>
      </c>
    </row>
    <row r="8" spans="2:3">
      <c r="B8" t="s">
        <v>30</v>
      </c>
      <c r="C8">
        <f>C4-C6</f>
        <v>915</v>
      </c>
    </row>
    <row r="12" spans="2:2">
      <c r="B12" t="s">
        <v>1122</v>
      </c>
    </row>
    <row r="14" spans="2:2">
      <c r="B14" t="s">
        <v>1123</v>
      </c>
    </row>
    <row r="15" spans="2:2">
      <c r="B15" s="8" t="s">
        <v>91</v>
      </c>
    </row>
    <row r="16" spans="2:2">
      <c r="B16" s="8" t="s">
        <v>126</v>
      </c>
    </row>
    <row r="17" spans="2:2">
      <c r="B17" s="8" t="s">
        <v>138</v>
      </c>
    </row>
    <row r="18" spans="2:2">
      <c r="B18" s="8" t="s">
        <v>73</v>
      </c>
    </row>
    <row r="19" spans="2:2">
      <c r="B19" s="8" t="s">
        <v>67</v>
      </c>
    </row>
    <row r="20" spans="2:2">
      <c r="B20" s="8" t="s">
        <v>110</v>
      </c>
    </row>
    <row r="21" spans="2:2">
      <c r="B21" s="8" t="s">
        <v>114</v>
      </c>
    </row>
    <row r="22" spans="2:2">
      <c r="B22" s="8" t="s">
        <v>88</v>
      </c>
    </row>
    <row r="23" spans="2:2">
      <c r="B23" s="8" t="s">
        <v>79</v>
      </c>
    </row>
    <row r="24" spans="2:2">
      <c r="B24" s="8" t="s">
        <v>117</v>
      </c>
    </row>
    <row r="25" spans="2:2">
      <c r="B25" s="8" t="s">
        <v>184</v>
      </c>
    </row>
    <row r="26" spans="2:2">
      <c r="B26" s="8" t="s">
        <v>61</v>
      </c>
    </row>
    <row r="27" spans="2:2">
      <c r="B27" s="8" t="s">
        <v>101</v>
      </c>
    </row>
    <row r="28" spans="2:2">
      <c r="B28" s="8" t="s">
        <v>1124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4:G108"/>
  <sheetViews>
    <sheetView zoomScale="88" zoomScaleNormal="88" topLeftCell="A71" workbookViewId="0">
      <selection activeCell="L25" sqref="L25"/>
    </sheetView>
  </sheetViews>
  <sheetFormatPr defaultColWidth="9" defaultRowHeight="14.4" outlineLevelCol="6"/>
  <cols>
    <col min="2" max="2" width="17.5555555555556"/>
    <col min="3" max="3" width="21.8888888888889"/>
    <col min="4" max="4" width="18.4444444444444"/>
    <col min="11" max="11" width="12.1111111111111" customWidth="1"/>
    <col min="12" max="12" width="9.44444444444444" customWidth="1"/>
  </cols>
  <sheetData>
    <row r="4" spans="2:7">
      <c r="B4" s="6" t="s">
        <v>31</v>
      </c>
      <c r="C4" s="6" t="s">
        <v>32</v>
      </c>
      <c r="D4" s="6"/>
      <c r="E4" s="6"/>
      <c r="G4" t="s">
        <v>1125</v>
      </c>
    </row>
    <row r="6" spans="2:2">
      <c r="B6" t="s">
        <v>33</v>
      </c>
    </row>
    <row r="7" spans="2:2">
      <c r="B7" t="s">
        <v>34</v>
      </c>
    </row>
    <row r="8" spans="2:2">
      <c r="B8" t="s">
        <v>35</v>
      </c>
    </row>
    <row r="9" spans="2:2">
      <c r="B9" t="s">
        <v>36</v>
      </c>
    </row>
    <row r="10" spans="2:2">
      <c r="B10" t="s">
        <v>37</v>
      </c>
    </row>
    <row r="11" spans="2:2">
      <c r="B11" t="s">
        <v>38</v>
      </c>
    </row>
    <row r="12" spans="2:2">
      <c r="B12" t="s">
        <v>39</v>
      </c>
    </row>
    <row r="14" spans="2:2">
      <c r="B14" t="s">
        <v>33</v>
      </c>
    </row>
    <row r="15" spans="2:3">
      <c r="B15" t="s">
        <v>1123</v>
      </c>
      <c r="C15" t="s">
        <v>1126</v>
      </c>
    </row>
    <row r="16" spans="2:3">
      <c r="B16" s="7" t="s">
        <v>90</v>
      </c>
      <c r="C16">
        <v>96</v>
      </c>
    </row>
    <row r="17" spans="2:3">
      <c r="B17" s="7" t="s">
        <v>98</v>
      </c>
      <c r="C17">
        <v>158</v>
      </c>
    </row>
    <row r="18" spans="2:3">
      <c r="B18" s="7" t="s">
        <v>70</v>
      </c>
      <c r="C18">
        <v>120</v>
      </c>
    </row>
    <row r="19" spans="2:3">
      <c r="B19" s="7" t="s">
        <v>94</v>
      </c>
      <c r="C19">
        <v>125</v>
      </c>
    </row>
    <row r="20" spans="2:3">
      <c r="B20" s="7" t="s">
        <v>56</v>
      </c>
      <c r="C20">
        <v>241</v>
      </c>
    </row>
    <row r="21" spans="2:3">
      <c r="B21" s="7" t="s">
        <v>105</v>
      </c>
      <c r="C21">
        <v>120</v>
      </c>
    </row>
    <row r="22" spans="2:3">
      <c r="B22" s="7" t="s">
        <v>82</v>
      </c>
      <c r="C22">
        <v>140</v>
      </c>
    </row>
    <row r="23" spans="2:3">
      <c r="B23" s="7" t="s">
        <v>1124</v>
      </c>
      <c r="C23">
        <v>1000</v>
      </c>
    </row>
    <row r="26" spans="2:2">
      <c r="B26" t="s">
        <v>34</v>
      </c>
    </row>
    <row r="29" spans="2:3">
      <c r="B29" t="s">
        <v>1123</v>
      </c>
      <c r="C29" t="s">
        <v>1126</v>
      </c>
    </row>
    <row r="30" spans="2:3">
      <c r="B30" s="7" t="s">
        <v>76</v>
      </c>
      <c r="C30">
        <v>245</v>
      </c>
    </row>
    <row r="31" spans="2:3">
      <c r="B31" s="7" t="s">
        <v>95</v>
      </c>
      <c r="C31">
        <v>227</v>
      </c>
    </row>
    <row r="32" spans="2:3">
      <c r="B32" s="7" t="s">
        <v>72</v>
      </c>
      <c r="C32">
        <v>296</v>
      </c>
    </row>
    <row r="33" spans="2:3">
      <c r="B33" s="7" t="s">
        <v>59</v>
      </c>
      <c r="C33">
        <v>217</v>
      </c>
    </row>
    <row r="34" spans="2:3">
      <c r="B34" s="7" t="s">
        <v>107</v>
      </c>
      <c r="C34">
        <v>15</v>
      </c>
    </row>
    <row r="35" spans="2:3">
      <c r="B35" s="7" t="s">
        <v>1124</v>
      </c>
      <c r="C35">
        <v>1000</v>
      </c>
    </row>
    <row r="42" spans="2:2">
      <c r="B42" t="s">
        <v>35</v>
      </c>
    </row>
    <row r="45" spans="2:3">
      <c r="B45" t="s">
        <v>1123</v>
      </c>
      <c r="C45" t="s">
        <v>1126</v>
      </c>
    </row>
    <row r="46" spans="2:3">
      <c r="B46" s="7" t="s">
        <v>83</v>
      </c>
      <c r="C46">
        <v>237</v>
      </c>
    </row>
    <row r="47" spans="2:3">
      <c r="B47" s="7" t="s">
        <v>64</v>
      </c>
      <c r="C47">
        <v>269</v>
      </c>
    </row>
    <row r="48" spans="2:3">
      <c r="B48" s="7" t="s">
        <v>57</v>
      </c>
      <c r="C48">
        <v>229</v>
      </c>
    </row>
    <row r="49" spans="2:3">
      <c r="B49" s="7" t="s">
        <v>71</v>
      </c>
      <c r="C49">
        <v>265</v>
      </c>
    </row>
    <row r="50" spans="2:3">
      <c r="B50" s="7" t="s">
        <v>1124</v>
      </c>
      <c r="C50">
        <v>1000</v>
      </c>
    </row>
    <row r="57" spans="2:2">
      <c r="B57" t="s">
        <v>1127</v>
      </c>
    </row>
    <row r="61" spans="2:3">
      <c r="B61" t="s">
        <v>1123</v>
      </c>
      <c r="C61" t="s">
        <v>1128</v>
      </c>
    </row>
    <row r="62" spans="2:3">
      <c r="B62" s="7" t="s">
        <v>113</v>
      </c>
      <c r="C62">
        <v>17766816</v>
      </c>
    </row>
    <row r="63" spans="2:3">
      <c r="B63" s="7" t="s">
        <v>66</v>
      </c>
      <c r="C63">
        <v>28046667</v>
      </c>
    </row>
    <row r="64" spans="2:3">
      <c r="B64" s="7" t="s">
        <v>60</v>
      </c>
      <c r="C64">
        <v>83229839</v>
      </c>
    </row>
    <row r="65" spans="2:3">
      <c r="B65" s="7" t="s">
        <v>1124</v>
      </c>
      <c r="C65">
        <v>129043322</v>
      </c>
    </row>
    <row r="73" spans="2:2">
      <c r="B73" t="s">
        <v>1129</v>
      </c>
    </row>
    <row r="77" spans="2:4">
      <c r="B77" t="s">
        <v>1123</v>
      </c>
      <c r="C77" t="s">
        <v>1126</v>
      </c>
      <c r="D77" t="s">
        <v>1130</v>
      </c>
    </row>
    <row r="78" spans="2:4">
      <c r="B78" s="7" t="s">
        <v>1131</v>
      </c>
      <c r="C78">
        <v>11</v>
      </c>
      <c r="D78">
        <v>2</v>
      </c>
    </row>
    <row r="79" spans="2:4">
      <c r="B79" s="7" t="s">
        <v>1132</v>
      </c>
      <c r="C79">
        <v>3</v>
      </c>
      <c r="D79">
        <v>0</v>
      </c>
    </row>
    <row r="80" spans="2:4">
      <c r="B80" s="7" t="s">
        <v>1133</v>
      </c>
      <c r="C80">
        <v>13</v>
      </c>
      <c r="D80">
        <v>3</v>
      </c>
    </row>
    <row r="81" spans="2:4">
      <c r="B81" s="7" t="s">
        <v>1134</v>
      </c>
      <c r="C81">
        <v>9</v>
      </c>
      <c r="D81">
        <v>1</v>
      </c>
    </row>
    <row r="82" spans="2:4">
      <c r="B82" s="7" t="s">
        <v>1135</v>
      </c>
      <c r="C82">
        <v>10</v>
      </c>
      <c r="D82">
        <v>1</v>
      </c>
    </row>
    <row r="83" spans="2:4">
      <c r="B83" s="7" t="s">
        <v>1136</v>
      </c>
      <c r="C83">
        <v>12</v>
      </c>
      <c r="D83">
        <v>1</v>
      </c>
    </row>
    <row r="84" spans="2:4">
      <c r="B84" s="7" t="s">
        <v>1137</v>
      </c>
      <c r="C84">
        <v>16</v>
      </c>
      <c r="D84">
        <v>2</v>
      </c>
    </row>
    <row r="85" spans="2:4">
      <c r="B85" s="7" t="s">
        <v>1138</v>
      </c>
      <c r="C85">
        <v>14</v>
      </c>
      <c r="D85">
        <v>1</v>
      </c>
    </row>
    <row r="86" spans="2:4">
      <c r="B86" s="7" t="s">
        <v>1139</v>
      </c>
      <c r="C86">
        <v>14</v>
      </c>
      <c r="D86">
        <v>0</v>
      </c>
    </row>
    <row r="87" spans="2:4">
      <c r="B87" s="7" t="s">
        <v>1140</v>
      </c>
      <c r="C87">
        <v>17</v>
      </c>
      <c r="D87">
        <v>2</v>
      </c>
    </row>
    <row r="88" spans="2:4">
      <c r="B88" s="7" t="s">
        <v>1141</v>
      </c>
      <c r="C88">
        <v>23</v>
      </c>
      <c r="D88">
        <v>2</v>
      </c>
    </row>
    <row r="89" spans="2:4">
      <c r="B89" s="7" t="s">
        <v>1142</v>
      </c>
      <c r="C89">
        <v>19</v>
      </c>
      <c r="D89">
        <v>0</v>
      </c>
    </row>
    <row r="90" spans="2:4">
      <c r="B90" s="7" t="s">
        <v>1143</v>
      </c>
      <c r="C90">
        <v>29</v>
      </c>
      <c r="D90">
        <v>1</v>
      </c>
    </row>
    <row r="91" spans="2:4">
      <c r="B91" s="7" t="s">
        <v>1144</v>
      </c>
      <c r="C91">
        <v>27</v>
      </c>
      <c r="D91">
        <v>2</v>
      </c>
    </row>
    <row r="92" spans="2:4">
      <c r="B92" s="7" t="s">
        <v>1145</v>
      </c>
      <c r="C92">
        <v>30</v>
      </c>
      <c r="D92">
        <v>4</v>
      </c>
    </row>
    <row r="93" spans="2:4">
      <c r="B93" s="7" t="s">
        <v>1146</v>
      </c>
      <c r="C93">
        <v>33</v>
      </c>
      <c r="D93">
        <v>2</v>
      </c>
    </row>
    <row r="94" spans="2:4">
      <c r="B94" s="7" t="s">
        <v>1147</v>
      </c>
      <c r="C94">
        <v>25</v>
      </c>
      <c r="D94">
        <v>2</v>
      </c>
    </row>
    <row r="95" spans="2:4">
      <c r="B95" s="7" t="s">
        <v>1148</v>
      </c>
      <c r="C95">
        <v>29</v>
      </c>
      <c r="D95">
        <v>2</v>
      </c>
    </row>
    <row r="96" spans="2:4">
      <c r="B96" s="7" t="s">
        <v>1149</v>
      </c>
      <c r="C96">
        <v>42</v>
      </c>
      <c r="D96">
        <v>4</v>
      </c>
    </row>
    <row r="97" spans="2:4">
      <c r="B97" s="7" t="s">
        <v>1150</v>
      </c>
      <c r="C97">
        <v>39</v>
      </c>
      <c r="D97">
        <v>3</v>
      </c>
    </row>
    <row r="98" spans="2:4">
      <c r="B98" s="7" t="s">
        <v>1151</v>
      </c>
      <c r="C98">
        <v>37</v>
      </c>
      <c r="D98">
        <v>3</v>
      </c>
    </row>
    <row r="99" spans="2:4">
      <c r="B99" s="7" t="s">
        <v>1152</v>
      </c>
      <c r="C99">
        <v>39</v>
      </c>
      <c r="D99">
        <v>3</v>
      </c>
    </row>
    <row r="100" spans="2:4">
      <c r="B100" s="7" t="s">
        <v>1153</v>
      </c>
      <c r="C100">
        <v>52</v>
      </c>
      <c r="D100">
        <v>4</v>
      </c>
    </row>
    <row r="101" spans="2:4">
      <c r="B101" s="7" t="s">
        <v>1154</v>
      </c>
      <c r="C101">
        <v>47</v>
      </c>
      <c r="D101">
        <v>3</v>
      </c>
    </row>
    <row r="102" spans="2:4">
      <c r="B102" s="7" t="s">
        <v>1155</v>
      </c>
      <c r="C102">
        <v>52</v>
      </c>
      <c r="D102">
        <v>4</v>
      </c>
    </row>
    <row r="103" spans="2:4">
      <c r="B103" s="7" t="s">
        <v>1156</v>
      </c>
      <c r="C103">
        <v>70</v>
      </c>
      <c r="D103">
        <v>9</v>
      </c>
    </row>
    <row r="104" spans="2:4">
      <c r="B104" s="7" t="s">
        <v>1157</v>
      </c>
      <c r="C104">
        <v>68</v>
      </c>
      <c r="D104">
        <v>5</v>
      </c>
    </row>
    <row r="105" spans="2:4">
      <c r="B105" s="7" t="s">
        <v>1158</v>
      </c>
      <c r="C105">
        <v>68</v>
      </c>
      <c r="D105">
        <v>8</v>
      </c>
    </row>
    <row r="106" spans="2:4">
      <c r="B106" s="7" t="s">
        <v>1159</v>
      </c>
      <c r="C106">
        <v>66</v>
      </c>
      <c r="D106">
        <v>6</v>
      </c>
    </row>
    <row r="107" spans="2:4">
      <c r="B107" s="7" t="s">
        <v>1160</v>
      </c>
      <c r="C107">
        <v>86</v>
      </c>
      <c r="D107">
        <v>5</v>
      </c>
    </row>
    <row r="108" spans="2:4">
      <c r="B108" s="7" t="s">
        <v>1124</v>
      </c>
      <c r="C108">
        <v>1000</v>
      </c>
      <c r="D108">
        <v>85</v>
      </c>
    </row>
  </sheetData>
  <pageMargins left="0.7" right="0.7" top="0.75" bottom="0.75" header="0.3" footer="0.3"/>
  <headerFooter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I1:N18"/>
  <sheetViews>
    <sheetView showGridLines="0" tabSelected="1" zoomScale="92" zoomScaleNormal="92" workbookViewId="0">
      <selection activeCell="I20" sqref="I20"/>
    </sheetView>
  </sheetViews>
  <sheetFormatPr defaultColWidth="9" defaultRowHeight="14.4"/>
  <cols>
    <col min="1" max="1" width="8.88888888888889" style="1"/>
    <col min="2" max="8" width="8.88888888888889" style="2"/>
    <col min="9" max="9" width="10" style="2" customWidth="1"/>
    <col min="10" max="22" width="8.88888888888889" style="2"/>
    <col min="23" max="24" width="8.88888888888889" style="1"/>
    <col min="25" max="16384" width="8.88888888888889" style="2"/>
  </cols>
  <sheetData>
    <row r="1" s="1" customFormat="1"/>
    <row r="2" s="1" customFormat="1" ht="23.4" spans="9:14">
      <c r="I2" s="3" t="s">
        <v>1161</v>
      </c>
      <c r="J2" s="4"/>
      <c r="K2" s="4"/>
      <c r="L2" s="4"/>
      <c r="M2" s="4"/>
      <c r="N2" s="4"/>
    </row>
    <row r="3" s="1" customFormat="1"/>
    <row r="5" spans="9:10">
      <c r="I5" s="5" t="s">
        <v>1162</v>
      </c>
      <c r="J5" s="5"/>
    </row>
    <row r="6" spans="9:10">
      <c r="I6" s="5">
        <f>KPI!C4</f>
        <v>1000</v>
      </c>
      <c r="J6" s="5"/>
    </row>
    <row r="8" spans="9:10">
      <c r="I8" s="5" t="s">
        <v>1163</v>
      </c>
      <c r="J8" s="5"/>
    </row>
    <row r="9" spans="9:10">
      <c r="I9" s="5">
        <f>KPI!C6</f>
        <v>85</v>
      </c>
      <c r="J9" s="5"/>
    </row>
    <row r="11" spans="9:10">
      <c r="I11" s="5" t="s">
        <v>1164</v>
      </c>
      <c r="J11" s="5"/>
    </row>
    <row r="12" spans="9:10">
      <c r="I12" s="5">
        <f>KPI!C8</f>
        <v>915</v>
      </c>
      <c r="J12" s="5"/>
    </row>
    <row r="14" spans="9:10">
      <c r="I14" s="5" t="s">
        <v>1165</v>
      </c>
      <c r="J14" s="5"/>
    </row>
    <row r="15" spans="9:10">
      <c r="I15" s="5">
        <f>KPI!C7</f>
        <v>13</v>
      </c>
      <c r="J15" s="5"/>
    </row>
    <row r="17" spans="9:10">
      <c r="I17" s="5" t="s">
        <v>1166</v>
      </c>
      <c r="J17" s="5"/>
    </row>
    <row r="18" spans="9:10">
      <c r="I18" s="5">
        <f>KPI!C5</f>
        <v>129043322</v>
      </c>
      <c r="J18" s="5"/>
    </row>
  </sheetData>
  <mergeCells count="11">
    <mergeCell ref="I2:N2"/>
    <mergeCell ref="I5:J5"/>
    <mergeCell ref="I6:J6"/>
    <mergeCell ref="I8:J8"/>
    <mergeCell ref="I9:J9"/>
    <mergeCell ref="I11:J11"/>
    <mergeCell ref="I12:J12"/>
    <mergeCell ref="I14:J14"/>
    <mergeCell ref="I15:J15"/>
    <mergeCell ref="I17:J17"/>
    <mergeCell ref="I18:J18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631C6-21CC-44AF-86F8-BBAC8D7FF8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Report</vt:lpstr>
      <vt:lpstr>Raw Data</vt:lpstr>
      <vt:lpstr> Data</vt:lpstr>
      <vt:lpstr>KPI</vt:lpstr>
      <vt:lpstr>Chart s and Slicers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 Kanhe</cp:lastModifiedBy>
  <dcterms:created xsi:type="dcterms:W3CDTF">2025-09-30T06:39:00Z</dcterms:created>
  <dcterms:modified xsi:type="dcterms:W3CDTF">2025-12-28T08:43:44Z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AB8F423F9E47482C8DB39AC0E2A81C9C_13</vt:lpwstr>
  </property>
  <property fmtid="{D5CDD505-2E9C-101B-9397-08002B2CF9AE}" pid="3" name="KSOProductBuildVer">
    <vt:lpwstr>1033-12.2.0.23196</vt:lpwstr>
  </property>
</Properties>
</file>